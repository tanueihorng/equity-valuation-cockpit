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RELATIVE" sheetId="4" state="visible" r:id="rId4"/>
    <sheet xmlns:r="http://schemas.openxmlformats.org/officeDocument/2006/relationships" name="VALUE_HEURISTICS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TIMING" sheetId="7" state="visible" r:id="rId7"/>
    <sheet xmlns:r="http://schemas.openxmlformats.org/officeDocument/2006/relationships" name="SCENARIO_MC" sheetId="8" state="visible" r:id="rId8"/>
    <sheet xmlns:r="http://schemas.openxmlformats.org/officeDocument/2006/relationships" name="CONTEXT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"/>
    <numFmt numFmtId="166" formatCode="0.0%"/>
    <numFmt numFmtId="167" formatCode="0.00x"/>
    <numFmt numFmtId="168" formatCode="0.000"/>
    <numFmt numFmtId="169" formatCode="0.0000"/>
  </numFmts>
  <fonts count="34">
    <font>
      <name val="Calibri"/>
      <family val="2"/>
      <color theme="1"/>
      <sz val="11"/>
      <scheme val="minor"/>
    </font>
    <font>
      <name val="Inter"/>
      <b val="1"/>
      <color rgb="00E5B83B"/>
      <sz val="18"/>
    </font>
    <font>
      <name val="Inter"/>
      <i val="1"/>
      <color rgb="008A96B0"/>
      <sz val="10"/>
    </font>
    <font>
      <name val="Inter"/>
      <color rgb="008A96B0"/>
      <sz val="8"/>
    </font>
    <font>
      <name val="Inter"/>
      <b val="1"/>
      <color rgb="008A96B0"/>
      <sz val="8"/>
    </font>
    <font>
      <name val="Inter"/>
      <color rgb="00E6ECF5"/>
      <sz val="10"/>
    </font>
    <font>
      <name val="Menlo"/>
      <b val="1"/>
      <color rgb="00E5B83B"/>
      <sz val="10"/>
    </font>
    <font>
      <name val="Inter"/>
      <i val="1"/>
      <color rgb="008A96B0"/>
      <sz val="8"/>
    </font>
    <font>
      <name val="Inter"/>
      <color rgb="008A96B0"/>
      <sz val="9"/>
    </font>
    <font>
      <name val="Menlo"/>
      <b val="1"/>
      <color rgb="00E6ECF5"/>
      <sz val="10"/>
    </font>
    <font>
      <name val="Menlo"/>
      <color rgb="00E6ECF5"/>
      <sz val="10"/>
    </font>
    <font>
      <name val="Menlo"/>
      <color rgb="008A96B0"/>
      <sz val="10"/>
    </font>
    <font>
      <name val="Menlo"/>
      <color rgb="00F0556B"/>
      <sz val="10"/>
    </font>
    <font>
      <name val="Menlo"/>
      <b val="1"/>
      <color rgb="002DD4A7"/>
      <sz val="10"/>
    </font>
    <font>
      <name val="Menlo"/>
      <b val="1"/>
      <color rgb="00E5B83B"/>
      <sz val="12"/>
    </font>
    <font>
      <name val="Menlo"/>
      <color rgb="002DD4A7"/>
      <sz val="10"/>
    </font>
    <font>
      <name val="Inter"/>
      <b val="1"/>
      <color rgb="008A96B0"/>
      <sz val="9"/>
    </font>
    <font>
      <name val="Menlo"/>
      <color rgb="00E6ECF5"/>
      <sz val="9"/>
    </font>
    <font>
      <name val="Menlo"/>
      <b val="1"/>
      <color rgb="00F2B33D"/>
      <sz val="10"/>
    </font>
    <font>
      <name val="Inter"/>
      <color rgb="00E6ECF5"/>
      <sz val="9"/>
    </font>
    <font>
      <name val="Menlo"/>
      <color rgb="004C8DFF"/>
      <sz val="10"/>
    </font>
    <font>
      <name val="Inter"/>
      <b val="1"/>
      <color rgb="00F0556B"/>
      <sz val="8"/>
    </font>
    <font>
      <name val="Inter"/>
      <b val="1"/>
      <color rgb="00E5B83B"/>
      <sz val="8"/>
    </font>
    <font>
      <name val="Inter"/>
      <b val="1"/>
      <color rgb="002DD4A7"/>
      <sz val="8"/>
    </font>
    <font>
      <name val="Menlo"/>
      <b val="1"/>
      <color rgb="00F0556B"/>
      <sz val="12"/>
    </font>
    <font>
      <name val="Menlo"/>
      <b val="1"/>
      <color rgb="002DD4A7"/>
      <sz val="12"/>
    </font>
    <font>
      <name val="Menlo"/>
      <color rgb="008A96B0"/>
      <sz val="8"/>
    </font>
    <font>
      <name val="Menlo"/>
      <b val="1"/>
      <color rgb="00E6ECF5"/>
      <sz val="14"/>
    </font>
    <font>
      <name val="Menlo"/>
      <b val="1"/>
      <color rgb="00E5B83B"/>
      <sz val="14"/>
    </font>
    <font>
      <name val="Inter"/>
      <b val="1"/>
      <color rgb="000A0E1A"/>
      <sz val="20"/>
    </font>
    <font>
      <name val="Menlo"/>
      <b val="1"/>
      <color rgb="004C8DFF"/>
      <sz val="10"/>
    </font>
    <font>
      <name val="Inter"/>
      <color rgb="00E5B83B"/>
      <sz val="10"/>
    </font>
    <font>
      <name val="Inter"/>
      <i val="1"/>
      <color rgb="00E6ECF5"/>
      <sz val="10"/>
    </font>
    <font>
      <name val="Inter"/>
      <i val="1"/>
      <color rgb="00F0556B"/>
      <sz val="9"/>
    </font>
  </fonts>
  <fills count="6">
    <fill>
      <patternFill/>
    </fill>
    <fill>
      <patternFill patternType="gray125"/>
    </fill>
    <fill>
      <patternFill patternType="solid">
        <fgColor rgb="00161E33"/>
      </patternFill>
    </fill>
    <fill>
      <patternFill patternType="solid">
        <fgColor rgb="00131A2B"/>
      </patternFill>
    </fill>
    <fill>
      <patternFill patternType="solid">
        <fgColor rgb="001C2742"/>
      </patternFill>
    </fill>
    <fill>
      <patternFill patternType="solid">
        <fgColor rgb="00F2B33D"/>
      </patternFill>
    </fill>
  </fills>
  <borders count="3">
    <border>
      <left/>
      <right/>
      <top/>
      <bottom/>
      <diagonal/>
    </border>
    <border>
      <left style="medium">
        <color rgb="00C9A227"/>
      </left>
      <right style="thin">
        <color rgb="00232C45"/>
      </right>
      <top style="thin">
        <color rgb="00232C45"/>
      </top>
      <bottom style="thin">
        <color rgb="00232C45"/>
      </bottom>
    </border>
    <border>
      <left style="thin">
        <color rgb="00232C45"/>
      </left>
      <right style="thin">
        <color rgb="00232C45"/>
      </right>
      <top style="thin">
        <color rgb="00232C45"/>
      </top>
      <bottom style="thin">
        <color rgb="00232C45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0" applyAlignment="1" pivotButton="0" quotePrefix="0" xfId="0">
      <alignment horizontal="left" vertical="center"/>
    </xf>
    <xf numFmtId="164" fontId="27" fillId="3" borderId="2" applyAlignment="1" pivotButton="0" quotePrefix="0" xfId="0">
      <alignment horizontal="right" vertical="center"/>
    </xf>
    <xf numFmtId="0" fontId="29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164" fontId="28" fillId="3" borderId="2" applyAlignment="1" pivotButton="0" quotePrefix="0" xfId="0">
      <alignment horizontal="right" vertical="center"/>
    </xf>
    <xf numFmtId="166" fontId="25" fillId="3" borderId="2" applyAlignment="1" pivotButton="0" quotePrefix="0" xfId="0">
      <alignment horizontal="right" vertical="center"/>
    </xf>
    <xf numFmtId="0" fontId="10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4" fontId="15" fillId="3" borderId="2" applyAlignment="1" pivotButton="0" quotePrefix="0" xfId="0">
      <alignment horizontal="right" vertical="center"/>
    </xf>
    <xf numFmtId="164" fontId="30" fillId="3" borderId="2" applyAlignment="1" pivotButton="0" quotePrefix="0" xfId="0">
      <alignment horizontal="right" vertical="center"/>
    </xf>
    <xf numFmtId="1" fontId="9" fillId="3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2" fontId="9" fillId="3" borderId="2" applyAlignment="1" pivotButton="0" quotePrefix="0" xfId="0">
      <alignment horizontal="right" vertical="center"/>
    </xf>
    <xf numFmtId="0" fontId="19" fillId="3" borderId="0" applyAlignment="1" pivotButton="0" quotePrefix="0" xfId="0">
      <alignment horizontal="left" vertical="center"/>
    </xf>
    <xf numFmtId="164" fontId="10" fillId="3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8" fontId="9" fillId="3" borderId="2" applyAlignment="1" pivotButton="0" quotePrefix="0" xfId="0">
      <alignment horizontal="right" vertical="center"/>
    </xf>
    <xf numFmtId="10" fontId="13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0" fontId="31" fillId="3" borderId="0" applyAlignment="1" pivotButton="0" quotePrefix="0" xfId="0">
      <alignment horizontal="left" vertical="center"/>
    </xf>
    <xf numFmtId="164" fontId="6" fillId="3" borderId="2" applyAlignment="1" pivotButton="0" quotePrefix="0" xfId="0">
      <alignment horizontal="right" vertical="center"/>
    </xf>
    <xf numFmtId="166" fontId="13" fillId="3" borderId="2" applyAlignment="1" pivotButton="0" quotePrefix="0" xfId="0">
      <alignment horizontal="right" vertical="center"/>
    </xf>
    <xf numFmtId="0" fontId="13" fillId="3" borderId="2" applyAlignment="1" pivotButton="0" quotePrefix="0" xfId="0">
      <alignment horizontal="right" vertical="center"/>
    </xf>
    <xf numFmtId="0" fontId="32" fillId="3" borderId="0" applyAlignment="1" pivotButton="0" quotePrefix="0" xfId="0">
      <alignment horizontal="left" vertical="top" wrapText="1"/>
    </xf>
    <xf numFmtId="0" fontId="33" fillId="3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0" fontId="9" fillId="3" borderId="2" applyAlignment="1" pivotButton="0" quotePrefix="0" xfId="0">
      <alignment horizontal="right" vertical="center"/>
    </xf>
    <xf numFmtId="10" fontId="10" fillId="3" borderId="2" applyAlignment="1" pivotButton="0" quotePrefix="0" xfId="0">
      <alignment horizontal="right" vertical="center"/>
    </xf>
    <xf numFmtId="3" fontId="10" fillId="3" borderId="2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3" fontId="12" fillId="3" borderId="2" applyAlignment="1" pivotButton="0" quotePrefix="0" xfId="0">
      <alignment horizontal="right" vertical="center"/>
    </xf>
    <xf numFmtId="3" fontId="13" fillId="3" borderId="2" applyAlignment="1" pivotButton="0" quotePrefix="0" xfId="0">
      <alignment horizontal="right" vertical="center"/>
    </xf>
    <xf numFmtId="169" fontId="11" fillId="3" borderId="2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3" fontId="9" fillId="3" borderId="2" applyAlignment="1" pivotButton="0" quotePrefix="0" xfId="0">
      <alignment horizontal="right" vertical="center"/>
    </xf>
    <xf numFmtId="166" fontId="15" fillId="3" borderId="2" applyAlignment="1" pivotButton="0" quotePrefix="0" xfId="0">
      <alignment horizontal="right" vertical="center"/>
    </xf>
    <xf numFmtId="3" fontId="11" fillId="3" borderId="2" applyAlignment="1" pivotButton="0" quotePrefix="0" xfId="0">
      <alignment horizontal="right" vertical="center"/>
    </xf>
    <xf numFmtId="166" fontId="4" fillId="2" borderId="0" applyAlignment="1" pivotButton="0" quotePrefix="0" xfId="0">
      <alignment horizontal="right" vertical="center"/>
    </xf>
    <xf numFmtId="10" fontId="16" fillId="2" borderId="0" applyAlignment="1" pivotButton="0" quotePrefix="0" xfId="0">
      <alignment horizontal="right" vertical="center"/>
    </xf>
    <xf numFmtId="167" fontId="10" fillId="3" borderId="2" applyAlignment="1" pivotButton="0" quotePrefix="0" xfId="0">
      <alignment horizontal="right" vertical="center"/>
    </xf>
    <xf numFmtId="167" fontId="11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166" fontId="17" fillId="3" borderId="2" applyAlignment="1" pivotButton="0" quotePrefix="0" xfId="0">
      <alignment horizontal="right" vertical="center"/>
    </xf>
    <xf numFmtId="166" fontId="9" fillId="3" borderId="2" applyAlignment="1" pivotButton="0" quotePrefix="0" xfId="0">
      <alignment horizontal="right" vertical="center"/>
    </xf>
    <xf numFmtId="166" fontId="18" fillId="3" borderId="2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 wrapText="1"/>
    </xf>
    <xf numFmtId="1" fontId="10" fillId="3" borderId="2" applyAlignment="1" pivotButton="0" quotePrefix="0" xfId="0">
      <alignment horizontal="right" vertical="center"/>
    </xf>
    <xf numFmtId="1" fontId="14" fillId="3" borderId="2" applyAlignment="1" pivotButton="0" quotePrefix="0" xfId="0">
      <alignment horizontal="right" vertical="center"/>
    </xf>
    <xf numFmtId="168" fontId="10" fillId="3" borderId="2" applyAlignment="1" pivotButton="0" quotePrefix="0" xfId="0">
      <alignment horizontal="right" vertical="center"/>
    </xf>
    <xf numFmtId="2" fontId="14" fillId="3" borderId="2" applyAlignment="1" pivotButton="0" quotePrefix="0" xfId="0">
      <alignment horizontal="right" vertical="center"/>
    </xf>
    <xf numFmtId="168" fontId="11" fillId="3" borderId="2" applyAlignment="1" pivotButton="0" quotePrefix="0" xfId="0">
      <alignment horizontal="right" vertical="center"/>
    </xf>
    <xf numFmtId="168" fontId="14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4" fontId="11" fillId="3" borderId="2" applyAlignment="1" pivotButton="0" quotePrefix="0" xfId="0">
      <alignment horizontal="right" vertical="center"/>
    </xf>
    <xf numFmtId="164" fontId="20" fillId="3" borderId="2" applyAlignment="1" pivotButton="0" quotePrefix="0" xfId="0">
      <alignment horizontal="right" vertical="center"/>
    </xf>
    <xf numFmtId="164" fontId="13" fillId="3" borderId="2" applyAlignment="1" pivotButton="0" quotePrefix="0" xfId="0">
      <alignment horizontal="right" vertical="center"/>
    </xf>
    <xf numFmtId="0" fontId="21" fillId="2" borderId="0" applyAlignment="1" pivotButton="0" quotePrefix="0" xfId="0">
      <alignment horizontal="right" vertical="center"/>
    </xf>
    <xf numFmtId="0" fontId="22" fillId="2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right" vertical="center"/>
    </xf>
    <xf numFmtId="166" fontId="26" fillId="3" borderId="0" applyAlignment="1" pivotButton="0" quotePrefix="0" xfId="0">
      <alignment horizontal="right"/>
    </xf>
    <xf numFmtId="164" fontId="26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left" vertical="center"/>
    </xf>
    <xf numFmtId="3" fontId="17" fillId="3" borderId="0" applyAlignment="1" pivotButton="0" quotePrefix="0" xfId="0">
      <alignment horizontal="right"/>
    </xf>
    <xf numFmtId="3" fontId="15" fillId="3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right" vertical="center"/>
    </xf>
    <xf numFmtId="164" fontId="24" fillId="3" borderId="2" applyAlignment="1" pivotButton="0" quotePrefix="0" xfId="0">
      <alignment horizontal="right" vertical="center"/>
    </xf>
    <xf numFmtId="164" fontId="25" fillId="3" borderId="2" applyAlignment="1" pivotButton="0" quotePrefix="0" xfId="0">
      <alignment horizontal="right" vertical="center"/>
    </xf>
    <xf numFmtId="166" fontId="26" fillId="0" borderId="0" applyAlignment="1" pivotButton="0" quotePrefix="0" xfId="0">
      <alignment horizontal="right"/>
    </xf>
    <xf numFmtId="164" fontId="26" fillId="0" borderId="0" applyAlignment="1" pivotButton="0" quotePrefix="0" xfId="0">
      <alignment horizontal="right"/>
    </xf>
    <xf numFmtId="0" fontId="6" fillId="3" borderId="2" applyAlignment="1" pivotButton="0" quotePrefix="0" xfId="0">
      <alignment horizontal="right" vertical="center"/>
    </xf>
    <xf numFmtId="10" fontId="15" fillId="3" borderId="2" applyAlignment="1" pivotButton="0" quotePrefix="0" xfId="0">
      <alignment horizontal="right" vertical="center"/>
    </xf>
    <xf numFmtId="166" fontId="14" fillId="3" borderId="2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Inter"/>
        <b val="1"/>
        <color rgb="000A0E1A"/>
        <sz val="20"/>
      </font>
      <fill>
        <patternFill patternType="solid">
          <fgColor rgb="002DD4A7"/>
        </patternFill>
      </fill>
    </dxf>
    <dxf>
      <font>
        <name val="Inter"/>
        <b val="1"/>
        <color rgb="000A0E1A"/>
        <sz val="20"/>
      </font>
      <fill>
        <patternFill patternType="solid">
          <fgColor rgb="00F2B33D"/>
        </patternFill>
      </fill>
    </dxf>
    <dxf>
      <font>
        <name val="Inter"/>
        <b val="1"/>
        <color rgb="00E6ECF5"/>
        <sz val="20"/>
      </font>
      <fill>
        <patternFill patternType="solid">
          <fgColor rgb="00F0556B"/>
        </patternFill>
      </fill>
    </dxf>
    <dxf>
      <font>
        <name val="Menlo"/>
        <b val="1"/>
        <color rgb="000A0E1A"/>
      </font>
      <fill>
        <patternFill patternType="solid">
          <fgColor rgb="002DD4A7"/>
        </patternFill>
      </fill>
    </dxf>
    <dxf>
      <font>
        <name val="Menlo"/>
        <b val="1"/>
        <color rgb="000A0E1A"/>
      </font>
      <fill>
        <patternFill patternType="solid">
          <fgColor rgb="00F2B33D"/>
        </patternFill>
      </fill>
    </dxf>
    <dxf>
      <font>
        <name val="Menlo"/>
        <b val="1"/>
        <color rgb="00E6ECF5"/>
      </font>
      <fill>
        <patternFill patternType="solid">
          <fgColor rgb="00F055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Implied price by method ($/sh)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'RELATIVE'!$B$7:$B$12</f>
            </numRef>
          </cat>
          <val>
            <numRef>
              <f>'RELATIVE'!$E$7:$E$12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Carlo: fair value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'SCENARIO_MC'!$N$16:$N$27</f>
            </numRef>
          </cat>
          <val>
            <numRef>
              <f>'SCENARIO_MC'!$O$16:$O$27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6" authorId="0" shapeId="0">
      <text>
        <t>Live market price per share</t>
      </text>
    </comment>
    <comment ref="C7" authorId="0" shapeId="0">
      <text>
        <t>Diluted shares, millions</t>
      </text>
    </comment>
    <comment ref="C8" authorId="0" shapeId="0">
      <text>
        <t>52w high</t>
      </text>
    </comment>
    <comment ref="C9" authorId="0" shapeId="0">
      <text>
        <t>52w low</t>
      </text>
    </comment>
    <comment ref="C10" authorId="0" shapeId="0">
      <text>
        <t>Recent swing high for Fib</t>
      </text>
    </comment>
    <comment ref="C11" authorId="0" shapeId="0">
      <text>
        <t>Recent swing low for Fib</t>
      </text>
    </comment>
    <comment ref="C12" authorId="0" shapeId="0">
      <text>
        <t>50DMA</t>
      </text>
    </comment>
    <comment ref="C13" authorId="0" shapeId="0">
      <text>
        <t>200DMA</t>
      </text>
    </comment>
    <comment ref="C14" authorId="0" shapeId="0">
      <text>
        <t>Relative strength index</t>
      </text>
    </comment>
    <comment ref="C15" authorId="0" shapeId="0">
      <text>
        <t>Levered equity beta</t>
      </text>
    </comment>
    <comment ref="C18" authorId="0" shapeId="0">
      <text>
        <t>TTM revenue, millions</t>
      </text>
    </comment>
    <comment ref="C19" authorId="0" shapeId="0">
      <text>
        <t>Operating margin</t>
      </text>
    </comment>
    <comment ref="C20" authorId="0" shapeId="0">
      <text>
        <t>Effective / marginal tax</t>
      </text>
    </comment>
    <comment ref="C21" authorId="0" shapeId="0">
      <text>
        <t>Depreciation &amp; amortization</t>
      </text>
    </comment>
    <comment ref="C22" authorId="0" shapeId="0">
      <text>
        <t>Capital expenditure</t>
      </text>
    </comment>
    <comment ref="C23" authorId="0" shapeId="0">
      <text>
        <t>Working-cap investment on YoY rev increase</t>
      </text>
    </comment>
    <comment ref="C24" authorId="0" shapeId="0">
      <text>
        <t>TTM interest expense</t>
      </text>
    </comment>
    <comment ref="C25" authorId="0" shapeId="0">
      <text>
        <t>TTM net income</t>
      </text>
    </comment>
    <comment ref="C28" authorId="0" shapeId="0">
      <text>
        <t>Short + long term debt</t>
      </text>
    </comment>
    <comment ref="C29" authorId="0" shapeId="0">
      <text>
        <t>Cash + ST investments</t>
      </text>
    </comment>
    <comment ref="C30" authorId="0" shapeId="0">
      <text>
        <t>Total shareholders equity</t>
      </text>
    </comment>
    <comment ref="C31" authorId="0" shapeId="0">
      <text>
        <t>Total assets</t>
      </text>
    </comment>
    <comment ref="C32" authorId="0" shapeId="0">
      <text>
        <t>Current assets</t>
      </text>
    </comment>
    <comment ref="C33" authorId="0" shapeId="0">
      <text>
        <t>Current liabilities</t>
      </text>
    </comment>
    <comment ref="C34" authorId="0" shapeId="0">
      <text>
        <t>Retained earnings</t>
      </text>
    </comment>
    <comment ref="C35" authorId="0" shapeId="0">
      <text>
        <t>Total liabilities</t>
      </text>
    </comment>
    <comment ref="C38" authorId="0" shapeId="0">
      <text>
        <t>Explicit stage growth</t>
      </text>
    </comment>
    <comment ref="C43" authorId="0" shapeId="0">
      <text>
        <t>Perpetuity growth rate</t>
      </text>
    </comment>
    <comment ref="C46" authorId="0" shapeId="0">
      <text>
        <t>10y treasury</t>
      </text>
    </comment>
    <comment ref="C47" authorId="0" shapeId="0">
      <text>
        <t>Market risk premium</t>
      </text>
    </comment>
    <comment ref="C48" authorId="0" shapeId="0">
      <text>
        <t>Yield on debt</t>
      </text>
    </comment>
    <comment ref="C49" authorId="0" shapeId="0">
      <text>
        <t>For Graham revised formula</t>
      </text>
    </comment>
    <comment ref="C52" authorId="0" shapeId="0">
      <text>
        <t>Trailing P/E median</t>
      </text>
    </comment>
    <comment ref="C53" authorId="0" shapeId="0">
      <text>
        <t>Forward P/E median</t>
      </text>
    </comment>
    <comment ref="C54" authorId="0" shapeId="0">
      <text>
        <t>EV/EBITDA median</t>
      </text>
    </comment>
    <comment ref="C55" authorId="0" shapeId="0">
      <text>
        <t>EV/Sales median</t>
      </text>
    </comment>
    <comment ref="C56" authorId="0" shapeId="0">
      <text>
        <t>Price/Book median</t>
      </text>
    </comment>
    <comment ref="C57" authorId="0" shapeId="0">
      <text>
        <t>Price/FCF median</t>
      </text>
    </comment>
    <comment ref="C60" authorId="0" shapeId="0">
      <text>
        <t>Base exit multiple</t>
      </text>
    </comment>
    <comment ref="C61" authorId="0" shapeId="0">
      <text>
        <t>Bear exit multiple</t>
      </text>
    </comment>
    <comment ref="C62" authorId="0" shapeId="0">
      <text>
        <t>Bull exit multiple</t>
      </text>
    </comment>
    <comment ref="C63" authorId="0" shapeId="0">
      <text>
        <t>Scenario probability</t>
      </text>
    </comment>
    <comment ref="C64" authorId="0" shapeId="0">
      <text>
        <t>Scenario probability</t>
      </text>
    </comment>
    <comment ref="C65" authorId="0" shapeId="0">
      <text>
        <t>Scenario probability</t>
      </text>
    </comment>
    <comment ref="C68" authorId="0" shapeId="0">
      <text>
        <t>Std dev applied to growth</t>
      </text>
    </comment>
    <comment ref="C69" authorId="0" shapeId="0">
      <text>
        <t>Std dev applied to WACC</t>
      </text>
    </comment>
    <comment ref="C70" authorId="0" shapeId="0">
      <text>
        <t>Std dev applied to margin</t>
      </text>
    </comment>
    <comment ref="C71" authorId="0" shapeId="0">
      <text>
        <t>Std dev applied to g_term</t>
      </text>
    </comment>
    <comment ref="C72" authorId="0" shapeId="0">
      <text>
        <t>Assumed loss if thesis wrong</t>
      </text>
    </comment>
    <comment ref="C75" authorId="0" shapeId="0">
      <text>
        <t>1 = criterion passes, 0 = fails</t>
      </text>
    </comment>
    <comment ref="C76" authorId="0" shapeId="0">
      <text>
        <t>1 = criterion passes, 0 = fails</t>
      </text>
    </comment>
    <comment ref="C77" authorId="0" shapeId="0">
      <text>
        <t>1 = criterion passes, 0 = fails</t>
      </text>
    </comment>
    <comment ref="C78" authorId="0" shapeId="0">
      <text>
        <t>1 = criterion passes, 0 = fails</t>
      </text>
    </comment>
    <comment ref="C79" authorId="0" shapeId="0">
      <text>
        <t>1 = criterion passes, 0 = fails</t>
      </text>
    </comment>
    <comment ref="C80" authorId="0" shapeId="0">
      <text>
        <t>1 = criterion passes, 0 = fails</t>
      </text>
    </comment>
    <comment ref="C81" authorId="0" shapeId="0">
      <text>
        <t>1 = criterion passes, 0 = fails</t>
      </text>
    </comment>
    <comment ref="C82" authorId="0" shapeId="0">
      <text>
        <t>1 = criterion passes, 0 = fails</t>
      </text>
    </comment>
    <comment ref="C83" authorId="0" shapeId="0">
      <text>
        <t>1 = criterion passes, 0 = fails</t>
      </text>
    </comment>
    <comment ref="C86" authorId="0" shapeId="0">
      <text>
        <t>Beneish ratio input</t>
      </text>
    </comment>
    <comment ref="C87" authorId="0" shapeId="0">
      <text>
        <t>Beneish ratio input</t>
      </text>
    </comment>
    <comment ref="C88" authorId="0" shapeId="0">
      <text>
        <t>Beneish ratio input</t>
      </text>
    </comment>
    <comment ref="C89" authorId="0" shapeId="0">
      <text>
        <t>Beneish ratio input</t>
      </text>
    </comment>
    <comment ref="C90" authorId="0" shapeId="0">
      <text>
        <t>Beneish ratio input</t>
      </text>
    </comment>
    <comment ref="C91" authorId="0" shapeId="0">
      <text>
        <t>Beneish ratio input</t>
      </text>
    </comment>
    <comment ref="C92" authorId="0" shapeId="0">
      <text>
        <t>Beneish ratio input</t>
      </text>
    </comment>
    <comment ref="C93" authorId="0" shapeId="0">
      <text>
        <t>Beneish ratio input</t>
      </text>
    </comment>
    <comment ref="C96" authorId="0" shapeId="0">
      <text>
        <t>Lowest ~10y P/E</t>
      </text>
    </comment>
    <comment ref="C97" authorId="0" shapeId="0">
      <text>
        <t>Median ~10y P/E</t>
      </text>
    </comment>
    <comment ref="C98" authorId="0" shapeId="0">
      <text>
        <t>Highest ~10y P/E</t>
      </text>
    </comment>
    <comment ref="C99" authorId="0" shapeId="0">
      <text>
        <t>Lowest ~10y EV/EBITDA</t>
      </text>
    </comment>
    <comment ref="C100" authorId="0" shapeId="0">
      <text>
        <t>Median ~10y EV/EBITDA</t>
      </text>
    </comment>
    <comment ref="C101" authorId="0" shapeId="0">
      <text>
        <t>Highest ~10y EV/EBITDA</t>
      </text>
    </comment>
    <comment ref="C104" authorId="0" shapeId="0">
      <text>
        <t>0 none, 1 narrow, 2 wide</t>
      </text>
    </comment>
    <comment ref="C105" authorId="0" shapeId="0">
      <text>
        <t>Discount needed before buying</t>
      </text>
    </comment>
    <comment ref="C111" authorId="0" shapeId="0">
      <text>
        <t>Cyclically-adjusted P/E</t>
      </text>
    </comment>
    <comment ref="C112" authorId="0" shapeId="0">
      <text>
        <t>~150y mean is ~17</t>
      </text>
    </comment>
    <comment ref="C113" authorId="0" shapeId="0">
      <text>
        <t>S&amp;P 500 forward E/P</t>
      </text>
    </comment>
    <comment ref="C114" authorId="0" shapeId="0">
      <text>
        <t>For implied ERP = E/P+g-Y</t>
      </text>
    </comment>
    <comment ref="C115" authorId="0" shapeId="0">
      <text>
        <t>Risk-free benchmark</t>
      </text>
    </comment>
    <comment ref="C116" authorId="0" shapeId="0">
      <text>
        <t>Market breadth</t>
      </text>
    </comment>
    <comment ref="C119" authorId="0" shapeId="0">
      <text>
        <t>1 low (utility) - 3 high (uncertain)</t>
      </text>
    </comment>
    <comment ref="C120" authorId="0" shapeId="0">
      <text>
        <t>Fewer holdings -&gt; higher required MoS</t>
      </text>
    </comment>
    <comment ref="C123" authorId="0" shapeId="0">
      <text>
        <t>Edit to re-weight; auto-renormalized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31A2B"/>
    <outlinePr summaryBelow="1" summaryRight="1"/>
    <pageSetUpPr/>
  </sheetPr>
  <dimension ref="A1:K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4" customWidth="1" min="5" max="5"/>
    <col width="22" customWidth="1" min="6" max="6"/>
    <col width="16" customWidth="1" min="7" max="7"/>
    <col width="16" customWidth="1" min="8" max="8"/>
    <col width="4" customWidth="1" min="9" max="9"/>
    <col width="3" customWidth="1" min="10" max="10"/>
    <col width="3" customWidth="1" min="11" max="11"/>
  </cols>
  <sheetData>
    <row r="1" ht="26" customHeight="1">
      <c r="A1" s="1" t="inlineStr">
        <is>
          <t>APEX TECHNOLOGIES (SAMPLE)</t>
        </is>
      </c>
    </row>
    <row r="2" ht="16" customHeight="1">
      <c r="A2" s="2" t="inlineStr">
        <is>
          <t>Equity Valuation Cockpit — verdict, fair value, entry zone, quality and timing at a glance.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5" t="inlineStr">
        <is>
          <t>V  A  L  U  A  T  I  O  N     V  E  R  D  I  C  T</t>
        </is>
      </c>
      <c r="C5" s="6" t="n"/>
      <c r="D5" s="6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7" t="inlineStr">
        <is>
          <t>Current price</t>
        </is>
      </c>
      <c r="C6" s="8">
        <f>ASSUMPTIONS!$C$6</f>
        <v/>
      </c>
      <c r="D6" s="4" t="n"/>
      <c r="E6" s="4" t="n"/>
      <c r="F6" s="9">
        <f>IF(OR(QUALITY!$C$32&lt;1.81,QUALITY!$C$45&gt;-1.78),"HOLD (RISK FLAG)",IF(C10&gt;=$C$24+0.15,"STRONG BUY",IF(C10&gt;=$C$24,"BUY - MEETS BAR",IF(C10&gt;=$C$24-0.15,"HOLD / WATCH","OVERVALUED / AVOID"))))</f>
        <v/>
      </c>
      <c r="I6" s="4" t="n"/>
      <c r="J6" s="4" t="n"/>
      <c r="K6" s="4" t="n"/>
    </row>
    <row r="7">
      <c r="A7" s="4" t="n"/>
      <c r="B7" s="10" t="inlineStr">
        <is>
          <t>Blended fair value</t>
        </is>
      </c>
      <c r="C7" s="4" t="n"/>
      <c r="D7" s="4" t="n"/>
      <c r="E7" s="4" t="n"/>
      <c r="I7" s="4" t="n"/>
      <c r="J7" s="4" t="n"/>
      <c r="K7" s="4" t="n"/>
    </row>
    <row r="8">
      <c r="A8" s="4" t="n"/>
      <c r="B8" s="7" t="inlineStr">
        <is>
          <t>Blended fair value</t>
        </is>
      </c>
      <c r="C8" s="11">
        <f>IF((IF(IFERROR(DCF!$C$43,-1)&gt;0,ASSUMPTIONS!$C$123,0)+IF(IFERROR(DCF!$C$57,-1)&gt;0,ASSUMPTIONS!$C$124,0)+IF(IFERROR(RELATIVE!$C$17,-1)&gt;0,ASSUMPTIONS!$C$125,0)+IF(IFERROR(VALUE_HEURISTICS!$C$8,-1)&gt;0,ASSUMPTIONS!$C$126,0)+IF(IFERROR(VALUE_HEURISTICS!$C$6,-1)&gt;0,ASSUMPTIONS!$C$127,0)+IF(IFERROR(VALUE_HEURISTICS!$C$7,-1)&gt;0,ASSUMPTIONS!$C$128,0))=0,NA(),(IF(IFERROR(DCF!$C$43,-1)&gt;0,DCF!$C$43*ASSUMPTIONS!$C$123,0)+IF(IFERROR(DCF!$C$57,-1)&gt;0,DCF!$C$57*ASSUMPTIONS!$C$124,0)+IF(IFERROR(RELATIVE!$C$17,-1)&gt;0,RELATIVE!$C$17*ASSUMPTIONS!$C$125,0)+IF(IFERROR(VALUE_HEURISTICS!$C$8,-1)&gt;0,VALUE_HEURISTICS!$C$8*ASSUMPTIONS!$C$126,0)+IF(IFERROR(VALUE_HEURISTICS!$C$6,-1)&gt;0,VALUE_HEURISTICS!$C$6*ASSUMPTIONS!$C$127,0)+IF(IFERROR(VALUE_HEURISTICS!$C$7,-1)&gt;0,VALUE_HEURISTICS!$C$7*ASSUMPTIONS!$C$128,0))/(IF(IFERROR(DCF!$C$43,-1)&gt;0,ASSUMPTIONS!$C$123,0)+IF(IFERROR(DCF!$C$57,-1)&gt;0,ASSUMPTIONS!$C$124,0)+IF(IFERROR(RELATIVE!$C$17,-1)&gt;0,ASSUMPTIONS!$C$125,0)+IF(IFERROR(VALUE_HEURISTICS!$C$8,-1)&gt;0,ASSUMPTIONS!$C$126,0)+IF(IFERROR(VALUE_HEURISTICS!$C$6,-1)&gt;0,ASSUMPTIONS!$C$127,0)+IF(IFERROR(VALUE_HEURISTICS!$C$7,-1)&gt;0,ASSUMPTIONS!$C$128,0)))</f>
        <v/>
      </c>
      <c r="D8" s="4" t="n"/>
      <c r="E8" s="4" t="n"/>
      <c r="I8" s="4" t="n"/>
      <c r="J8" s="4" t="n"/>
      <c r="K8" s="4" t="n"/>
    </row>
    <row r="9">
      <c r="A9" s="4" t="n"/>
      <c r="B9" s="7" t="inlineStr">
        <is>
          <t>Upside vs price</t>
        </is>
      </c>
      <c r="C9" s="12">
        <f>C8/C6-1</f>
        <v/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7" t="inlineStr">
        <is>
          <t>Margin of safety</t>
        </is>
      </c>
      <c r="C10" s="12">
        <f>(C8-C6)/C8</f>
        <v/>
      </c>
      <c r="D10" s="4" t="n"/>
      <c r="E10" s="4" t="n"/>
      <c r="F10" s="5" t="inlineStr">
        <is>
          <t>E  N  T  R  Y     Z  O  N  E</t>
        </is>
      </c>
      <c r="G10" s="6" t="n"/>
      <c r="H10" s="6" t="n"/>
      <c r="I10" s="4" t="n"/>
      <c r="J10" s="4" t="n"/>
      <c r="K10" s="4" t="n"/>
    </row>
    <row r="11">
      <c r="A11" s="4" t="n"/>
      <c r="B11" s="10" t="inlineStr">
        <is>
          <t>Altman zone</t>
        </is>
      </c>
      <c r="C11" s="13">
        <f>QUALITY!$C$33</f>
        <v/>
      </c>
      <c r="D11" s="4" t="n"/>
      <c r="E11" s="4" t="n"/>
      <c r="F11" s="7" t="inlineStr">
        <is>
          <t>Buy below (FV*(1-req MoS))</t>
        </is>
      </c>
      <c r="G11" s="14">
        <f>C8*(1-C24)</f>
        <v/>
      </c>
      <c r="H11" s="4" t="n"/>
      <c r="I11" s="4" t="n"/>
      <c r="J11" s="4" t="n"/>
      <c r="K11" s="4" t="n"/>
    </row>
    <row r="12">
      <c r="A12" s="4" t="n"/>
      <c r="B12" s="10" t="inlineStr">
        <is>
          <t>Beneish flag</t>
        </is>
      </c>
      <c r="C12" s="13">
        <f>QUALITY!$C$46</f>
        <v/>
      </c>
      <c r="D12" s="4" t="n"/>
      <c r="E12" s="4" t="n"/>
      <c r="F12" s="10" t="inlineStr">
        <is>
          <t>Buy band low (FV*(1-req-10%))</t>
        </is>
      </c>
      <c r="G12" s="15">
        <f>C8*(1-C24-0.10)</f>
        <v/>
      </c>
      <c r="H12" s="4" t="n"/>
      <c r="I12" s="4" t="n"/>
      <c r="J12" s="4" t="n"/>
      <c r="K12" s="4" t="n"/>
    </row>
    <row r="13">
      <c r="A13" s="4" t="n"/>
      <c r="B13" s="10" t="inlineStr">
        <is>
          <t>Piotroski</t>
        </is>
      </c>
      <c r="C13" s="13">
        <f>QUALITY!$C$24&amp;" / 9"</f>
        <v/>
      </c>
      <c r="D13" s="4" t="n"/>
      <c r="E13" s="4" t="n"/>
      <c r="F13" s="10" t="inlineStr">
        <is>
          <t>Buy band high (= buy below)</t>
        </is>
      </c>
      <c r="G13" s="15">
        <f>C8*(1-C24)</f>
        <v/>
      </c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10" t="inlineStr">
        <is>
          <t>Nearest Fib support</t>
        </is>
      </c>
      <c r="G14" s="16">
        <f>TIMING!$C$21</f>
        <v/>
      </c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5" t="inlineStr">
        <is>
          <t>S  C  O  R  E     C  H  I  P  S</t>
        </is>
      </c>
      <c r="C16" s="6" t="n"/>
      <c r="D16" s="6" t="n"/>
      <c r="E16" s="4" t="n"/>
      <c r="F16" s="5" t="inlineStr">
        <is>
          <t>V  A  L  U  A  T  I  O  N     S  U  M  M  A  R  Y</t>
        </is>
      </c>
      <c r="G16" s="6" t="n"/>
      <c r="H16" s="6" t="n"/>
      <c r="I16" s="4" t="n"/>
      <c r="J16" s="4" t="n"/>
      <c r="K16" s="4" t="n"/>
    </row>
    <row r="17">
      <c r="A17" s="4" t="n"/>
      <c r="B17" s="10" t="inlineStr">
        <is>
          <t>Piotroski F-Score</t>
        </is>
      </c>
      <c r="C17" s="17">
        <f>QUALITY!$C$24</f>
        <v/>
      </c>
      <c r="D17" s="4" t="n"/>
      <c r="E17" s="4" t="n"/>
      <c r="F17" s="5" t="inlineStr">
        <is>
          <t>Method</t>
        </is>
      </c>
      <c r="G17" s="18" t="inlineStr">
        <is>
          <t>$/sh</t>
        </is>
      </c>
      <c r="H17" s="18" t="inlineStr">
        <is>
          <t>Upside</t>
        </is>
      </c>
      <c r="I17" s="4" t="n"/>
      <c r="J17" s="4" t="n"/>
      <c r="K17" s="4" t="n"/>
    </row>
    <row r="18">
      <c r="A18" s="4" t="n"/>
      <c r="B18" s="10" t="inlineStr">
        <is>
          <t>Altman Z</t>
        </is>
      </c>
      <c r="C18" s="19">
        <f>QUALITY!$C$32</f>
        <v/>
      </c>
      <c r="D18" s="4" t="n"/>
      <c r="E18" s="4" t="n"/>
      <c r="F18" s="20" t="inlineStr">
        <is>
          <t>DCF (FCFF)</t>
        </is>
      </c>
      <c r="G18" s="21">
        <f>IFERROR(DCF!$C$43,NA())</f>
        <v/>
      </c>
      <c r="H18" s="22">
        <f>IFERROR(DCF!$C$43/C6-1,NA())</f>
        <v/>
      </c>
      <c r="I18" s="4" t="n"/>
      <c r="J18" s="4" t="n"/>
      <c r="K18" s="4" t="n"/>
    </row>
    <row r="19">
      <c r="A19" s="4" t="n"/>
      <c r="B19" s="10" t="inlineStr">
        <is>
          <t>Beneish M</t>
        </is>
      </c>
      <c r="C19" s="23">
        <f>QUALITY!$C$45</f>
        <v/>
      </c>
      <c r="D19" s="4" t="n"/>
      <c r="E19" s="4" t="n"/>
      <c r="F19" s="20" t="inlineStr">
        <is>
          <t>DCF (FCFE)</t>
        </is>
      </c>
      <c r="G19" s="21">
        <f>IFERROR(DCF!$C$57,NA())</f>
        <v/>
      </c>
      <c r="H19" s="22">
        <f>IFERROR(DCF!$C$57/C6-1,NA())</f>
        <v/>
      </c>
      <c r="I19" s="4" t="n"/>
      <c r="J19" s="4" t="n"/>
      <c r="K19" s="4" t="n"/>
    </row>
    <row r="20">
      <c r="A20" s="4" t="n"/>
      <c r="B20" s="10" t="inlineStr">
        <is>
          <t>ROIC vs WACC spread</t>
        </is>
      </c>
      <c r="C20" s="24">
        <f>QUALITY!$C$8-DCF!$C$11</f>
        <v/>
      </c>
      <c r="D20" s="4" t="n"/>
      <c r="E20" s="4" t="n"/>
      <c r="F20" s="20" t="inlineStr">
        <is>
          <t>Relative (P/E &amp; EV/EBITDA)</t>
        </is>
      </c>
      <c r="G20" s="21">
        <f>IFERROR(RELATIVE!$C$17,NA())</f>
        <v/>
      </c>
      <c r="H20" s="22">
        <f>IFERROR(RELATIVE!$C$17/C6-1,NA())</f>
        <v/>
      </c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20" t="inlineStr">
        <is>
          <t>EPV</t>
        </is>
      </c>
      <c r="G21" s="21">
        <f>IFERROR(VALUE_HEURISTICS!$C$8,NA())</f>
        <v/>
      </c>
      <c r="H21" s="22">
        <f>IFERROR(VALUE_HEURISTICS!$C$8/C6-1,NA())</f>
        <v/>
      </c>
      <c r="I21" s="4" t="n"/>
      <c r="J21" s="4" t="n"/>
      <c r="K21" s="4" t="n"/>
    </row>
    <row r="22">
      <c r="A22" s="4" t="n"/>
      <c r="B22" s="5" t="inlineStr">
        <is>
          <t>C  O  N  T  E  X  T     &amp;     R  E  G  I  M  E</t>
        </is>
      </c>
      <c r="C22" s="6" t="n"/>
      <c r="D22" s="6" t="n"/>
      <c r="E22" s="4" t="n"/>
      <c r="F22" s="20" t="inlineStr">
        <is>
          <t>Graham Number</t>
        </is>
      </c>
      <c r="G22" s="21">
        <f>IFERROR(VALUE_HEURISTICS!$C$6,NA())</f>
        <v/>
      </c>
      <c r="H22" s="22">
        <f>IFERROR(VALUE_HEURISTICS!$C$6/C6-1,NA())</f>
        <v/>
      </c>
      <c r="I22" s="4" t="n"/>
      <c r="J22" s="4" t="n"/>
      <c r="K22" s="4" t="n"/>
    </row>
    <row r="23">
      <c r="A23" s="4" t="n"/>
      <c r="B23" s="10" t="inlineStr">
        <is>
          <t>Quality tier</t>
        </is>
      </c>
      <c r="C23" s="25">
        <f>CONTEXT!$C$18</f>
        <v/>
      </c>
      <c r="D23" s="4" t="n"/>
      <c r="E23" s="4" t="n"/>
      <c r="F23" s="20" t="inlineStr">
        <is>
          <t>Graham Formula</t>
        </is>
      </c>
      <c r="G23" s="21">
        <f>IFERROR(VALUE_HEURISTICS!$C$7,NA())</f>
        <v/>
      </c>
      <c r="H23" s="22">
        <f>IFERROR(VALUE_HEURISTICS!$C$7/C6-1,NA())</f>
        <v/>
      </c>
      <c r="I23" s="4" t="n"/>
      <c r="J23" s="4" t="n"/>
      <c r="K23" s="4" t="n"/>
    </row>
    <row r="24">
      <c r="A24" s="4" t="n"/>
      <c r="B24" s="10" t="inlineStr">
        <is>
          <t>Required MoS (effective)</t>
        </is>
      </c>
      <c r="C24" s="26">
        <f>CONTEXT!$C$40</f>
        <v/>
      </c>
      <c r="D24" s="4" t="n"/>
      <c r="E24" s="4" t="n"/>
      <c r="F24" s="20" t="inlineStr">
        <is>
          <t>Prob-weighted scenario</t>
        </is>
      </c>
      <c r="G24" s="21">
        <f>IFERROR(SCENARIO_MC!$C$36,NA())</f>
        <v/>
      </c>
      <c r="H24" s="22">
        <f>IFERROR(SCENARIO_MC!$C$36/C6-1,NA())</f>
        <v/>
      </c>
      <c r="I24" s="4" t="n"/>
      <c r="J24" s="4" t="n"/>
      <c r="K24" s="4" t="n"/>
    </row>
    <row r="25">
      <c r="A25" s="4" t="n"/>
      <c r="B25" s="10" t="inlineStr">
        <is>
          <t>Valuation vs own 10y</t>
        </is>
      </c>
      <c r="C25" s="25">
        <f>CONTEXT!$C$12</f>
        <v/>
      </c>
      <c r="D25" s="4" t="n"/>
      <c r="E25" s="4" t="n"/>
      <c r="F25" s="20" t="inlineStr">
        <is>
          <t>Monte Carlo median</t>
        </is>
      </c>
      <c r="G25" s="21">
        <f>IFERROR(SCENARIO_MC!$O$8,NA())</f>
        <v/>
      </c>
      <c r="H25" s="22">
        <f>IFERROR(SCENARIO_MC!$O$8/C6-1,NA())</f>
        <v/>
      </c>
      <c r="I25" s="4" t="n"/>
      <c r="J25" s="4" t="n"/>
      <c r="K25" s="4" t="n"/>
    </row>
    <row r="26">
      <c r="A26" s="4" t="n"/>
      <c r="B26" s="10" t="inlineStr">
        <is>
          <t>Market regime</t>
        </is>
      </c>
      <c r="C26" s="25">
        <f>CONTEXT!$C$28</f>
        <v/>
      </c>
      <c r="D26" s="4" t="n"/>
      <c r="E26" s="4" t="n"/>
      <c r="F26" s="27" t="inlineStr">
        <is>
          <t>BLENDED FAIR VALUE</t>
        </is>
      </c>
      <c r="G26" s="28">
        <f>C8</f>
        <v/>
      </c>
      <c r="H26" s="29">
        <f>C8/C6-1</f>
        <v/>
      </c>
      <c r="I26" s="4" t="n"/>
      <c r="J26" s="4" t="n"/>
      <c r="K26" s="4" t="n"/>
    </row>
    <row r="27">
      <c r="A27" s="4" t="n"/>
      <c r="B27" s="10" t="inlineStr">
        <is>
          <t>Meets bar to buy?</t>
        </is>
      </c>
      <c r="C27" s="30">
        <f>IF(C10&gt;=C24,"YES","NO")</f>
        <v/>
      </c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5" t="inlineStr">
        <is>
          <t>T  H  E  S  I  S</t>
        </is>
      </c>
      <c r="C28" s="6" t="n"/>
      <c r="D28" s="6" t="n"/>
      <c r="E28" s="6" t="n"/>
      <c r="F28" s="6" t="n"/>
      <c r="G28" s="6" t="n"/>
      <c r="H28" s="6" t="n"/>
      <c r="I28" s="4" t="n"/>
      <c r="J28" s="4" t="n"/>
      <c r="K28" s="4" t="n"/>
    </row>
    <row r="29">
      <c r="A29" s="4" t="n"/>
      <c r="B29" s="31">
        <f>"At $"&amp;TEXT(C6,"0.00")&amp;", APEX trades at "&amp;TEXT(C9,"0.0%")&amp;" upside to blended FV of $"&amp;TEXT(C8,"0.00")&amp;" (MoS "&amp;TEXT(C10,"0.0%")&amp;"). "&amp;"ROIC "&amp;IF(QUALITY!$C$8&gt;DCF!$C$11,"exceeds","trails")&amp;" WACC; Altman "&amp;QUALITY!$C$33&amp;", Beneish "&amp;QUALITY!$C$46&amp;", Piotroski "&amp;QUALITY!$C$24&amp;"/9. Buy below $"&amp;TEXT(G11,"0.00")&amp;"."</f>
        <v/>
      </c>
      <c r="I29" s="4" t="n"/>
      <c r="J29" s="4" t="n"/>
      <c r="K29" s="4" t="n"/>
    </row>
    <row r="30">
      <c r="A30" s="4" t="n"/>
      <c r="I30" s="4" t="n"/>
      <c r="J30" s="4" t="n"/>
      <c r="K30" s="4" t="n"/>
    </row>
    <row r="31">
      <c r="A31" s="4" t="n"/>
      <c r="B31" s="32">
        <f>IF(QUALITY!$C$24&lt;4,"⚠ Caution: Piotroski below 4 — weak fundamental momentum.",IF(OR(QUALITY!$C$32&lt;1.81,QUALITY!$C$45&gt;-1.78),"⚠ Risk flag active — verdict capped at HOLD.",""))</f>
        <v/>
      </c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</sheetData>
  <mergeCells count="6">
    <mergeCell ref="A1:K1"/>
    <mergeCell ref="A2:K2"/>
    <mergeCell ref="A3:K3"/>
    <mergeCell ref="F6:H8"/>
    <mergeCell ref="B29:H30"/>
    <mergeCell ref="B31:H31"/>
  </mergeCells>
  <conditionalFormatting sqref="F6">
    <cfRule type="expression" priority="1" dxfId="0">
      <formula>AND($C$10&gt;=$C$24+0.15,$C$18&gt;=1.81,$C$19&lt;=-1.78)</formula>
    </cfRule>
    <cfRule type="expression" priority="2" dxfId="0">
      <formula>AND($C$10&gt;=$C$24,$C$10&lt;$C$24+0.15)</formula>
    </cfRule>
    <cfRule type="expression" priority="3" dxfId="1">
      <formula>AND($C$10&gt;=$C$24-0.15,$C$10&lt;$C$24)</formula>
    </cfRule>
    <cfRule type="expression" priority="4" dxfId="2">
      <formula>$C$10&lt;$C$24-0.15</formula>
    </cfRule>
    <cfRule type="expression" priority="5" dxfId="2">
      <formula>OR($C$18&lt;1.81,$C$19&gt;-1.78)</formula>
    </cfRule>
  </conditionalFormatting>
  <conditionalFormatting sqref="C17">
    <cfRule type="cellIs" priority="6" operator="greaterThanOrEqual" dxfId="3">
      <formula>7</formula>
    </cfRule>
    <cfRule type="cellIs" priority="7" operator="between" dxfId="4">
      <formula>4</formula>
      <formula>6</formula>
    </cfRule>
    <cfRule type="cellIs" priority="8" operator="lessThan" dxfId="5">
      <formula>4</formula>
    </cfRule>
  </conditionalFormatting>
  <conditionalFormatting sqref="C18">
    <cfRule type="cellIs" priority="9" operator="greaterThan" dxfId="3">
      <formula>2.99</formula>
    </cfRule>
    <cfRule type="cellIs" priority="10" operator="between" dxfId="4">
      <formula>1.81</formula>
      <formula>2.99</formula>
    </cfRule>
    <cfRule type="cellIs" priority="11" operator="lessThan" dxfId="5">
      <formula>1.81</formula>
    </cfRule>
  </conditionalFormatting>
  <conditionalFormatting sqref="C19">
    <cfRule type="cellIs" priority="12" operator="greaterThan" dxfId="5">
      <formula>-1.78</formula>
    </cfRule>
    <cfRule type="cellIs" priority="13" operator="lessThanOrEqual" dxfId="3">
      <formula>-1.78</formula>
    </cfRule>
  </conditionalFormatting>
  <conditionalFormatting sqref="C20">
    <cfRule type="cellIs" priority="14" operator="greaterThan" dxfId="3">
      <formula>0</formula>
    </cfRule>
    <cfRule type="cellIs" priority="15" operator="lessThanOrEqual" dxfId="5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31A2B"/>
    <outlinePr summaryBelow="1" summaryRight="1"/>
    <pageSetUpPr/>
  </sheetPr>
  <dimension ref="A1:F1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3" customWidth="1" min="4" max="4"/>
    <col width="60" customWidth="1" min="5" max="5"/>
    <col width="3" customWidth="1" min="6" max="6"/>
  </cols>
  <sheetData>
    <row r="1" ht="26" customHeight="1">
      <c r="A1" s="1" t="inlineStr">
        <is>
          <t>ASSUMPTIONS</t>
        </is>
      </c>
    </row>
    <row r="2" ht="16" customHeight="1">
      <c r="A2" s="2" t="inlineStr">
        <is>
          <t>Single source of truth — every gold cell is editable; all other sheets reference these.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6" t="n"/>
      <c r="B5" s="5" t="inlineStr">
        <is>
          <t>M  A  R  K  E  T</t>
        </is>
      </c>
      <c r="C5" s="18" t="inlineStr">
        <is>
          <t>VALUE</t>
        </is>
      </c>
      <c r="D5" s="6" t="n"/>
      <c r="E5" s="5" t="inlineStr">
        <is>
          <t>NOTE</t>
        </is>
      </c>
      <c r="F5" s="6" t="n"/>
    </row>
    <row r="6">
      <c r="A6" s="4" t="n"/>
      <c r="B6" s="7" t="inlineStr">
        <is>
          <t>Current price ($/sh)</t>
        </is>
      </c>
      <c r="C6" s="33" t="n">
        <v>185</v>
      </c>
      <c r="D6" s="4" t="n"/>
      <c r="E6" s="34" t="inlineStr">
        <is>
          <t>Live market price per share</t>
        </is>
      </c>
      <c r="F6" s="4" t="n"/>
    </row>
    <row r="7">
      <c r="A7" s="4" t="n"/>
      <c r="B7" s="7" t="inlineStr">
        <is>
          <t>Shares outstanding (M)</t>
        </is>
      </c>
      <c r="C7" s="35" t="n">
        <v>1000</v>
      </c>
      <c r="D7" s="4" t="n"/>
      <c r="E7" s="34" t="inlineStr">
        <is>
          <t>Diluted shares, millions</t>
        </is>
      </c>
      <c r="F7" s="4" t="n"/>
    </row>
    <row r="8">
      <c r="A8" s="4" t="n"/>
      <c r="B8" s="7" t="inlineStr">
        <is>
          <t>52-week high ($)</t>
        </is>
      </c>
      <c r="C8" s="33" t="n">
        <v>230</v>
      </c>
      <c r="D8" s="4" t="n"/>
      <c r="E8" s="34" t="inlineStr">
        <is>
          <t>52w high</t>
        </is>
      </c>
      <c r="F8" s="4" t="n"/>
    </row>
    <row r="9">
      <c r="A9" s="4" t="n"/>
      <c r="B9" s="7" t="inlineStr">
        <is>
          <t>52-week low ($)</t>
        </is>
      </c>
      <c r="C9" s="33" t="n">
        <v>140</v>
      </c>
      <c r="D9" s="4" t="n"/>
      <c r="E9" s="34" t="inlineStr">
        <is>
          <t>52w low</t>
        </is>
      </c>
      <c r="F9" s="4" t="n"/>
    </row>
    <row r="10">
      <c r="A10" s="4" t="n"/>
      <c r="B10" s="7" t="inlineStr">
        <is>
          <t>Swing high ($)</t>
        </is>
      </c>
      <c r="C10" s="33" t="n">
        <v>210</v>
      </c>
      <c r="D10" s="4" t="n"/>
      <c r="E10" s="34" t="inlineStr">
        <is>
          <t>Recent swing high for Fib</t>
        </is>
      </c>
      <c r="F10" s="4" t="n"/>
    </row>
    <row r="11">
      <c r="A11" s="4" t="n"/>
      <c r="B11" s="7" t="inlineStr">
        <is>
          <t>Swing low ($)</t>
        </is>
      </c>
      <c r="C11" s="33" t="n">
        <v>150</v>
      </c>
      <c r="D11" s="4" t="n"/>
      <c r="E11" s="34" t="inlineStr">
        <is>
          <t>Recent swing low for Fib</t>
        </is>
      </c>
      <c r="F11" s="4" t="n"/>
    </row>
    <row r="12">
      <c r="A12" s="4" t="n"/>
      <c r="B12" s="7" t="inlineStr">
        <is>
          <t>50-day MA ($)</t>
        </is>
      </c>
      <c r="C12" s="33" t="n">
        <v>182</v>
      </c>
      <c r="D12" s="4" t="n"/>
      <c r="E12" s="34" t="inlineStr">
        <is>
          <t>50DMA</t>
        </is>
      </c>
      <c r="F12" s="4" t="n"/>
    </row>
    <row r="13">
      <c r="A13" s="4" t="n"/>
      <c r="B13" s="7" t="inlineStr">
        <is>
          <t>200-day MA ($)</t>
        </is>
      </c>
      <c r="C13" s="33" t="n">
        <v>176</v>
      </c>
      <c r="D13" s="4" t="n"/>
      <c r="E13" s="34" t="inlineStr">
        <is>
          <t>200DMA</t>
        </is>
      </c>
      <c r="F13" s="4" t="n"/>
    </row>
    <row r="14">
      <c r="A14" s="4" t="n"/>
      <c r="B14" s="7" t="inlineStr">
        <is>
          <t>RSI(14)</t>
        </is>
      </c>
      <c r="C14" s="36" t="n">
        <v>55</v>
      </c>
      <c r="D14" s="4" t="n"/>
      <c r="E14" s="34" t="inlineStr">
        <is>
          <t>Relative strength index</t>
        </is>
      </c>
      <c r="F14" s="4" t="n"/>
    </row>
    <row r="15">
      <c r="A15" s="4" t="n"/>
      <c r="B15" s="7" t="inlineStr">
        <is>
          <t>Beta</t>
        </is>
      </c>
      <c r="C15" s="37" t="n">
        <v>1.15</v>
      </c>
      <c r="D15" s="4" t="n"/>
      <c r="E15" s="34" t="inlineStr">
        <is>
          <t>Levered equity beta</t>
        </is>
      </c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6" t="n"/>
      <c r="B17" s="5" t="inlineStr">
        <is>
          <t>I  N  C  O  M  E     &amp;     C  A  S  H     F  L  O  W     (  T  T  M  )</t>
        </is>
      </c>
      <c r="C17" s="18" t="inlineStr">
        <is>
          <t>VALUE</t>
        </is>
      </c>
      <c r="D17" s="6" t="n"/>
      <c r="E17" s="5" t="inlineStr">
        <is>
          <t>NOTE</t>
        </is>
      </c>
      <c r="F17" s="6" t="n"/>
    </row>
    <row r="18">
      <c r="A18" s="4" t="n"/>
      <c r="B18" s="7" t="inlineStr">
        <is>
          <t>Revenue ($M)</t>
        </is>
      </c>
      <c r="C18" s="35" t="n">
        <v>80000</v>
      </c>
      <c r="D18" s="4" t="n"/>
      <c r="E18" s="34" t="inlineStr">
        <is>
          <t>TTM revenue, millions</t>
        </is>
      </c>
      <c r="F18" s="4" t="n"/>
    </row>
    <row r="19">
      <c r="A19" s="4" t="n"/>
      <c r="B19" s="7" t="inlineStr">
        <is>
          <t>EBIT margin</t>
        </is>
      </c>
      <c r="C19" s="38" t="n">
        <v>0.28</v>
      </c>
      <c r="D19" s="4" t="n"/>
      <c r="E19" s="34" t="inlineStr">
        <is>
          <t>Operating margin</t>
        </is>
      </c>
      <c r="F19" s="4" t="n"/>
    </row>
    <row r="20">
      <c r="A20" s="4" t="n"/>
      <c r="B20" s="7" t="inlineStr">
        <is>
          <t>Tax rate</t>
        </is>
      </c>
      <c r="C20" s="38" t="n">
        <v>0.21</v>
      </c>
      <c r="D20" s="4" t="n"/>
      <c r="E20" s="34" t="inlineStr">
        <is>
          <t>Effective / marginal tax</t>
        </is>
      </c>
      <c r="F20" s="4" t="n"/>
    </row>
    <row r="21">
      <c r="A21" s="4" t="n"/>
      <c r="B21" s="7" t="inlineStr">
        <is>
          <t>D&amp;A (% of revenue)</t>
        </is>
      </c>
      <c r="C21" s="38" t="n">
        <v>0.04</v>
      </c>
      <c r="D21" s="4" t="n"/>
      <c r="E21" s="34" t="inlineStr">
        <is>
          <t>Depreciation &amp; amortization</t>
        </is>
      </c>
      <c r="F21" s="4" t="n"/>
    </row>
    <row r="22">
      <c r="A22" s="4" t="n"/>
      <c r="B22" s="7" t="inlineStr">
        <is>
          <t>CapEx (% of revenue)</t>
        </is>
      </c>
      <c r="C22" s="38" t="n">
        <v>0.05</v>
      </c>
      <c r="D22" s="4" t="n"/>
      <c r="E22" s="34" t="inlineStr">
        <is>
          <t>Capital expenditure</t>
        </is>
      </c>
      <c r="F22" s="4" t="n"/>
    </row>
    <row r="23">
      <c r="A23" s="4" t="n"/>
      <c r="B23" s="7" t="inlineStr">
        <is>
          <t>Change in NWC (% of dRev)</t>
        </is>
      </c>
      <c r="C23" s="38" t="n">
        <v>0.12</v>
      </c>
      <c r="D23" s="4" t="n"/>
      <c r="E23" s="34" t="inlineStr">
        <is>
          <t>Working-cap investment on YoY rev increase</t>
        </is>
      </c>
      <c r="F23" s="4" t="n"/>
    </row>
    <row r="24">
      <c r="A24" s="4" t="n"/>
      <c r="B24" s="7" t="inlineStr">
        <is>
          <t>Interest expense ($M)</t>
        </is>
      </c>
      <c r="C24" s="35" t="n">
        <v>1000</v>
      </c>
      <c r="D24" s="4" t="n"/>
      <c r="E24" s="34" t="inlineStr">
        <is>
          <t>TTM interest expense</t>
        </is>
      </c>
      <c r="F24" s="4" t="n"/>
    </row>
    <row r="25">
      <c r="A25" s="4" t="n"/>
      <c r="B25" s="7" t="inlineStr">
        <is>
          <t>Net income ($M)</t>
        </is>
      </c>
      <c r="C25" s="35" t="n">
        <v>16900</v>
      </c>
      <c r="D25" s="4" t="n"/>
      <c r="E25" s="34" t="inlineStr">
        <is>
          <t>TTM net income</t>
        </is>
      </c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6" t="n"/>
      <c r="B27" s="5" t="inlineStr">
        <is>
          <t>B  A  L  A  N  C  E     S  H  E  E  T</t>
        </is>
      </c>
      <c r="C27" s="18" t="inlineStr">
        <is>
          <t>VALUE</t>
        </is>
      </c>
      <c r="D27" s="6" t="n"/>
      <c r="E27" s="5" t="inlineStr">
        <is>
          <t>NOTE</t>
        </is>
      </c>
      <c r="F27" s="6" t="n"/>
    </row>
    <row r="28">
      <c r="A28" s="4" t="n"/>
      <c r="B28" s="7" t="inlineStr">
        <is>
          <t>Total debt ($M)</t>
        </is>
      </c>
      <c r="C28" s="35" t="n">
        <v>20000</v>
      </c>
      <c r="D28" s="4" t="n"/>
      <c r="E28" s="34" t="inlineStr">
        <is>
          <t>Short + long term debt</t>
        </is>
      </c>
      <c r="F28" s="4" t="n"/>
    </row>
    <row r="29">
      <c r="A29" s="4" t="n"/>
      <c r="B29" s="7" t="inlineStr">
        <is>
          <t>Cash &amp; equivalents ($M)</t>
        </is>
      </c>
      <c r="C29" s="35" t="n">
        <v>15000</v>
      </c>
      <c r="D29" s="4" t="n"/>
      <c r="E29" s="34" t="inlineStr">
        <is>
          <t>Cash + ST investments</t>
        </is>
      </c>
      <c r="F29" s="4" t="n"/>
    </row>
    <row r="30">
      <c r="A30" s="4" t="n"/>
      <c r="B30" s="7" t="inlineStr">
        <is>
          <t>Book value of equity ($M)</t>
        </is>
      </c>
      <c r="C30" s="35" t="n">
        <v>50000</v>
      </c>
      <c r="D30" s="4" t="n"/>
      <c r="E30" s="34" t="inlineStr">
        <is>
          <t>Total shareholders equity</t>
        </is>
      </c>
      <c r="F30" s="4" t="n"/>
    </row>
    <row r="31">
      <c r="A31" s="4" t="n"/>
      <c r="B31" s="7" t="inlineStr">
        <is>
          <t>Total assets ($M)</t>
        </is>
      </c>
      <c r="C31" s="35" t="n">
        <v>95000</v>
      </c>
      <c r="D31" s="4" t="n"/>
      <c r="E31" s="34" t="inlineStr">
        <is>
          <t>Total assets</t>
        </is>
      </c>
      <c r="F31" s="4" t="n"/>
    </row>
    <row r="32">
      <c r="A32" s="4" t="n"/>
      <c r="B32" s="7" t="inlineStr">
        <is>
          <t>Total current assets ($M)</t>
        </is>
      </c>
      <c r="C32" s="35" t="n">
        <v>38000</v>
      </c>
      <c r="D32" s="4" t="n"/>
      <c r="E32" s="34" t="inlineStr">
        <is>
          <t>Current assets</t>
        </is>
      </c>
      <c r="F32" s="4" t="n"/>
    </row>
    <row r="33">
      <c r="A33" s="4" t="n"/>
      <c r="B33" s="7" t="inlineStr">
        <is>
          <t>Total current liabilities ($M)</t>
        </is>
      </c>
      <c r="C33" s="35" t="n">
        <v>22000</v>
      </c>
      <c r="D33" s="4" t="n"/>
      <c r="E33" s="34" t="inlineStr">
        <is>
          <t>Current liabilities</t>
        </is>
      </c>
      <c r="F33" s="4" t="n"/>
    </row>
    <row r="34">
      <c r="A34" s="4" t="n"/>
      <c r="B34" s="7" t="inlineStr">
        <is>
          <t>Retained earnings ($M)</t>
        </is>
      </c>
      <c r="C34" s="35" t="n">
        <v>30000</v>
      </c>
      <c r="D34" s="4" t="n"/>
      <c r="E34" s="34" t="inlineStr">
        <is>
          <t>Retained earnings</t>
        </is>
      </c>
      <c r="F34" s="4" t="n"/>
    </row>
    <row r="35">
      <c r="A35" s="4" t="n"/>
      <c r="B35" s="7" t="inlineStr">
        <is>
          <t>Total liabilities ($M)</t>
        </is>
      </c>
      <c r="C35" s="35" t="n">
        <v>45000</v>
      </c>
      <c r="D35" s="4" t="n"/>
      <c r="E35" s="34" t="inlineStr">
        <is>
          <t>Total liabilities</t>
        </is>
      </c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6" t="n"/>
      <c r="B37" s="5" t="inlineStr">
        <is>
          <t>G  R  O  W  T  H</t>
        </is>
      </c>
      <c r="C37" s="18" t="inlineStr">
        <is>
          <t>VALUE</t>
        </is>
      </c>
      <c r="D37" s="6" t="n"/>
      <c r="E37" s="5" t="inlineStr">
        <is>
          <t>NOTE</t>
        </is>
      </c>
      <c r="F37" s="6" t="n"/>
    </row>
    <row r="38">
      <c r="A38" s="4" t="n"/>
      <c r="B38" s="7" t="inlineStr">
        <is>
          <t>Revenue growth yr 1</t>
        </is>
      </c>
      <c r="C38" s="38" t="n">
        <v>0.12</v>
      </c>
      <c r="D38" s="4" t="n"/>
      <c r="E38" s="34" t="inlineStr">
        <is>
          <t>Explicit stage growth</t>
        </is>
      </c>
      <c r="F38" s="4" t="n"/>
    </row>
    <row r="39">
      <c r="A39" s="4" t="n"/>
      <c r="B39" s="7" t="inlineStr">
        <is>
          <t>Revenue growth yr 2</t>
        </is>
      </c>
      <c r="C39" s="38" t="n">
        <v>0.11</v>
      </c>
      <c r="D39" s="4" t="n"/>
      <c r="E39" s="34" t="inlineStr"/>
      <c r="F39" s="4" t="n"/>
    </row>
    <row r="40">
      <c r="A40" s="4" t="n"/>
      <c r="B40" s="7" t="inlineStr">
        <is>
          <t>Revenue growth yr 3</t>
        </is>
      </c>
      <c r="C40" s="38" t="n">
        <v>0.1</v>
      </c>
      <c r="D40" s="4" t="n"/>
      <c r="E40" s="34" t="inlineStr"/>
      <c r="F40" s="4" t="n"/>
    </row>
    <row r="41">
      <c r="A41" s="4" t="n"/>
      <c r="B41" s="7" t="inlineStr">
        <is>
          <t>Revenue growth yr 4</t>
        </is>
      </c>
      <c r="C41" s="38" t="n">
        <v>0.09</v>
      </c>
      <c r="D41" s="4" t="n"/>
      <c r="E41" s="34" t="inlineStr"/>
      <c r="F41" s="4" t="n"/>
    </row>
    <row r="42">
      <c r="A42" s="4" t="n"/>
      <c r="B42" s="7" t="inlineStr">
        <is>
          <t>Revenue growth yr 5</t>
        </is>
      </c>
      <c r="C42" s="38" t="n">
        <v>0.08</v>
      </c>
      <c r="D42" s="4" t="n"/>
      <c r="E42" s="34" t="inlineStr"/>
      <c r="F42" s="4" t="n"/>
    </row>
    <row r="43">
      <c r="A43" s="4" t="n"/>
      <c r="B43" s="7" t="inlineStr">
        <is>
          <t>Terminal growth</t>
        </is>
      </c>
      <c r="C43" s="38" t="n">
        <v>0.03</v>
      </c>
      <c r="D43" s="4" t="n"/>
      <c r="E43" s="34" t="inlineStr">
        <is>
          <t>Perpetuity growth rate</t>
        </is>
      </c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6" t="n"/>
      <c r="B45" s="5" t="inlineStr">
        <is>
          <t>W  A  C  C     I  N  P  U  T  S</t>
        </is>
      </c>
      <c r="C45" s="18" t="inlineStr">
        <is>
          <t>VALUE</t>
        </is>
      </c>
      <c r="D45" s="6" t="n"/>
      <c r="E45" s="5" t="inlineStr">
        <is>
          <t>NOTE</t>
        </is>
      </c>
      <c r="F45" s="6" t="n"/>
    </row>
    <row r="46">
      <c r="A46" s="4" t="n"/>
      <c r="B46" s="7" t="inlineStr">
        <is>
          <t>Risk-free rate</t>
        </is>
      </c>
      <c r="C46" s="38" t="n">
        <v>0.043</v>
      </c>
      <c r="D46" s="4" t="n"/>
      <c r="E46" s="34" t="inlineStr">
        <is>
          <t>10y treasury</t>
        </is>
      </c>
      <c r="F46" s="4" t="n"/>
    </row>
    <row r="47">
      <c r="A47" s="4" t="n"/>
      <c r="B47" s="7" t="inlineStr">
        <is>
          <t>Equity risk premium</t>
        </is>
      </c>
      <c r="C47" s="38" t="n">
        <v>0.05</v>
      </c>
      <c r="D47" s="4" t="n"/>
      <c r="E47" s="34" t="inlineStr">
        <is>
          <t>Market risk premium</t>
        </is>
      </c>
      <c r="F47" s="4" t="n"/>
    </row>
    <row r="48">
      <c r="A48" s="4" t="n"/>
      <c r="B48" s="7" t="inlineStr">
        <is>
          <t>Pre-tax cost of debt</t>
        </is>
      </c>
      <c r="C48" s="38" t="n">
        <v>0.05</v>
      </c>
      <c r="D48" s="4" t="n"/>
      <c r="E48" s="34" t="inlineStr">
        <is>
          <t>Yield on debt</t>
        </is>
      </c>
      <c r="F48" s="4" t="n"/>
    </row>
    <row r="49">
      <c r="A49" s="4" t="n"/>
      <c r="B49" s="7" t="inlineStr">
        <is>
          <t>AAA corp bond yield</t>
        </is>
      </c>
      <c r="C49" s="38" t="n">
        <v>0.045</v>
      </c>
      <c r="D49" s="4" t="n"/>
      <c r="E49" s="34" t="inlineStr">
        <is>
          <t>For Graham revised formula</t>
        </is>
      </c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6" t="n"/>
      <c r="B51" s="5" t="inlineStr">
        <is>
          <t>R  E  L  A  T  I  V  E     P  E  E  R  S     (  M  E  D  I  A  N  S  )</t>
        </is>
      </c>
      <c r="C51" s="18" t="inlineStr">
        <is>
          <t>VALUE</t>
        </is>
      </c>
      <c r="D51" s="6" t="n"/>
      <c r="E51" s="5" t="inlineStr">
        <is>
          <t>NOTE</t>
        </is>
      </c>
      <c r="F51" s="6" t="n"/>
    </row>
    <row r="52">
      <c r="A52" s="4" t="n"/>
      <c r="B52" s="7" t="inlineStr">
        <is>
          <t>Peer P/E</t>
        </is>
      </c>
      <c r="C52" s="39" t="n">
        <v>16</v>
      </c>
      <c r="D52" s="4" t="n"/>
      <c r="E52" s="34" t="inlineStr">
        <is>
          <t>Trailing P/E median</t>
        </is>
      </c>
      <c r="F52" s="4" t="n"/>
    </row>
    <row r="53">
      <c r="A53" s="4" t="n"/>
      <c r="B53" s="7" t="inlineStr">
        <is>
          <t>Peer forward P/E</t>
        </is>
      </c>
      <c r="C53" s="39" t="n">
        <v>14</v>
      </c>
      <c r="D53" s="4" t="n"/>
      <c r="E53" s="34" t="inlineStr">
        <is>
          <t>Forward P/E median</t>
        </is>
      </c>
      <c r="F53" s="4" t="n"/>
    </row>
    <row r="54">
      <c r="A54" s="4" t="n"/>
      <c r="B54" s="7" t="inlineStr">
        <is>
          <t>Peer EV/EBITDA</t>
        </is>
      </c>
      <c r="C54" s="39" t="n">
        <v>13</v>
      </c>
      <c r="D54" s="4" t="n"/>
      <c r="E54" s="34" t="inlineStr">
        <is>
          <t>EV/EBITDA median</t>
        </is>
      </c>
      <c r="F54" s="4" t="n"/>
    </row>
    <row r="55">
      <c r="A55" s="4" t="n"/>
      <c r="B55" s="7" t="inlineStr">
        <is>
          <t>Peer EV/Sales</t>
        </is>
      </c>
      <c r="C55" s="39" t="n">
        <v>4</v>
      </c>
      <c r="D55" s="4" t="n"/>
      <c r="E55" s="34" t="inlineStr">
        <is>
          <t>EV/Sales median</t>
        </is>
      </c>
      <c r="F55" s="4" t="n"/>
    </row>
    <row r="56">
      <c r="A56" s="4" t="n"/>
      <c r="B56" s="7" t="inlineStr">
        <is>
          <t>Peer P/B</t>
        </is>
      </c>
      <c r="C56" s="39" t="n">
        <v>4.5</v>
      </c>
      <c r="D56" s="4" t="n"/>
      <c r="E56" s="34" t="inlineStr">
        <is>
          <t>Price/Book median</t>
        </is>
      </c>
      <c r="F56" s="4" t="n"/>
    </row>
    <row r="57">
      <c r="A57" s="4" t="n"/>
      <c r="B57" s="7" t="inlineStr">
        <is>
          <t>Peer P/FCF</t>
        </is>
      </c>
      <c r="C57" s="39" t="n">
        <v>20</v>
      </c>
      <c r="D57" s="4" t="n"/>
      <c r="E57" s="34" t="inlineStr">
        <is>
          <t>Price/FCF median</t>
        </is>
      </c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6" t="n"/>
      <c r="B59" s="5" t="inlineStr">
        <is>
          <t>S  C  E  N  A  R  I  O     D  E  L  T  A  S</t>
        </is>
      </c>
      <c r="C59" s="18" t="inlineStr">
        <is>
          <t>VALUE</t>
        </is>
      </c>
      <c r="D59" s="6" t="n"/>
      <c r="E59" s="5" t="inlineStr">
        <is>
          <t>NOTE</t>
        </is>
      </c>
      <c r="F59" s="6" t="n"/>
    </row>
    <row r="60">
      <c r="A60" s="4" t="n"/>
      <c r="B60" s="7" t="inlineStr">
        <is>
          <t>Exit EV/EBITDA - BASE</t>
        </is>
      </c>
      <c r="C60" s="39" t="n">
        <v>13</v>
      </c>
      <c r="D60" s="4" t="n"/>
      <c r="E60" s="34" t="inlineStr">
        <is>
          <t>Base exit multiple</t>
        </is>
      </c>
      <c r="F60" s="4" t="n"/>
    </row>
    <row r="61">
      <c r="A61" s="4" t="n"/>
      <c r="B61" s="7" t="inlineStr">
        <is>
          <t>Exit EV/EBITDA - BEAR</t>
        </is>
      </c>
      <c r="C61" s="39" t="n">
        <v>10</v>
      </c>
      <c r="D61" s="4" t="n"/>
      <c r="E61" s="34" t="inlineStr">
        <is>
          <t>Bear exit multiple</t>
        </is>
      </c>
      <c r="F61" s="4" t="n"/>
    </row>
    <row r="62">
      <c r="A62" s="4" t="n"/>
      <c r="B62" s="7" t="inlineStr">
        <is>
          <t>Exit EV/EBITDA - BULL</t>
        </is>
      </c>
      <c r="C62" s="39" t="n">
        <v>16</v>
      </c>
      <c r="D62" s="4" t="n"/>
      <c r="E62" s="34" t="inlineStr">
        <is>
          <t>Bull exit multiple</t>
        </is>
      </c>
      <c r="F62" s="4" t="n"/>
    </row>
    <row r="63">
      <c r="A63" s="4" t="n"/>
      <c r="B63" s="7" t="inlineStr">
        <is>
          <t>Prob - BEAR</t>
        </is>
      </c>
      <c r="C63" s="38" t="n">
        <v>0.25</v>
      </c>
      <c r="D63" s="4" t="n"/>
      <c r="E63" s="34" t="inlineStr">
        <is>
          <t>Scenario probability</t>
        </is>
      </c>
      <c r="F63" s="4" t="n"/>
    </row>
    <row r="64">
      <c r="A64" s="4" t="n"/>
      <c r="B64" s="7" t="inlineStr">
        <is>
          <t>Prob - BASE</t>
        </is>
      </c>
      <c r="C64" s="38" t="n">
        <v>0.5</v>
      </c>
      <c r="D64" s="4" t="n"/>
      <c r="E64" s="34" t="inlineStr">
        <is>
          <t>Scenario probability</t>
        </is>
      </c>
      <c r="F64" s="4" t="n"/>
    </row>
    <row r="65">
      <c r="A65" s="4" t="n"/>
      <c r="B65" s="7" t="inlineStr">
        <is>
          <t>Prob - BULL</t>
        </is>
      </c>
      <c r="C65" s="38" t="n">
        <v>0.25</v>
      </c>
      <c r="D65" s="4" t="n"/>
      <c r="E65" s="34" t="inlineStr">
        <is>
          <t>Scenario probability</t>
        </is>
      </c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6" t="n"/>
      <c r="B67" s="5" t="inlineStr">
        <is>
          <t>M  O  N  T  E     C  A  R  L  O     S  I  G  M  A  S</t>
        </is>
      </c>
      <c r="C67" s="18" t="inlineStr">
        <is>
          <t>VALUE</t>
        </is>
      </c>
      <c r="D67" s="6" t="n"/>
      <c r="E67" s="5" t="inlineStr">
        <is>
          <t>NOTE</t>
        </is>
      </c>
      <c r="F67" s="6" t="n"/>
    </row>
    <row r="68">
      <c r="A68" s="4" t="n"/>
      <c r="B68" s="7" t="inlineStr">
        <is>
          <t>SD revenue growth (pts)</t>
        </is>
      </c>
      <c r="C68" s="38" t="n">
        <v>0.025</v>
      </c>
      <c r="D68" s="4" t="n"/>
      <c r="E68" s="34" t="inlineStr">
        <is>
          <t>Std dev applied to growth</t>
        </is>
      </c>
      <c r="F68" s="4" t="n"/>
    </row>
    <row r="69">
      <c r="A69" s="4" t="n"/>
      <c r="B69" s="7" t="inlineStr">
        <is>
          <t>SD WACC (pts)</t>
        </is>
      </c>
      <c r="C69" s="38" t="n">
        <v>0.008</v>
      </c>
      <c r="D69" s="4" t="n"/>
      <c r="E69" s="34" t="inlineStr">
        <is>
          <t>Std dev applied to WACC</t>
        </is>
      </c>
      <c r="F69" s="4" t="n"/>
    </row>
    <row r="70">
      <c r="A70" s="4" t="n"/>
      <c r="B70" s="7" t="inlineStr">
        <is>
          <t>SD EBIT margin (pts)</t>
        </is>
      </c>
      <c r="C70" s="38" t="n">
        <v>0.02</v>
      </c>
      <c r="D70" s="4" t="n"/>
      <c r="E70" s="34" t="inlineStr">
        <is>
          <t>Std dev applied to margin</t>
        </is>
      </c>
      <c r="F70" s="4" t="n"/>
    </row>
    <row r="71">
      <c r="A71" s="4" t="n"/>
      <c r="B71" s="7" t="inlineStr">
        <is>
          <t>SD terminal growth (pts)</t>
        </is>
      </c>
      <c r="C71" s="38" t="n">
        <v>0.005</v>
      </c>
      <c r="D71" s="4" t="n"/>
      <c r="E71" s="34" t="inlineStr">
        <is>
          <t>Std dev applied to g_term</t>
        </is>
      </c>
      <c r="F71" s="4" t="n"/>
    </row>
    <row r="72">
      <c r="A72" s="4" t="n"/>
      <c r="B72" s="7" t="inlineStr">
        <is>
          <t>Kelly downside loss L</t>
        </is>
      </c>
      <c r="C72" s="38" t="n">
        <v>0.3</v>
      </c>
      <c r="D72" s="4" t="n"/>
      <c r="E72" s="34" t="inlineStr">
        <is>
          <t>Assumed loss if thesis wrong</t>
        </is>
      </c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6" t="n"/>
      <c r="B74" s="5" t="inlineStr">
        <is>
          <t>P  I  O  T  R  O  S  K  I     I  N  P  U  T  S     (  1  =  P  A  S  S  )</t>
        </is>
      </c>
      <c r="C74" s="18" t="inlineStr">
        <is>
          <t>VALUE</t>
        </is>
      </c>
      <c r="D74" s="6" t="n"/>
      <c r="E74" s="5" t="inlineStr">
        <is>
          <t>NOTE</t>
        </is>
      </c>
      <c r="F74" s="6" t="n"/>
    </row>
    <row r="75">
      <c r="A75" s="4" t="n"/>
      <c r="B75" s="7" t="inlineStr">
        <is>
          <t>F1 ROA &gt; 0</t>
        </is>
      </c>
      <c r="C75" s="40" t="n">
        <v>1</v>
      </c>
      <c r="D75" s="4" t="n"/>
      <c r="E75" s="4" t="n"/>
      <c r="F75" s="4" t="n"/>
    </row>
    <row r="76">
      <c r="A76" s="4" t="n"/>
      <c r="B76" s="7" t="inlineStr">
        <is>
          <t>F2 CFO &gt; 0</t>
        </is>
      </c>
      <c r="C76" s="40" t="n">
        <v>1</v>
      </c>
      <c r="D76" s="4" t="n"/>
      <c r="E76" s="4" t="n"/>
      <c r="F76" s="4" t="n"/>
    </row>
    <row r="77">
      <c r="A77" s="4" t="n"/>
      <c r="B77" s="7" t="inlineStr">
        <is>
          <t>F3 dROA &gt; 0 vs prior</t>
        </is>
      </c>
      <c r="C77" s="40" t="n">
        <v>1</v>
      </c>
      <c r="D77" s="4" t="n"/>
      <c r="E77" s="4" t="n"/>
      <c r="F77" s="4" t="n"/>
    </row>
    <row r="78">
      <c r="A78" s="4" t="n"/>
      <c r="B78" s="7" t="inlineStr">
        <is>
          <t>F4 CFO &gt; Net income</t>
        </is>
      </c>
      <c r="C78" s="40" t="n">
        <v>1</v>
      </c>
      <c r="D78" s="4" t="n"/>
      <c r="E78" s="4" t="n"/>
      <c r="F78" s="4" t="n"/>
    </row>
    <row r="79">
      <c r="A79" s="4" t="n"/>
      <c r="B79" s="7" t="inlineStr">
        <is>
          <t>F5 Lower LT-debt ratio</t>
        </is>
      </c>
      <c r="C79" s="40" t="n">
        <v>1</v>
      </c>
      <c r="D79" s="4" t="n"/>
      <c r="E79" s="4" t="n"/>
      <c r="F79" s="4" t="n"/>
    </row>
    <row r="80">
      <c r="A80" s="4" t="n"/>
      <c r="B80" s="7" t="inlineStr">
        <is>
          <t>F6 Higher current ratio</t>
        </is>
      </c>
      <c r="C80" s="40" t="n">
        <v>0</v>
      </c>
      <c r="D80" s="4" t="n"/>
      <c r="E80" s="4" t="n"/>
      <c r="F80" s="4" t="n"/>
    </row>
    <row r="81">
      <c r="A81" s="4" t="n"/>
      <c r="B81" s="7" t="inlineStr">
        <is>
          <t>F7 No new shares issued</t>
        </is>
      </c>
      <c r="C81" s="40" t="n">
        <v>1</v>
      </c>
      <c r="D81" s="4" t="n"/>
      <c r="E81" s="4" t="n"/>
      <c r="F81" s="4" t="n"/>
    </row>
    <row r="82">
      <c r="A82" s="4" t="n"/>
      <c r="B82" s="7" t="inlineStr">
        <is>
          <t>F8 Higher gross margin</t>
        </is>
      </c>
      <c r="C82" s="40" t="n">
        <v>1</v>
      </c>
      <c r="D82" s="4" t="n"/>
      <c r="E82" s="4" t="n"/>
      <c r="F82" s="4" t="n"/>
    </row>
    <row r="83">
      <c r="A83" s="4" t="n"/>
      <c r="B83" s="7" t="inlineStr">
        <is>
          <t>F9 Higher asset turnover</t>
        </is>
      </c>
      <c r="C83" s="40" t="n">
        <v>0</v>
      </c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6" t="n"/>
      <c r="B85" s="5" t="inlineStr">
        <is>
          <t>B  E  N  E  I  S  H     M     I  N  P  U  T  S     (  ~  1  .  0     =     C  L  E  A  N  )</t>
        </is>
      </c>
      <c r="C85" s="18" t="inlineStr">
        <is>
          <t>VALUE</t>
        </is>
      </c>
      <c r="D85" s="6" t="n"/>
      <c r="E85" s="5" t="inlineStr">
        <is>
          <t>NOTE</t>
        </is>
      </c>
      <c r="F85" s="6" t="n"/>
    </row>
    <row r="86">
      <c r="A86" s="4" t="n"/>
      <c r="B86" s="7" t="inlineStr">
        <is>
          <t>DSRI</t>
        </is>
      </c>
      <c r="C86" s="41" t="n">
        <v>1</v>
      </c>
      <c r="D86" s="4" t="n"/>
      <c r="E86" s="4" t="n"/>
      <c r="F86" s="4" t="n"/>
    </row>
    <row r="87">
      <c r="A87" s="4" t="n"/>
      <c r="B87" s="7" t="inlineStr">
        <is>
          <t>GMI</t>
        </is>
      </c>
      <c r="C87" s="41" t="n">
        <v>1</v>
      </c>
      <c r="D87" s="4" t="n"/>
      <c r="E87" s="4" t="n"/>
      <c r="F87" s="4" t="n"/>
    </row>
    <row r="88">
      <c r="A88" s="4" t="n"/>
      <c r="B88" s="7" t="inlineStr">
        <is>
          <t>AQI</t>
        </is>
      </c>
      <c r="C88" s="41" t="n">
        <v>1</v>
      </c>
      <c r="D88" s="4" t="n"/>
      <c r="E88" s="4" t="n"/>
      <c r="F88" s="4" t="n"/>
    </row>
    <row r="89">
      <c r="A89" s="4" t="n"/>
      <c r="B89" s="7" t="inlineStr">
        <is>
          <t>SGI</t>
        </is>
      </c>
      <c r="C89" s="41" t="n">
        <v>1</v>
      </c>
      <c r="D89" s="4" t="n"/>
      <c r="E89" s="4" t="n"/>
      <c r="F89" s="4" t="n"/>
    </row>
    <row r="90">
      <c r="A90" s="4" t="n"/>
      <c r="B90" s="7" t="inlineStr">
        <is>
          <t>DEPI</t>
        </is>
      </c>
      <c r="C90" s="41" t="n">
        <v>1</v>
      </c>
      <c r="D90" s="4" t="n"/>
      <c r="E90" s="4" t="n"/>
      <c r="F90" s="4" t="n"/>
    </row>
    <row r="91">
      <c r="A91" s="4" t="n"/>
      <c r="B91" s="7" t="inlineStr">
        <is>
          <t>SGAI</t>
        </is>
      </c>
      <c r="C91" s="41" t="n">
        <v>1</v>
      </c>
      <c r="D91" s="4" t="n"/>
      <c r="E91" s="4" t="n"/>
      <c r="F91" s="4" t="n"/>
    </row>
    <row r="92">
      <c r="A92" s="4" t="n"/>
      <c r="B92" s="7" t="inlineStr">
        <is>
          <t>TATA</t>
        </is>
      </c>
      <c r="C92" s="41" t="n">
        <v>0</v>
      </c>
      <c r="D92" s="4" t="n"/>
      <c r="E92" s="4" t="n"/>
      <c r="F92" s="4" t="n"/>
    </row>
    <row r="93">
      <c r="A93" s="4" t="n"/>
      <c r="B93" s="7" t="inlineStr">
        <is>
          <t>LVGI</t>
        </is>
      </c>
      <c r="C93" s="41" t="n">
        <v>1</v>
      </c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6" t="n"/>
      <c r="B95" s="5" t="inlineStr">
        <is>
          <t>V  A  L  U  A  T  I  O  N     H  I  S  T  O  R  Y     (  O  W  N  ,     ~  1  0  Y  )</t>
        </is>
      </c>
      <c r="C95" s="18" t="inlineStr">
        <is>
          <t>VALUE</t>
        </is>
      </c>
      <c r="D95" s="6" t="n"/>
      <c r="E95" s="5" t="inlineStr">
        <is>
          <t>NOTE</t>
        </is>
      </c>
      <c r="F95" s="6" t="n"/>
    </row>
    <row r="96">
      <c r="A96" s="4" t="n"/>
      <c r="B96" s="7" t="inlineStr">
        <is>
          <t>P/E - 10y low</t>
        </is>
      </c>
      <c r="C96" s="39" t="n">
        <v>9</v>
      </c>
      <c r="D96" s="4" t="n"/>
      <c r="E96" s="34" t="inlineStr">
        <is>
          <t>Lowest ~10y P/E</t>
        </is>
      </c>
      <c r="F96" s="4" t="n"/>
    </row>
    <row r="97">
      <c r="A97" s="4" t="n"/>
      <c r="B97" s="7" t="inlineStr">
        <is>
          <t>P/E - 10y median</t>
        </is>
      </c>
      <c r="C97" s="39" t="n">
        <v>14</v>
      </c>
      <c r="D97" s="4" t="n"/>
      <c r="E97" s="34" t="inlineStr">
        <is>
          <t>Median ~10y P/E</t>
        </is>
      </c>
      <c r="F97" s="4" t="n"/>
    </row>
    <row r="98">
      <c r="A98" s="4" t="n"/>
      <c r="B98" s="7" t="inlineStr">
        <is>
          <t>P/E - 10y high</t>
        </is>
      </c>
      <c r="C98" s="39" t="n">
        <v>22</v>
      </c>
      <c r="D98" s="4" t="n"/>
      <c r="E98" s="34" t="inlineStr">
        <is>
          <t>Highest ~10y P/E</t>
        </is>
      </c>
      <c r="F98" s="4" t="n"/>
    </row>
    <row r="99">
      <c r="A99" s="4" t="n"/>
      <c r="B99" s="7" t="inlineStr">
        <is>
          <t>EV/EBITDA - 10y low</t>
        </is>
      </c>
      <c r="C99" s="39" t="n">
        <v>7</v>
      </c>
      <c r="D99" s="4" t="n"/>
      <c r="E99" s="34" t="inlineStr">
        <is>
          <t>Lowest ~10y EV/EBITDA</t>
        </is>
      </c>
      <c r="F99" s="4" t="n"/>
    </row>
    <row r="100">
      <c r="A100" s="4" t="n"/>
      <c r="B100" s="7" t="inlineStr">
        <is>
          <t>EV/EBITDA - 10y median</t>
        </is>
      </c>
      <c r="C100" s="39" t="n">
        <v>11</v>
      </c>
      <c r="D100" s="4" t="n"/>
      <c r="E100" s="34" t="inlineStr">
        <is>
          <t>Median ~10y EV/EBITDA</t>
        </is>
      </c>
      <c r="F100" s="4" t="n"/>
    </row>
    <row r="101">
      <c r="A101" s="4" t="n"/>
      <c r="B101" s="7" t="inlineStr">
        <is>
          <t>EV/EBITDA - 10y high</t>
        </is>
      </c>
      <c r="C101" s="39" t="n">
        <v>16</v>
      </c>
      <c r="D101" s="4" t="n"/>
      <c r="E101" s="34" t="inlineStr">
        <is>
          <t>Highest ~10y EV/EBITDA</t>
        </is>
      </c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6" t="n"/>
      <c r="B103" s="5" t="inlineStr">
        <is>
          <t>Q  U  A  L  I  T  Y     &amp;     M  O  A  T</t>
        </is>
      </c>
      <c r="C103" s="18" t="inlineStr">
        <is>
          <t>VALUE</t>
        </is>
      </c>
      <c r="D103" s="6" t="n"/>
      <c r="E103" s="5" t="inlineStr">
        <is>
          <t>NOTE</t>
        </is>
      </c>
      <c r="F103" s="6" t="n"/>
    </row>
    <row r="104">
      <c r="A104" s="4" t="n"/>
      <c r="B104" s="7" t="inlineStr">
        <is>
          <t>Moat rating (0-2)</t>
        </is>
      </c>
      <c r="C104" s="40" t="n">
        <v>2</v>
      </c>
      <c r="D104" s="4" t="n"/>
      <c r="E104" s="34" t="inlineStr">
        <is>
          <t>0 none, 1 narrow, 2 wide</t>
        </is>
      </c>
      <c r="F104" s="4" t="n"/>
    </row>
    <row r="105">
      <c r="A105" s="4" t="n"/>
      <c r="B105" s="7" t="inlineStr">
        <is>
          <t>Req. MoS - wide moat</t>
        </is>
      </c>
      <c r="C105" s="38" t="n">
        <v>0.1</v>
      </c>
      <c r="D105" s="4" t="n"/>
      <c r="E105" s="34" t="inlineStr">
        <is>
          <t>Discount needed before buying</t>
        </is>
      </c>
      <c r="F105" s="4" t="n"/>
    </row>
    <row r="106">
      <c r="A106" s="4" t="n"/>
      <c r="B106" s="7" t="inlineStr">
        <is>
          <t>Req. MoS - solid</t>
        </is>
      </c>
      <c r="C106" s="38" t="n">
        <v>0.2</v>
      </c>
      <c r="D106" s="4" t="n"/>
      <c r="E106" s="34" t="inlineStr"/>
      <c r="F106" s="4" t="n"/>
    </row>
    <row r="107">
      <c r="A107" s="4" t="n"/>
      <c r="B107" s="7" t="inlineStr">
        <is>
          <t>Req. MoS - average</t>
        </is>
      </c>
      <c r="C107" s="38" t="n">
        <v>0.35</v>
      </c>
      <c r="D107" s="4" t="n"/>
      <c r="E107" s="34" t="inlineStr"/>
      <c r="F107" s="4" t="n"/>
    </row>
    <row r="108">
      <c r="A108" s="4" t="n"/>
      <c r="B108" s="7" t="inlineStr">
        <is>
          <t>Req. MoS - low quality</t>
        </is>
      </c>
      <c r="C108" s="38" t="n">
        <v>0.5</v>
      </c>
      <c r="D108" s="4" t="n"/>
      <c r="E108" s="34" t="inlineStr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6" t="n"/>
      <c r="B110" s="5" t="inlineStr">
        <is>
          <t>M  A  R  K  E  T     R  E  G  I  M  E     (  C  O  N  T  E  X  T  )</t>
        </is>
      </c>
      <c r="C110" s="18" t="inlineStr">
        <is>
          <t>VALUE</t>
        </is>
      </c>
      <c r="D110" s="6" t="n"/>
      <c r="E110" s="5" t="inlineStr">
        <is>
          <t>NOTE</t>
        </is>
      </c>
      <c r="F110" s="6" t="n"/>
    </row>
    <row r="111">
      <c r="A111" s="4" t="n"/>
      <c r="B111" s="7" t="inlineStr">
        <is>
          <t>Shiller CAPE (S&amp;P 500)</t>
        </is>
      </c>
      <c r="C111" s="39" t="n">
        <v>37</v>
      </c>
      <c r="D111" s="4" t="n"/>
      <c r="E111" s="34" t="inlineStr">
        <is>
          <t>Cyclically-adjusted P/E</t>
        </is>
      </c>
      <c r="F111" s="4" t="n"/>
    </row>
    <row r="112">
      <c r="A112" s="4" t="n"/>
      <c r="B112" s="7" t="inlineStr">
        <is>
          <t>CAPE long-run average</t>
        </is>
      </c>
      <c r="C112" s="39" t="n">
        <v>17</v>
      </c>
      <c r="D112" s="4" t="n"/>
      <c r="E112" s="34" t="inlineStr">
        <is>
          <t>~150y mean is ~17</t>
        </is>
      </c>
      <c r="F112" s="4" t="n"/>
    </row>
    <row r="113">
      <c r="A113" s="4" t="n"/>
      <c r="B113" s="7" t="inlineStr">
        <is>
          <t>Market fwd earnings yield</t>
        </is>
      </c>
      <c r="C113" s="38" t="n">
        <v>0.045</v>
      </c>
      <c r="D113" s="4" t="n"/>
      <c r="E113" s="34" t="inlineStr">
        <is>
          <t>S&amp;P 500 forward E/P</t>
        </is>
      </c>
      <c r="F113" s="4" t="n"/>
    </row>
    <row r="114">
      <c r="A114" s="4" t="n"/>
      <c r="B114" s="7" t="inlineStr">
        <is>
          <t>Market LT earnings growth</t>
        </is>
      </c>
      <c r="C114" s="38" t="n">
        <v>0.04</v>
      </c>
      <c r="D114" s="4" t="n"/>
      <c r="E114" s="34" t="inlineStr">
        <is>
          <t>For implied ERP = E/P+g-Y</t>
        </is>
      </c>
      <c r="F114" s="4" t="n"/>
    </row>
    <row r="115">
      <c r="A115" s="4" t="n"/>
      <c r="B115" s="7" t="inlineStr">
        <is>
          <t>10y Treasury yield</t>
        </is>
      </c>
      <c r="C115" s="38" t="n">
        <v>0.043</v>
      </c>
      <c r="D115" s="4" t="n"/>
      <c r="E115" s="34" t="inlineStr">
        <is>
          <t>Risk-free benchmark</t>
        </is>
      </c>
      <c r="F115" s="4" t="n"/>
    </row>
    <row r="116">
      <c r="A116" s="4" t="n"/>
      <c r="B116" s="7" t="inlineStr">
        <is>
          <t>% S&amp;P above 200d MA</t>
        </is>
      </c>
      <c r="C116" s="38" t="n">
        <v>0.55</v>
      </c>
      <c r="D116" s="4" t="n"/>
      <c r="E116" s="34" t="inlineStr">
        <is>
          <t>Market breadth</t>
        </is>
      </c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6" t="n"/>
      <c r="B118" s="5" t="inlineStr">
        <is>
          <t>R  I  S  K     C  A  L  I  B  R  A  T  I  O  N     (  D  A  M  O  D  A  R  A  N  )</t>
        </is>
      </c>
      <c r="C118" s="18" t="inlineStr">
        <is>
          <t>VALUE</t>
        </is>
      </c>
      <c r="D118" s="6" t="n"/>
      <c r="E118" s="5" t="inlineStr">
        <is>
          <t>NOTE</t>
        </is>
      </c>
      <c r="F118" s="6" t="n"/>
    </row>
    <row r="119">
      <c r="A119" s="4" t="n"/>
      <c r="B119" s="7" t="inlineStr">
        <is>
          <t>Estimate uncertainty (1-3)</t>
        </is>
      </c>
      <c r="C119" s="40" t="n">
        <v>2</v>
      </c>
      <c r="D119" s="4" t="n"/>
      <c r="E119" s="34" t="inlineStr">
        <is>
          <t>1 low (utility) - 3 high (uncertain)</t>
        </is>
      </c>
      <c r="F119" s="4" t="n"/>
    </row>
    <row r="120">
      <c r="A120" s="4" t="n"/>
      <c r="B120" s="7" t="inlineStr">
        <is>
          <t>Portfolio holdings (count)</t>
        </is>
      </c>
      <c r="C120" s="40" t="n">
        <v>15</v>
      </c>
      <c r="D120" s="4" t="n"/>
      <c r="E120" s="34" t="inlineStr">
        <is>
          <t>Fewer holdings -&gt; higher required MoS</t>
        </is>
      </c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6" t="n"/>
      <c r="B122" s="5" t="inlineStr">
        <is>
          <t>B  L  E  N  D     W  E  I  G  H  T  S     (  M  E  T  H  O  D     M  I  X  )</t>
        </is>
      </c>
      <c r="C122" s="18" t="inlineStr">
        <is>
          <t>VALUE</t>
        </is>
      </c>
      <c r="D122" s="6" t="n"/>
      <c r="E122" s="5" t="inlineStr">
        <is>
          <t>NOTE</t>
        </is>
      </c>
      <c r="F122" s="6" t="n"/>
    </row>
    <row r="123">
      <c r="A123" s="4" t="n"/>
      <c r="B123" s="7" t="inlineStr">
        <is>
          <t>Weight DCF-FCFF</t>
        </is>
      </c>
      <c r="C123" s="38" t="n">
        <v>0.3</v>
      </c>
      <c r="D123" s="4" t="n"/>
      <c r="E123" s="34" t="inlineStr">
        <is>
          <t>Edit to re-weight; auto-renormalized</t>
        </is>
      </c>
      <c r="F123" s="4" t="n"/>
    </row>
    <row r="124">
      <c r="A124" s="4" t="n"/>
      <c r="B124" s="7" t="inlineStr">
        <is>
          <t>Weight DCF-FCFE</t>
        </is>
      </c>
      <c r="C124" s="38" t="n">
        <v>0.15</v>
      </c>
      <c r="D124" s="4" t="n"/>
      <c r="E124" s="34" t="inlineStr"/>
      <c r="F124" s="4" t="n"/>
    </row>
    <row r="125">
      <c r="A125" s="4" t="n"/>
      <c r="B125" s="7" t="inlineStr">
        <is>
          <t>Weight Relative</t>
        </is>
      </c>
      <c r="C125" s="38" t="n">
        <v>0.25</v>
      </c>
      <c r="D125" s="4" t="n"/>
      <c r="E125" s="34" t="inlineStr"/>
      <c r="F125" s="4" t="n"/>
    </row>
    <row r="126">
      <c r="A126" s="4" t="n"/>
      <c r="B126" s="7" t="inlineStr">
        <is>
          <t>Weight EPV</t>
        </is>
      </c>
      <c r="C126" s="38" t="n">
        <v>0.2</v>
      </c>
      <c r="D126" s="4" t="n"/>
      <c r="E126" s="34" t="inlineStr"/>
      <c r="F126" s="4" t="n"/>
    </row>
    <row r="127">
      <c r="A127" s="4" t="n"/>
      <c r="B127" s="7" t="inlineStr">
        <is>
          <t>Weight Graham Number</t>
        </is>
      </c>
      <c r="C127" s="38" t="n">
        <v>0.05</v>
      </c>
      <c r="D127" s="4" t="n"/>
      <c r="E127" s="34" t="inlineStr"/>
      <c r="F127" s="4" t="n"/>
    </row>
    <row r="128">
      <c r="A128" s="4" t="n"/>
      <c r="B128" s="7" t="inlineStr">
        <is>
          <t>Weight Graham Formula</t>
        </is>
      </c>
      <c r="C128" s="38" t="n">
        <v>0.05</v>
      </c>
      <c r="D128" s="4" t="n"/>
      <c r="E128" s="34" t="inlineStr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</sheetData>
  <mergeCells count="3">
    <mergeCell ref="A1:F1"/>
    <mergeCell ref="A2:F2"/>
    <mergeCell ref="A3:F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31A2B"/>
    <outlinePr summaryBelow="1" summaryRight="1"/>
    <pageSetUpPr/>
  </sheetPr>
  <dimension ref="A1:K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6" customHeight="1">
      <c r="A1" s="1" t="inlineStr">
        <is>
          <t>DISCOUNTED CASH FLOW</t>
        </is>
      </c>
    </row>
    <row r="2" ht="16" customHeight="1">
      <c r="A2" s="2" t="inlineStr">
        <is>
          <t>2-stage FCFF with dual terminal value, FCFE mini-model, and WACC x g sensitivity.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5" t="inlineStr">
        <is>
          <t>W  A  C  C     B  U  I  L  D  E  R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4" t="n"/>
      <c r="B6" s="10" t="inlineStr">
        <is>
          <t>Cost of equity Ke = Rf + Beta*ERP</t>
        </is>
      </c>
      <c r="C6" s="42">
        <f>ASSUMPTIONS!$C$46+ASSUMPTIONS!$C$15*ASSUMPTIONS!$C$47</f>
        <v/>
      </c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10" t="inlineStr">
        <is>
          <t>After-tax Kd (pre-tax = int/debt if avail)</t>
        </is>
      </c>
      <c r="C7" s="43">
        <f>IF(AND(ASSUMPTIONS!$C$24&gt;0,ASSUMPTIONS!$C$28&gt;0),ASSUMPTIONS!$C$24/ASSUMPTIONS!$C$28,ASSUMPTIONS!$C$48)*(1-ASSUMPTIONS!$C$20)</f>
        <v/>
      </c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10" t="inlineStr">
        <is>
          <t>Equity value E = price*shares</t>
        </is>
      </c>
      <c r="C8" s="44">
        <f>ASSUMPTIONS!$C$6*ASSUMPTIONS!$C$7</f>
        <v/>
      </c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10" t="inlineStr">
        <is>
          <t>Debt value D = total debt</t>
        </is>
      </c>
      <c r="C9" s="44">
        <f>ASSUMPTIONS!$C$28</f>
        <v/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10" t="inlineStr">
        <is>
          <t>V = E + D</t>
        </is>
      </c>
      <c r="C10" s="44">
        <f>C8+C9</f>
        <v/>
      </c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10" t="inlineStr">
        <is>
          <t>WACC = (E/V)*Ke + (D/V)*Kd_at</t>
        </is>
      </c>
      <c r="C11" s="45">
        <f>(C8/C10)*C6+(C9/C10)*C7</f>
        <v/>
      </c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10" t="inlineStr">
        <is>
          <t>Net debt = total debt - cash</t>
        </is>
      </c>
      <c r="C12" s="44">
        <f>ASSUMPTIONS!$C$28-ASSUMPTIONS!$C$29</f>
        <v/>
      </c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5" t="inlineStr">
        <is>
          <t>F  C  F  F     2  -  S  T  A  G  E     P  R  O  J  E  C  T  I  O  N     (  $  M  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4" t="n"/>
      <c r="B15" s="5" t="inlineStr">
        <is>
          <t>Line item</t>
        </is>
      </c>
      <c r="C15" s="18" t="inlineStr">
        <is>
          <t>Base (t0)</t>
        </is>
      </c>
      <c r="D15" s="18" t="inlineStr">
        <is>
          <t>Year 1</t>
        </is>
      </c>
      <c r="E15" s="18" t="inlineStr">
        <is>
          <t>Year 2</t>
        </is>
      </c>
      <c r="F15" s="18" t="inlineStr">
        <is>
          <t>Year 3</t>
        </is>
      </c>
      <c r="G15" s="18" t="inlineStr">
        <is>
          <t>Year 4</t>
        </is>
      </c>
      <c r="H15" s="18" t="inlineStr">
        <is>
          <t>Year 5</t>
        </is>
      </c>
      <c r="I15" s="4" t="n"/>
      <c r="J15" s="4" t="n"/>
      <c r="K15" s="4" t="n"/>
    </row>
    <row r="16">
      <c r="A16" s="4" t="n"/>
      <c r="B16" s="10" t="inlineStr">
        <is>
          <t>Revenue</t>
        </is>
      </c>
      <c r="C16" s="44">
        <f>ASSUMPTIONS!$C$18</f>
        <v/>
      </c>
      <c r="D16" s="44">
        <f>C16*(1+ASSUMPTIONS!$C$38)</f>
        <v/>
      </c>
      <c r="E16" s="44">
        <f>D16*(1+ASSUMPTIONS!$C$39)</f>
        <v/>
      </c>
      <c r="F16" s="44">
        <f>E16*(1+ASSUMPTIONS!$C$40)</f>
        <v/>
      </c>
      <c r="G16" s="44">
        <f>F16*(1+ASSUMPTIONS!$C$41)</f>
        <v/>
      </c>
      <c r="H16" s="44">
        <f>G16*(1+ASSUMPTIONS!$C$42)</f>
        <v/>
      </c>
      <c r="I16" s="4" t="n"/>
      <c r="J16" s="4" t="n"/>
      <c r="K16" s="4" t="n"/>
    </row>
    <row r="17">
      <c r="A17" s="4" t="n"/>
      <c r="B17" s="10" t="inlineStr">
        <is>
          <t xml:space="preserve">  growth %</t>
        </is>
      </c>
      <c r="C17" s="4" t="n"/>
      <c r="D17" s="22">
        <f>ASSUMPTIONS!$C$38</f>
        <v/>
      </c>
      <c r="E17" s="22">
        <f>ASSUMPTIONS!$C$39</f>
        <v/>
      </c>
      <c r="F17" s="22">
        <f>ASSUMPTIONS!$C$40</f>
        <v/>
      </c>
      <c r="G17" s="22">
        <f>ASSUMPTIONS!$C$41</f>
        <v/>
      </c>
      <c r="H17" s="22">
        <f>ASSUMPTIONS!$C$42</f>
        <v/>
      </c>
      <c r="I17" s="4" t="n"/>
      <c r="J17" s="4" t="n"/>
      <c r="K17" s="4" t="n"/>
    </row>
    <row r="18">
      <c r="A18" s="4" t="n"/>
      <c r="B18" s="10" t="inlineStr">
        <is>
          <t>EBIT</t>
        </is>
      </c>
      <c r="C18" s="4" t="n"/>
      <c r="D18" s="44">
        <f>D16*ASSUMPTIONS!$C$19</f>
        <v/>
      </c>
      <c r="E18" s="44">
        <f>E16*ASSUMPTIONS!$C$19</f>
        <v/>
      </c>
      <c r="F18" s="44">
        <f>F16*ASSUMPTIONS!$C$19</f>
        <v/>
      </c>
      <c r="G18" s="44">
        <f>G16*ASSUMPTIONS!$C$19</f>
        <v/>
      </c>
      <c r="H18" s="44">
        <f>H16*ASSUMPTIONS!$C$19</f>
        <v/>
      </c>
      <c r="I18" s="4" t="n"/>
      <c r="J18" s="4" t="n"/>
      <c r="K18" s="4" t="n"/>
    </row>
    <row r="19">
      <c r="A19" s="4" t="n"/>
      <c r="B19" s="10" t="inlineStr">
        <is>
          <t>NOPAT = EBIT*(1-tax)</t>
        </is>
      </c>
      <c r="C19" s="4" t="n"/>
      <c r="D19" s="44">
        <f>D18*(1-ASSUMPTIONS!$C$20)</f>
        <v/>
      </c>
      <c r="E19" s="44">
        <f>E18*(1-ASSUMPTIONS!$C$20)</f>
        <v/>
      </c>
      <c r="F19" s="44">
        <f>F18*(1-ASSUMPTIONS!$C$20)</f>
        <v/>
      </c>
      <c r="G19" s="44">
        <f>G18*(1-ASSUMPTIONS!$C$20)</f>
        <v/>
      </c>
      <c r="H19" s="44">
        <f>H18*(1-ASSUMPTIONS!$C$20)</f>
        <v/>
      </c>
      <c r="I19" s="4" t="n"/>
      <c r="J19" s="4" t="n"/>
      <c r="K19" s="4" t="n"/>
    </row>
    <row r="20">
      <c r="A20" s="4" t="n"/>
      <c r="B20" s="10" t="inlineStr">
        <is>
          <t>D&amp;A</t>
        </is>
      </c>
      <c r="C20" s="4" t="n"/>
      <c r="D20" s="44">
        <f>D16*ASSUMPTIONS!$C$21</f>
        <v/>
      </c>
      <c r="E20" s="44">
        <f>E16*ASSUMPTIONS!$C$21</f>
        <v/>
      </c>
      <c r="F20" s="44">
        <f>F16*ASSUMPTIONS!$C$21</f>
        <v/>
      </c>
      <c r="G20" s="44">
        <f>G16*ASSUMPTIONS!$C$21</f>
        <v/>
      </c>
      <c r="H20" s="44">
        <f>H16*ASSUMPTIONS!$C$21</f>
        <v/>
      </c>
      <c r="I20" s="4" t="n"/>
      <c r="J20" s="4" t="n"/>
      <c r="K20" s="4" t="n"/>
    </row>
    <row r="21">
      <c r="A21" s="4" t="n"/>
      <c r="B21" s="10" t="inlineStr">
        <is>
          <t>CapEx</t>
        </is>
      </c>
      <c r="C21" s="4" t="n"/>
      <c r="D21" s="46">
        <f>-D16*ASSUMPTIONS!$C$22</f>
        <v/>
      </c>
      <c r="E21" s="46">
        <f>-E16*ASSUMPTIONS!$C$22</f>
        <v/>
      </c>
      <c r="F21" s="46">
        <f>-F16*ASSUMPTIONS!$C$22</f>
        <v/>
      </c>
      <c r="G21" s="46">
        <f>-G16*ASSUMPTIONS!$C$22</f>
        <v/>
      </c>
      <c r="H21" s="46">
        <f>-H16*ASSUMPTIONS!$C$22</f>
        <v/>
      </c>
      <c r="I21" s="4" t="n"/>
      <c r="J21" s="4" t="n"/>
      <c r="K21" s="4" t="n"/>
    </row>
    <row r="22">
      <c r="A22" s="4" t="n"/>
      <c r="B22" s="10" t="inlineStr">
        <is>
          <t>Change in NWC</t>
        </is>
      </c>
      <c r="C22" s="4" t="n"/>
      <c r="D22" s="46">
        <f>-(D16-C16)*ASSUMPTIONS!$C$23</f>
        <v/>
      </c>
      <c r="E22" s="46">
        <f>-(E16-D16)*ASSUMPTIONS!$C$23</f>
        <v/>
      </c>
      <c r="F22" s="46">
        <f>-(F16-E16)*ASSUMPTIONS!$C$23</f>
        <v/>
      </c>
      <c r="G22" s="46">
        <f>-(G16-F16)*ASSUMPTIONS!$C$23</f>
        <v/>
      </c>
      <c r="H22" s="46">
        <f>-(H16-G16)*ASSUMPTIONS!$C$23</f>
        <v/>
      </c>
      <c r="I22" s="4" t="n"/>
      <c r="J22" s="4" t="n"/>
      <c r="K22" s="4" t="n"/>
    </row>
    <row r="23">
      <c r="A23" s="4" t="n"/>
      <c r="B23" s="7" t="inlineStr">
        <is>
          <t>FCFF</t>
        </is>
      </c>
      <c r="C23" s="4" t="n"/>
      <c r="D23" s="47">
        <f>D19+D20+D21+D22</f>
        <v/>
      </c>
      <c r="E23" s="47">
        <f>E19+E20+E21+E22</f>
        <v/>
      </c>
      <c r="F23" s="47">
        <f>F19+F20+F21+F22</f>
        <v/>
      </c>
      <c r="G23" s="47">
        <f>G19+G20+G21+G22</f>
        <v/>
      </c>
      <c r="H23" s="47">
        <f>H19+H20+H21+H22</f>
        <v/>
      </c>
      <c r="I23" s="4" t="n"/>
      <c r="J23" s="4" t="n"/>
      <c r="K23" s="4" t="n"/>
    </row>
    <row r="24">
      <c r="A24" s="4" t="n"/>
      <c r="B24" s="10" t="inlineStr">
        <is>
          <t>Discount factor</t>
        </is>
      </c>
      <c r="C24" s="4" t="n"/>
      <c r="D24" s="48">
        <f>1/(1+DCF!$C$11)^1</f>
        <v/>
      </c>
      <c r="E24" s="48">
        <f>1/(1+DCF!$C$11)^2</f>
        <v/>
      </c>
      <c r="F24" s="48">
        <f>1/(1+DCF!$C$11)^3</f>
        <v/>
      </c>
      <c r="G24" s="48">
        <f>1/(1+DCF!$C$11)^4</f>
        <v/>
      </c>
      <c r="H24" s="48">
        <f>1/(1+DCF!$C$11)^5</f>
        <v/>
      </c>
      <c r="I24" s="4" t="n"/>
      <c r="J24" s="4" t="n"/>
      <c r="K24" s="4" t="n"/>
    </row>
    <row r="25">
      <c r="A25" s="4" t="n"/>
      <c r="B25" s="10" t="inlineStr">
        <is>
          <t>PV of FCFF</t>
        </is>
      </c>
      <c r="C25" s="4" t="n"/>
      <c r="D25" s="44">
        <f>D23*D24</f>
        <v/>
      </c>
      <c r="E25" s="44">
        <f>E23*E24</f>
        <v/>
      </c>
      <c r="F25" s="44">
        <f>F23*F24</f>
        <v/>
      </c>
      <c r="G25" s="44">
        <f>G23*G24</f>
        <v/>
      </c>
      <c r="H25" s="44">
        <f>H23*H24</f>
        <v/>
      </c>
      <c r="I25" s="4" t="n"/>
      <c r="J25" s="4" t="n"/>
      <c r="K25" s="4" t="n"/>
    </row>
    <row r="26">
      <c r="A26" s="4" t="n"/>
      <c r="B26" s="7" t="inlineStr">
        <is>
          <t>Sum PV(FCFF)</t>
        </is>
      </c>
      <c r="C26" s="49">
        <f>SUM(D25:H25)</f>
        <v/>
      </c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10" t="inlineStr">
        <is>
          <t>FCFF base (t0)</t>
        </is>
      </c>
      <c r="C27" s="44">
        <f>ASSUMPTIONS!$C$18*ASSUMPTIONS!$C$19*(1-ASSUMPTIONS!$C$20)+ASSUMPTIONS!$C$18*ASSUMPTIONS!$C$21-ASSUMPTIONS!$C$18*ASSUMPTIONS!$C$22</f>
        <v/>
      </c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5" t="inlineStr">
        <is>
          <t>T  E  R  M  I  N  A  L     V  A  L  U  E     —     D  U  A  L     M  E  T  H  O  D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4" t="n"/>
      <c r="B30" s="10" t="inlineStr">
        <is>
          <t>A. Gordon: FCFF5*(1+gt)/(WACC-gt)</t>
        </is>
      </c>
      <c r="C30" s="44">
        <f>IF(DCF!$C$11&lt;=ASSUMPTIONS!$C$43,0,H23*(1+ASSUMPTIONS!$C$43)/(DCF!$C$11-ASSUMPTIONS!$C$43))</f>
        <v/>
      </c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10" t="inlineStr">
        <is>
          <t>EBITDA Year5 = EBIT5 + D&amp;A5</t>
        </is>
      </c>
      <c r="C31" s="44">
        <f>H18+H20</f>
        <v/>
      </c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10" t="inlineStr">
        <is>
          <t>B. Exit multiple: EBITDA5 * exit</t>
        </is>
      </c>
      <c r="C32" s="44">
        <f>C31*ASSUMPTIONS!$C$60</f>
        <v/>
      </c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10" t="inlineStr">
        <is>
          <t>Discount factor DF5</t>
        </is>
      </c>
      <c r="C33" s="48">
        <f>1/(1+DCF!$C$11)^5</f>
        <v/>
      </c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10" t="inlineStr">
        <is>
          <t>PV of TV (Gordon)</t>
        </is>
      </c>
      <c r="C34" s="44">
        <f>C30*C33</f>
        <v/>
      </c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10" t="inlineStr">
        <is>
          <t>PV of TV (Exit)</t>
        </is>
      </c>
      <c r="C35" s="44">
        <f>C32*C33</f>
        <v/>
      </c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10" t="inlineStr">
        <is>
          <t>Blended terminal (avg A,B)</t>
        </is>
      </c>
      <c r="C36" s="44">
        <f>AVERAGE(C30,C32)</f>
        <v/>
      </c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10" t="inlineStr">
        <is>
          <t>PV of blended TV</t>
        </is>
      </c>
      <c r="C37" s="49">
        <f>C36*C33</f>
        <v/>
      </c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5" t="inlineStr">
        <is>
          <t>E  V     →     E  Q  U  I  T  Y     →     P  E  R  -  S  H  A  R  E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4" t="n"/>
      <c r="B40" s="10" t="inlineStr">
        <is>
          <t>Enterprise value = PV FCFF + PV TV</t>
        </is>
      </c>
      <c r="C40" s="50">
        <f>C26+C37</f>
        <v/>
      </c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10" t="inlineStr">
        <is>
          <t>less Net debt</t>
        </is>
      </c>
      <c r="C41" s="46">
        <f>-DCF!$C$12</f>
        <v/>
      </c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10" t="inlineStr">
        <is>
          <t>Equity value</t>
        </is>
      </c>
      <c r="C42" s="50">
        <f>C40+C41</f>
        <v/>
      </c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10" t="inlineStr">
        <is>
          <t>DCF value per share (FCFF)</t>
        </is>
      </c>
      <c r="C43" s="14">
        <f>C42/ASSUMPTIONS!$C$7</f>
        <v/>
      </c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10" t="inlineStr">
        <is>
          <t>Upside vs price</t>
        </is>
      </c>
      <c r="C44" s="51">
        <f>C43/ASSUMPTIONS!$C$6-1</f>
        <v/>
      </c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5" t="inlineStr">
        <is>
          <t>F  C  F  E     M  I  N  I  -  M  O  D  E  L     (  D  I  S  C  O  U  N  T     A  T     K  E  )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4" t="n"/>
      <c r="B47" s="5" t="inlineStr">
        <is>
          <t>Line item</t>
        </is>
      </c>
      <c r="C47" s="18" t="inlineStr">
        <is>
          <t>Base (t0)</t>
        </is>
      </c>
      <c r="D47" s="18" t="inlineStr">
        <is>
          <t>Year 1</t>
        </is>
      </c>
      <c r="E47" s="18" t="inlineStr">
        <is>
          <t>Year 2</t>
        </is>
      </c>
      <c r="F47" s="18" t="inlineStr">
        <is>
          <t>Year 3</t>
        </is>
      </c>
      <c r="G47" s="18" t="inlineStr">
        <is>
          <t>Year 4</t>
        </is>
      </c>
      <c r="H47" s="18" t="inlineStr">
        <is>
          <t>Year 5</t>
        </is>
      </c>
      <c r="I47" s="4" t="n"/>
      <c r="J47" s="4" t="n"/>
      <c r="K47" s="4" t="n"/>
    </row>
    <row r="48">
      <c r="A48" s="4" t="n"/>
      <c r="B48" s="10" t="inlineStr">
        <is>
          <t>Net income (grown w/ rev)</t>
        </is>
      </c>
      <c r="C48" s="44">
        <f>ASSUMPTIONS!$C$25</f>
        <v/>
      </c>
      <c r="D48" s="44">
        <f>C48*(1+ASSUMPTIONS!$C$38)</f>
        <v/>
      </c>
      <c r="E48" s="44">
        <f>D48*(1+ASSUMPTIONS!$C$39)</f>
        <v/>
      </c>
      <c r="F48" s="44">
        <f>E48*(1+ASSUMPTIONS!$C$40)</f>
        <v/>
      </c>
      <c r="G48" s="44">
        <f>F48*(1+ASSUMPTIONS!$C$41)</f>
        <v/>
      </c>
      <c r="H48" s="44">
        <f>G48*(1+ASSUMPTIONS!$C$42)</f>
        <v/>
      </c>
      <c r="I48" s="4" t="n"/>
      <c r="J48" s="4" t="n"/>
      <c r="K48" s="4" t="n"/>
    </row>
    <row r="49">
      <c r="A49" s="4" t="n"/>
      <c r="B49" s="10" t="inlineStr">
        <is>
          <t>+ D&amp;A</t>
        </is>
      </c>
      <c r="C49" s="4" t="n"/>
      <c r="D49" s="44">
        <f>D20</f>
        <v/>
      </c>
      <c r="E49" s="44">
        <f>E20</f>
        <v/>
      </c>
      <c r="F49" s="44">
        <f>F20</f>
        <v/>
      </c>
      <c r="G49" s="44">
        <f>G20</f>
        <v/>
      </c>
      <c r="H49" s="44">
        <f>H20</f>
        <v/>
      </c>
      <c r="I49" s="4" t="n"/>
      <c r="J49" s="4" t="n"/>
      <c r="K49" s="4" t="n"/>
    </row>
    <row r="50">
      <c r="A50" s="4" t="n"/>
      <c r="B50" s="10" t="inlineStr">
        <is>
          <t>- CapEx</t>
        </is>
      </c>
      <c r="C50" s="4" t="n"/>
      <c r="D50" s="46">
        <f>D21</f>
        <v/>
      </c>
      <c r="E50" s="46">
        <f>E21</f>
        <v/>
      </c>
      <c r="F50" s="46">
        <f>F21</f>
        <v/>
      </c>
      <c r="G50" s="46">
        <f>G21</f>
        <v/>
      </c>
      <c r="H50" s="46">
        <f>H21</f>
        <v/>
      </c>
      <c r="I50" s="4" t="n"/>
      <c r="J50" s="4" t="n"/>
      <c r="K50" s="4" t="n"/>
    </row>
    <row r="51">
      <c r="A51" s="4" t="n"/>
      <c r="B51" s="10" t="inlineStr">
        <is>
          <t>- Change in NWC</t>
        </is>
      </c>
      <c r="C51" s="4" t="n"/>
      <c r="D51" s="46">
        <f>D22</f>
        <v/>
      </c>
      <c r="E51" s="46">
        <f>E22</f>
        <v/>
      </c>
      <c r="F51" s="46">
        <f>F22</f>
        <v/>
      </c>
      <c r="G51" s="46">
        <f>G22</f>
        <v/>
      </c>
      <c r="H51" s="46">
        <f>H22</f>
        <v/>
      </c>
      <c r="I51" s="4" t="n"/>
      <c r="J51" s="4" t="n"/>
      <c r="K51" s="4" t="n"/>
    </row>
    <row r="52">
      <c r="A52" s="4" t="n"/>
      <c r="B52" s="10" t="inlineStr">
        <is>
          <t>+ Net borrowing (0 default)</t>
        </is>
      </c>
      <c r="C52" s="4" t="n"/>
      <c r="D52" s="52">
        <f>0</f>
        <v/>
      </c>
      <c r="E52" s="52">
        <f>0</f>
        <v/>
      </c>
      <c r="F52" s="52">
        <f>0</f>
        <v/>
      </c>
      <c r="G52" s="52">
        <f>0</f>
        <v/>
      </c>
      <c r="H52" s="52">
        <f>0</f>
        <v/>
      </c>
      <c r="I52" s="4" t="n"/>
      <c r="J52" s="4" t="n"/>
      <c r="K52" s="4" t="n"/>
    </row>
    <row r="53">
      <c r="A53" s="4" t="n"/>
      <c r="B53" s="7" t="inlineStr">
        <is>
          <t>FCFE</t>
        </is>
      </c>
      <c r="C53" s="4" t="n"/>
      <c r="D53" s="47">
        <f>D48+D49+D50+D51+D52</f>
        <v/>
      </c>
      <c r="E53" s="47">
        <f>E48+E49+E50+E51+E52</f>
        <v/>
      </c>
      <c r="F53" s="47">
        <f>F48+F49+F50+F51+F52</f>
        <v/>
      </c>
      <c r="G53" s="47">
        <f>G48+G49+G50+G51+G52</f>
        <v/>
      </c>
      <c r="H53" s="47">
        <f>H48+H49+H50+H51+H52</f>
        <v/>
      </c>
      <c r="I53" s="4" t="n"/>
      <c r="J53" s="4" t="n"/>
      <c r="K53" s="4" t="n"/>
    </row>
    <row r="54">
      <c r="A54" s="4" t="n"/>
      <c r="B54" s="10" t="inlineStr">
        <is>
          <t>PV(FCFE) @ Ke</t>
        </is>
      </c>
      <c r="C54" s="4" t="n"/>
      <c r="D54" s="44">
        <f>D53/(1+DCF!$C$6)^1</f>
        <v/>
      </c>
      <c r="E54" s="44">
        <f>E53/(1+DCF!$C$6)^2</f>
        <v/>
      </c>
      <c r="F54" s="44">
        <f>F53/(1+DCF!$C$6)^3</f>
        <v/>
      </c>
      <c r="G54" s="44">
        <f>G53/(1+DCF!$C$6)^4</f>
        <v/>
      </c>
      <c r="H54" s="44">
        <f>H53/(1+DCF!$C$6)^5</f>
        <v/>
      </c>
      <c r="I54" s="4" t="n"/>
      <c r="J54" s="4" t="n"/>
      <c r="K54" s="4" t="n"/>
    </row>
    <row r="55">
      <c r="A55" s="4" t="n"/>
      <c r="B55" s="10" t="inlineStr">
        <is>
          <t>Terminal FCFE (Gordon @ Ke)</t>
        </is>
      </c>
      <c r="C55" s="44">
        <f>IF(DCF!$C$6&lt;=ASSUMPTIONS!$C$43,NA(),H53*(1+ASSUMPTIONS!$C$43)/(DCF!$C$6-ASSUMPTIONS!$C$43)/(1+DCF!$C$6)^5)</f>
        <v/>
      </c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10" t="inlineStr">
        <is>
          <t>FCFE equity value</t>
        </is>
      </c>
      <c r="C56" s="50">
        <f>SUM(D54:H54)+C55</f>
        <v/>
      </c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10" t="inlineStr">
        <is>
          <t>FCFE value per share</t>
        </is>
      </c>
      <c r="C57" s="14">
        <f>C56/ASSUMPTIONS!$C$7</f>
        <v/>
      </c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5" t="inlineStr">
        <is>
          <t>S  E  N  S  I  T  I  V  I  T  Y  :     D  C  F     $  /  S  H        (  W  A  C  C     ↓        X        G  _  T  E  R  M     →  )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4" t="n"/>
      <c r="B61" s="5" t="inlineStr">
        <is>
          <t>WACC \ g</t>
        </is>
      </c>
      <c r="C61" s="53">
        <f>ASSUMPTIONS!$C$43+(-0.01)</f>
        <v/>
      </c>
      <c r="D61" s="53">
        <f>ASSUMPTIONS!$C$43+(-0.005)</f>
        <v/>
      </c>
      <c r="E61" s="53">
        <f>ASSUMPTIONS!$C$43+(0.0)</f>
        <v/>
      </c>
      <c r="F61" s="53">
        <f>ASSUMPTIONS!$C$43+(0.005)</f>
        <v/>
      </c>
      <c r="G61" s="53">
        <f>ASSUMPTIONS!$C$43+(0.01)</f>
        <v/>
      </c>
      <c r="H61" s="4" t="n"/>
      <c r="I61" s="4" t="n"/>
      <c r="J61" s="4" t="n"/>
      <c r="K61" s="4" t="n"/>
    </row>
    <row r="62">
      <c r="A62" s="4" t="n"/>
      <c r="B62" s="54">
        <f>DCF!$C$11+(-0.015)</f>
        <v/>
      </c>
      <c r="C62" s="21">
        <f>(((D23/(1+(DCF!$C$11+(-0.015)))^1 + E23/(1+(DCF!$C$11+(-0.015)))^2 + F23/(1+(DCF!$C$11+(-0.015)))^3 + G23/(1+(DCF!$C$11+(-0.015)))^4 + H23/(1+(DCF!$C$11+(-0.015)))^5))+(IF((DCF!$C$11+(-0.015))&lt;=(ASSUMPTIONS!$C$43+(-0.01)),NA(),H23*(1+(ASSUMPTIONS!$C$43+(-0.01)))/((DCF!$C$11+(-0.015))-(ASSUMPTIONS!$C$43+(-0.01)))/(1+(DCF!$C$11+(-0.015)))^5))-DCF!$C$12)/ASSUMPTIONS!$C$7</f>
        <v/>
      </c>
      <c r="D62" s="21">
        <f>(((D23/(1+(DCF!$C$11+(-0.015)))^1 + E23/(1+(DCF!$C$11+(-0.015)))^2 + F23/(1+(DCF!$C$11+(-0.015)))^3 + G23/(1+(DCF!$C$11+(-0.015)))^4 + H23/(1+(DCF!$C$11+(-0.015)))^5))+(IF((DCF!$C$11+(-0.015))&lt;=(ASSUMPTIONS!$C$43+(-0.005)),NA(),H23*(1+(ASSUMPTIONS!$C$43+(-0.005)))/((DCF!$C$11+(-0.015))-(ASSUMPTIONS!$C$43+(-0.005)))/(1+(DCF!$C$11+(-0.015)))^5))-DCF!$C$12)/ASSUMPTIONS!$C$7</f>
        <v/>
      </c>
      <c r="E62" s="21">
        <f>(((D23/(1+(DCF!$C$11+(-0.015)))^1 + E23/(1+(DCF!$C$11+(-0.015)))^2 + F23/(1+(DCF!$C$11+(-0.015)))^3 + G23/(1+(DCF!$C$11+(-0.015)))^4 + H23/(1+(DCF!$C$11+(-0.015)))^5))+(IF((DCF!$C$11+(-0.015))&lt;=(ASSUMPTIONS!$C$43+(0.0)),NA(),H23*(1+(ASSUMPTIONS!$C$43+(0.0)))/((DCF!$C$11+(-0.015))-(ASSUMPTIONS!$C$43+(0.0)))/(1+(DCF!$C$11+(-0.015)))^5))-DCF!$C$12)/ASSUMPTIONS!$C$7</f>
        <v/>
      </c>
      <c r="F62" s="21">
        <f>(((D23/(1+(DCF!$C$11+(-0.015)))^1 + E23/(1+(DCF!$C$11+(-0.015)))^2 + F23/(1+(DCF!$C$11+(-0.015)))^3 + G23/(1+(DCF!$C$11+(-0.015)))^4 + H23/(1+(DCF!$C$11+(-0.015)))^5))+(IF((DCF!$C$11+(-0.015))&lt;=(ASSUMPTIONS!$C$43+(0.005)),NA(),H23*(1+(ASSUMPTIONS!$C$43+(0.005)))/((DCF!$C$11+(-0.015))-(ASSUMPTIONS!$C$43+(0.005)))/(1+(DCF!$C$11+(-0.015)))^5))-DCF!$C$12)/ASSUMPTIONS!$C$7</f>
        <v/>
      </c>
      <c r="G62" s="21">
        <f>(((D23/(1+(DCF!$C$11+(-0.015)))^1 + E23/(1+(DCF!$C$11+(-0.015)))^2 + F23/(1+(DCF!$C$11+(-0.015)))^3 + G23/(1+(DCF!$C$11+(-0.015)))^4 + H23/(1+(DCF!$C$11+(-0.015)))^5))+(IF((DCF!$C$11+(-0.015))&lt;=(ASSUMPTIONS!$C$43+(0.01)),NA(),H23*(1+(ASSUMPTIONS!$C$43+(0.01)))/((DCF!$C$11+(-0.015))-(ASSUMPTIONS!$C$43+(0.01)))/(1+(DCF!$C$11+(-0.015)))^5))-DCF!$C$12)/ASSUMPTIONS!$C$7</f>
        <v/>
      </c>
      <c r="H62" s="4" t="n"/>
      <c r="I62" s="4" t="n"/>
      <c r="J62" s="4" t="n"/>
      <c r="K62" s="4" t="n"/>
    </row>
    <row r="63">
      <c r="A63" s="4" t="n"/>
      <c r="B63" s="54">
        <f>DCF!$C$11+(-0.01)</f>
        <v/>
      </c>
      <c r="C63" s="21">
        <f>(((D23/(1+(DCF!$C$11+(-0.01)))^1 + E23/(1+(DCF!$C$11+(-0.01)))^2 + F23/(1+(DCF!$C$11+(-0.01)))^3 + G23/(1+(DCF!$C$11+(-0.01)))^4 + H23/(1+(DCF!$C$11+(-0.01)))^5))+(IF((DCF!$C$11+(-0.01))&lt;=(ASSUMPTIONS!$C$43+(-0.01)),NA(),H23*(1+(ASSUMPTIONS!$C$43+(-0.01)))/((DCF!$C$11+(-0.01))-(ASSUMPTIONS!$C$43+(-0.01)))/(1+(DCF!$C$11+(-0.01)))^5))-DCF!$C$12)/ASSUMPTIONS!$C$7</f>
        <v/>
      </c>
      <c r="D63" s="21">
        <f>(((D23/(1+(DCF!$C$11+(-0.01)))^1 + E23/(1+(DCF!$C$11+(-0.01)))^2 + F23/(1+(DCF!$C$11+(-0.01)))^3 + G23/(1+(DCF!$C$11+(-0.01)))^4 + H23/(1+(DCF!$C$11+(-0.01)))^5))+(IF((DCF!$C$11+(-0.01))&lt;=(ASSUMPTIONS!$C$43+(-0.005)),NA(),H23*(1+(ASSUMPTIONS!$C$43+(-0.005)))/((DCF!$C$11+(-0.01))-(ASSUMPTIONS!$C$43+(-0.005)))/(1+(DCF!$C$11+(-0.01)))^5))-DCF!$C$12)/ASSUMPTIONS!$C$7</f>
        <v/>
      </c>
      <c r="E63" s="21">
        <f>(((D23/(1+(DCF!$C$11+(-0.01)))^1 + E23/(1+(DCF!$C$11+(-0.01)))^2 + F23/(1+(DCF!$C$11+(-0.01)))^3 + G23/(1+(DCF!$C$11+(-0.01)))^4 + H23/(1+(DCF!$C$11+(-0.01)))^5))+(IF((DCF!$C$11+(-0.01))&lt;=(ASSUMPTIONS!$C$43+(0.0)),NA(),H23*(1+(ASSUMPTIONS!$C$43+(0.0)))/((DCF!$C$11+(-0.01))-(ASSUMPTIONS!$C$43+(0.0)))/(1+(DCF!$C$11+(-0.01)))^5))-DCF!$C$12)/ASSUMPTIONS!$C$7</f>
        <v/>
      </c>
      <c r="F63" s="21">
        <f>(((D23/(1+(DCF!$C$11+(-0.01)))^1 + E23/(1+(DCF!$C$11+(-0.01)))^2 + F23/(1+(DCF!$C$11+(-0.01)))^3 + G23/(1+(DCF!$C$11+(-0.01)))^4 + H23/(1+(DCF!$C$11+(-0.01)))^5))+(IF((DCF!$C$11+(-0.01))&lt;=(ASSUMPTIONS!$C$43+(0.005)),NA(),H23*(1+(ASSUMPTIONS!$C$43+(0.005)))/((DCF!$C$11+(-0.01))-(ASSUMPTIONS!$C$43+(0.005)))/(1+(DCF!$C$11+(-0.01)))^5))-DCF!$C$12)/ASSUMPTIONS!$C$7</f>
        <v/>
      </c>
      <c r="G63" s="21">
        <f>(((D23/(1+(DCF!$C$11+(-0.01)))^1 + E23/(1+(DCF!$C$11+(-0.01)))^2 + F23/(1+(DCF!$C$11+(-0.01)))^3 + G23/(1+(DCF!$C$11+(-0.01)))^4 + H23/(1+(DCF!$C$11+(-0.01)))^5))+(IF((DCF!$C$11+(-0.01))&lt;=(ASSUMPTIONS!$C$43+(0.01)),NA(),H23*(1+(ASSUMPTIONS!$C$43+(0.01)))/((DCF!$C$11+(-0.01))-(ASSUMPTIONS!$C$43+(0.01)))/(1+(DCF!$C$11+(-0.01)))^5))-DCF!$C$12)/ASSUMPTIONS!$C$7</f>
        <v/>
      </c>
      <c r="H63" s="4" t="n"/>
      <c r="I63" s="4" t="n"/>
      <c r="J63" s="4" t="n"/>
      <c r="K63" s="4" t="n"/>
    </row>
    <row r="64">
      <c r="A64" s="4" t="n"/>
      <c r="B64" s="54">
        <f>DCF!$C$11+(-0.005)</f>
        <v/>
      </c>
      <c r="C64" s="21">
        <f>(((D23/(1+(DCF!$C$11+(-0.005)))^1 + E23/(1+(DCF!$C$11+(-0.005)))^2 + F23/(1+(DCF!$C$11+(-0.005)))^3 + G23/(1+(DCF!$C$11+(-0.005)))^4 + H23/(1+(DCF!$C$11+(-0.005)))^5))+(IF((DCF!$C$11+(-0.005))&lt;=(ASSUMPTIONS!$C$43+(-0.01)),NA(),H23*(1+(ASSUMPTIONS!$C$43+(-0.01)))/((DCF!$C$11+(-0.005))-(ASSUMPTIONS!$C$43+(-0.01)))/(1+(DCF!$C$11+(-0.005)))^5))-DCF!$C$12)/ASSUMPTIONS!$C$7</f>
        <v/>
      </c>
      <c r="D64" s="21">
        <f>(((D23/(1+(DCF!$C$11+(-0.005)))^1 + E23/(1+(DCF!$C$11+(-0.005)))^2 + F23/(1+(DCF!$C$11+(-0.005)))^3 + G23/(1+(DCF!$C$11+(-0.005)))^4 + H23/(1+(DCF!$C$11+(-0.005)))^5))+(IF((DCF!$C$11+(-0.005))&lt;=(ASSUMPTIONS!$C$43+(-0.005)),NA(),H23*(1+(ASSUMPTIONS!$C$43+(-0.005)))/((DCF!$C$11+(-0.005))-(ASSUMPTIONS!$C$43+(-0.005)))/(1+(DCF!$C$11+(-0.005)))^5))-DCF!$C$12)/ASSUMPTIONS!$C$7</f>
        <v/>
      </c>
      <c r="E64" s="21">
        <f>(((D23/(1+(DCF!$C$11+(-0.005)))^1 + E23/(1+(DCF!$C$11+(-0.005)))^2 + F23/(1+(DCF!$C$11+(-0.005)))^3 + G23/(1+(DCF!$C$11+(-0.005)))^4 + H23/(1+(DCF!$C$11+(-0.005)))^5))+(IF((DCF!$C$11+(-0.005))&lt;=(ASSUMPTIONS!$C$43+(0.0)),NA(),H23*(1+(ASSUMPTIONS!$C$43+(0.0)))/((DCF!$C$11+(-0.005))-(ASSUMPTIONS!$C$43+(0.0)))/(1+(DCF!$C$11+(-0.005)))^5))-DCF!$C$12)/ASSUMPTIONS!$C$7</f>
        <v/>
      </c>
      <c r="F64" s="21">
        <f>(((D23/(1+(DCF!$C$11+(-0.005)))^1 + E23/(1+(DCF!$C$11+(-0.005)))^2 + F23/(1+(DCF!$C$11+(-0.005)))^3 + G23/(1+(DCF!$C$11+(-0.005)))^4 + H23/(1+(DCF!$C$11+(-0.005)))^5))+(IF((DCF!$C$11+(-0.005))&lt;=(ASSUMPTIONS!$C$43+(0.005)),NA(),H23*(1+(ASSUMPTIONS!$C$43+(0.005)))/((DCF!$C$11+(-0.005))-(ASSUMPTIONS!$C$43+(0.005)))/(1+(DCF!$C$11+(-0.005)))^5))-DCF!$C$12)/ASSUMPTIONS!$C$7</f>
        <v/>
      </c>
      <c r="G64" s="21">
        <f>(((D23/(1+(DCF!$C$11+(-0.005)))^1 + E23/(1+(DCF!$C$11+(-0.005)))^2 + F23/(1+(DCF!$C$11+(-0.005)))^3 + G23/(1+(DCF!$C$11+(-0.005)))^4 + H23/(1+(DCF!$C$11+(-0.005)))^5))+(IF((DCF!$C$11+(-0.005))&lt;=(ASSUMPTIONS!$C$43+(0.01)),NA(),H23*(1+(ASSUMPTIONS!$C$43+(0.01)))/((DCF!$C$11+(-0.005))-(ASSUMPTIONS!$C$43+(0.01)))/(1+(DCF!$C$11+(-0.005)))^5))-DCF!$C$12)/ASSUMPTIONS!$C$7</f>
        <v/>
      </c>
      <c r="H64" s="4" t="n"/>
      <c r="I64" s="4" t="n"/>
      <c r="J64" s="4" t="n"/>
      <c r="K64" s="4" t="n"/>
    </row>
    <row r="65">
      <c r="A65" s="4" t="n"/>
      <c r="B65" s="54">
        <f>DCF!$C$11+(0.0)</f>
        <v/>
      </c>
      <c r="C65" s="21">
        <f>(((D23/(1+(DCF!$C$11+(0.0)))^1 + E23/(1+(DCF!$C$11+(0.0)))^2 + F23/(1+(DCF!$C$11+(0.0)))^3 + G23/(1+(DCF!$C$11+(0.0)))^4 + H23/(1+(DCF!$C$11+(0.0)))^5))+(IF((DCF!$C$11+(0.0))&lt;=(ASSUMPTIONS!$C$43+(-0.01)),NA(),H23*(1+(ASSUMPTIONS!$C$43+(-0.01)))/((DCF!$C$11+(0.0))-(ASSUMPTIONS!$C$43+(-0.01)))/(1+(DCF!$C$11+(0.0)))^5))-DCF!$C$12)/ASSUMPTIONS!$C$7</f>
        <v/>
      </c>
      <c r="D65" s="21">
        <f>(((D23/(1+(DCF!$C$11+(0.0)))^1 + E23/(1+(DCF!$C$11+(0.0)))^2 + F23/(1+(DCF!$C$11+(0.0)))^3 + G23/(1+(DCF!$C$11+(0.0)))^4 + H23/(1+(DCF!$C$11+(0.0)))^5))+(IF((DCF!$C$11+(0.0))&lt;=(ASSUMPTIONS!$C$43+(-0.005)),NA(),H23*(1+(ASSUMPTIONS!$C$43+(-0.005)))/((DCF!$C$11+(0.0))-(ASSUMPTIONS!$C$43+(-0.005)))/(1+(DCF!$C$11+(0.0)))^5))-DCF!$C$12)/ASSUMPTIONS!$C$7</f>
        <v/>
      </c>
      <c r="E65" s="21">
        <f>(((D23/(1+(DCF!$C$11+(0.0)))^1 + E23/(1+(DCF!$C$11+(0.0)))^2 + F23/(1+(DCF!$C$11+(0.0)))^3 + G23/(1+(DCF!$C$11+(0.0)))^4 + H23/(1+(DCF!$C$11+(0.0)))^5))+(IF((DCF!$C$11+(0.0))&lt;=(ASSUMPTIONS!$C$43+(0.0)),NA(),H23*(1+(ASSUMPTIONS!$C$43+(0.0)))/((DCF!$C$11+(0.0))-(ASSUMPTIONS!$C$43+(0.0)))/(1+(DCF!$C$11+(0.0)))^5))-DCF!$C$12)/ASSUMPTIONS!$C$7</f>
        <v/>
      </c>
      <c r="F65" s="21">
        <f>(((D23/(1+(DCF!$C$11+(0.0)))^1 + E23/(1+(DCF!$C$11+(0.0)))^2 + F23/(1+(DCF!$C$11+(0.0)))^3 + G23/(1+(DCF!$C$11+(0.0)))^4 + H23/(1+(DCF!$C$11+(0.0)))^5))+(IF((DCF!$C$11+(0.0))&lt;=(ASSUMPTIONS!$C$43+(0.005)),NA(),H23*(1+(ASSUMPTIONS!$C$43+(0.005)))/((DCF!$C$11+(0.0))-(ASSUMPTIONS!$C$43+(0.005)))/(1+(DCF!$C$11+(0.0)))^5))-DCF!$C$12)/ASSUMPTIONS!$C$7</f>
        <v/>
      </c>
      <c r="G65" s="21">
        <f>(((D23/(1+(DCF!$C$11+(0.0)))^1 + E23/(1+(DCF!$C$11+(0.0)))^2 + F23/(1+(DCF!$C$11+(0.0)))^3 + G23/(1+(DCF!$C$11+(0.0)))^4 + H23/(1+(DCF!$C$11+(0.0)))^5))+(IF((DCF!$C$11+(0.0))&lt;=(ASSUMPTIONS!$C$43+(0.01)),NA(),H23*(1+(ASSUMPTIONS!$C$43+(0.01)))/((DCF!$C$11+(0.0))-(ASSUMPTIONS!$C$43+(0.01)))/(1+(DCF!$C$11+(0.0)))^5))-DCF!$C$12)/ASSUMPTIONS!$C$7</f>
        <v/>
      </c>
      <c r="H65" s="4" t="n"/>
      <c r="I65" s="4" t="n"/>
      <c r="J65" s="4" t="n"/>
      <c r="K65" s="4" t="n"/>
    </row>
    <row r="66">
      <c r="A66" s="4" t="n"/>
      <c r="B66" s="54">
        <f>DCF!$C$11+(0.005)</f>
        <v/>
      </c>
      <c r="C66" s="21">
        <f>(((D23/(1+(DCF!$C$11+(0.005)))^1 + E23/(1+(DCF!$C$11+(0.005)))^2 + F23/(1+(DCF!$C$11+(0.005)))^3 + G23/(1+(DCF!$C$11+(0.005)))^4 + H23/(1+(DCF!$C$11+(0.005)))^5))+(IF((DCF!$C$11+(0.005))&lt;=(ASSUMPTIONS!$C$43+(-0.01)),NA(),H23*(1+(ASSUMPTIONS!$C$43+(-0.01)))/((DCF!$C$11+(0.005))-(ASSUMPTIONS!$C$43+(-0.01)))/(1+(DCF!$C$11+(0.005)))^5))-DCF!$C$12)/ASSUMPTIONS!$C$7</f>
        <v/>
      </c>
      <c r="D66" s="21">
        <f>(((D23/(1+(DCF!$C$11+(0.005)))^1 + E23/(1+(DCF!$C$11+(0.005)))^2 + F23/(1+(DCF!$C$11+(0.005)))^3 + G23/(1+(DCF!$C$11+(0.005)))^4 + H23/(1+(DCF!$C$11+(0.005)))^5))+(IF((DCF!$C$11+(0.005))&lt;=(ASSUMPTIONS!$C$43+(-0.005)),NA(),H23*(1+(ASSUMPTIONS!$C$43+(-0.005)))/((DCF!$C$11+(0.005))-(ASSUMPTIONS!$C$43+(-0.005)))/(1+(DCF!$C$11+(0.005)))^5))-DCF!$C$12)/ASSUMPTIONS!$C$7</f>
        <v/>
      </c>
      <c r="E66" s="21">
        <f>(((D23/(1+(DCF!$C$11+(0.005)))^1 + E23/(1+(DCF!$C$11+(0.005)))^2 + F23/(1+(DCF!$C$11+(0.005)))^3 + G23/(1+(DCF!$C$11+(0.005)))^4 + H23/(1+(DCF!$C$11+(0.005)))^5))+(IF((DCF!$C$11+(0.005))&lt;=(ASSUMPTIONS!$C$43+(0.0)),NA(),H23*(1+(ASSUMPTIONS!$C$43+(0.0)))/((DCF!$C$11+(0.005))-(ASSUMPTIONS!$C$43+(0.0)))/(1+(DCF!$C$11+(0.005)))^5))-DCF!$C$12)/ASSUMPTIONS!$C$7</f>
        <v/>
      </c>
      <c r="F66" s="21">
        <f>(((D23/(1+(DCF!$C$11+(0.005)))^1 + E23/(1+(DCF!$C$11+(0.005)))^2 + F23/(1+(DCF!$C$11+(0.005)))^3 + G23/(1+(DCF!$C$11+(0.005)))^4 + H23/(1+(DCF!$C$11+(0.005)))^5))+(IF((DCF!$C$11+(0.005))&lt;=(ASSUMPTIONS!$C$43+(0.005)),NA(),H23*(1+(ASSUMPTIONS!$C$43+(0.005)))/((DCF!$C$11+(0.005))-(ASSUMPTIONS!$C$43+(0.005)))/(1+(DCF!$C$11+(0.005)))^5))-DCF!$C$12)/ASSUMPTIONS!$C$7</f>
        <v/>
      </c>
      <c r="G66" s="21">
        <f>(((D23/(1+(DCF!$C$11+(0.005)))^1 + E23/(1+(DCF!$C$11+(0.005)))^2 + F23/(1+(DCF!$C$11+(0.005)))^3 + G23/(1+(DCF!$C$11+(0.005)))^4 + H23/(1+(DCF!$C$11+(0.005)))^5))+(IF((DCF!$C$11+(0.005))&lt;=(ASSUMPTIONS!$C$43+(0.01)),NA(),H23*(1+(ASSUMPTIONS!$C$43+(0.01)))/((DCF!$C$11+(0.005))-(ASSUMPTIONS!$C$43+(0.01)))/(1+(DCF!$C$11+(0.005)))^5))-DCF!$C$12)/ASSUMPTIONS!$C$7</f>
        <v/>
      </c>
      <c r="H66" s="4" t="n"/>
      <c r="I66" s="4" t="n"/>
      <c r="J66" s="4" t="n"/>
      <c r="K66" s="4" t="n"/>
    </row>
    <row r="67">
      <c r="A67" s="4" t="n"/>
      <c r="B67" s="54">
        <f>DCF!$C$11+(0.01)</f>
        <v/>
      </c>
      <c r="C67" s="21">
        <f>(((D23/(1+(DCF!$C$11+(0.01)))^1 + E23/(1+(DCF!$C$11+(0.01)))^2 + F23/(1+(DCF!$C$11+(0.01)))^3 + G23/(1+(DCF!$C$11+(0.01)))^4 + H23/(1+(DCF!$C$11+(0.01)))^5))+(IF((DCF!$C$11+(0.01))&lt;=(ASSUMPTIONS!$C$43+(-0.01)),NA(),H23*(1+(ASSUMPTIONS!$C$43+(-0.01)))/((DCF!$C$11+(0.01))-(ASSUMPTIONS!$C$43+(-0.01)))/(1+(DCF!$C$11+(0.01)))^5))-DCF!$C$12)/ASSUMPTIONS!$C$7</f>
        <v/>
      </c>
      <c r="D67" s="21">
        <f>(((D23/(1+(DCF!$C$11+(0.01)))^1 + E23/(1+(DCF!$C$11+(0.01)))^2 + F23/(1+(DCF!$C$11+(0.01)))^3 + G23/(1+(DCF!$C$11+(0.01)))^4 + H23/(1+(DCF!$C$11+(0.01)))^5))+(IF((DCF!$C$11+(0.01))&lt;=(ASSUMPTIONS!$C$43+(-0.005)),NA(),H23*(1+(ASSUMPTIONS!$C$43+(-0.005)))/((DCF!$C$11+(0.01))-(ASSUMPTIONS!$C$43+(-0.005)))/(1+(DCF!$C$11+(0.01)))^5))-DCF!$C$12)/ASSUMPTIONS!$C$7</f>
        <v/>
      </c>
      <c r="E67" s="21">
        <f>(((D23/(1+(DCF!$C$11+(0.01)))^1 + E23/(1+(DCF!$C$11+(0.01)))^2 + F23/(1+(DCF!$C$11+(0.01)))^3 + G23/(1+(DCF!$C$11+(0.01)))^4 + H23/(1+(DCF!$C$11+(0.01)))^5))+(IF((DCF!$C$11+(0.01))&lt;=(ASSUMPTIONS!$C$43+(0.0)),NA(),H23*(1+(ASSUMPTIONS!$C$43+(0.0)))/((DCF!$C$11+(0.01))-(ASSUMPTIONS!$C$43+(0.0)))/(1+(DCF!$C$11+(0.01)))^5))-DCF!$C$12)/ASSUMPTIONS!$C$7</f>
        <v/>
      </c>
      <c r="F67" s="21">
        <f>(((D23/(1+(DCF!$C$11+(0.01)))^1 + E23/(1+(DCF!$C$11+(0.01)))^2 + F23/(1+(DCF!$C$11+(0.01)))^3 + G23/(1+(DCF!$C$11+(0.01)))^4 + H23/(1+(DCF!$C$11+(0.01)))^5))+(IF((DCF!$C$11+(0.01))&lt;=(ASSUMPTIONS!$C$43+(0.005)),NA(),H23*(1+(ASSUMPTIONS!$C$43+(0.005)))/((DCF!$C$11+(0.01))-(ASSUMPTIONS!$C$43+(0.005)))/(1+(DCF!$C$11+(0.01)))^5))-DCF!$C$12)/ASSUMPTIONS!$C$7</f>
        <v/>
      </c>
      <c r="G67" s="21">
        <f>(((D23/(1+(DCF!$C$11+(0.01)))^1 + E23/(1+(DCF!$C$11+(0.01)))^2 + F23/(1+(DCF!$C$11+(0.01)))^3 + G23/(1+(DCF!$C$11+(0.01)))^4 + H23/(1+(DCF!$C$11+(0.01)))^5))+(IF((DCF!$C$11+(0.01))&lt;=(ASSUMPTIONS!$C$43+(0.01)),NA(),H23*(1+(ASSUMPTIONS!$C$43+(0.01)))/((DCF!$C$11+(0.01))-(ASSUMPTIONS!$C$43+(0.01)))/(1+(DCF!$C$11+(0.01)))^5))-DCF!$C$12)/ASSUMPTIONS!$C$7</f>
        <v/>
      </c>
      <c r="H67" s="4" t="n"/>
      <c r="I67" s="4" t="n"/>
      <c r="J67" s="4" t="n"/>
      <c r="K67" s="4" t="n"/>
    </row>
    <row r="68">
      <c r="A68" s="4" t="n"/>
      <c r="B68" s="54">
        <f>DCF!$C$11+(0.015)</f>
        <v/>
      </c>
      <c r="C68" s="21">
        <f>(((D23/(1+(DCF!$C$11+(0.015)))^1 + E23/(1+(DCF!$C$11+(0.015)))^2 + F23/(1+(DCF!$C$11+(0.015)))^3 + G23/(1+(DCF!$C$11+(0.015)))^4 + H23/(1+(DCF!$C$11+(0.015)))^5))+(IF((DCF!$C$11+(0.015))&lt;=(ASSUMPTIONS!$C$43+(-0.01)),NA(),H23*(1+(ASSUMPTIONS!$C$43+(-0.01)))/((DCF!$C$11+(0.015))-(ASSUMPTIONS!$C$43+(-0.01)))/(1+(DCF!$C$11+(0.015)))^5))-DCF!$C$12)/ASSUMPTIONS!$C$7</f>
        <v/>
      </c>
      <c r="D68" s="21">
        <f>(((D23/(1+(DCF!$C$11+(0.015)))^1 + E23/(1+(DCF!$C$11+(0.015)))^2 + F23/(1+(DCF!$C$11+(0.015)))^3 + G23/(1+(DCF!$C$11+(0.015)))^4 + H23/(1+(DCF!$C$11+(0.015)))^5))+(IF((DCF!$C$11+(0.015))&lt;=(ASSUMPTIONS!$C$43+(-0.005)),NA(),H23*(1+(ASSUMPTIONS!$C$43+(-0.005)))/((DCF!$C$11+(0.015))-(ASSUMPTIONS!$C$43+(-0.005)))/(1+(DCF!$C$11+(0.015)))^5))-DCF!$C$12)/ASSUMPTIONS!$C$7</f>
        <v/>
      </c>
      <c r="E68" s="21">
        <f>(((D23/(1+(DCF!$C$11+(0.015)))^1 + E23/(1+(DCF!$C$11+(0.015)))^2 + F23/(1+(DCF!$C$11+(0.015)))^3 + G23/(1+(DCF!$C$11+(0.015)))^4 + H23/(1+(DCF!$C$11+(0.015)))^5))+(IF((DCF!$C$11+(0.015))&lt;=(ASSUMPTIONS!$C$43+(0.0)),NA(),H23*(1+(ASSUMPTIONS!$C$43+(0.0)))/((DCF!$C$11+(0.015))-(ASSUMPTIONS!$C$43+(0.0)))/(1+(DCF!$C$11+(0.015)))^5))-DCF!$C$12)/ASSUMPTIONS!$C$7</f>
        <v/>
      </c>
      <c r="F68" s="21">
        <f>(((D23/(1+(DCF!$C$11+(0.015)))^1 + E23/(1+(DCF!$C$11+(0.015)))^2 + F23/(1+(DCF!$C$11+(0.015)))^3 + G23/(1+(DCF!$C$11+(0.015)))^4 + H23/(1+(DCF!$C$11+(0.015)))^5))+(IF((DCF!$C$11+(0.015))&lt;=(ASSUMPTIONS!$C$43+(0.005)),NA(),H23*(1+(ASSUMPTIONS!$C$43+(0.005)))/((DCF!$C$11+(0.015))-(ASSUMPTIONS!$C$43+(0.005)))/(1+(DCF!$C$11+(0.015)))^5))-DCF!$C$12)/ASSUMPTIONS!$C$7</f>
        <v/>
      </c>
      <c r="G68" s="21">
        <f>(((D23/(1+(DCF!$C$11+(0.015)))^1 + E23/(1+(DCF!$C$11+(0.015)))^2 + F23/(1+(DCF!$C$11+(0.015)))^3 + G23/(1+(DCF!$C$11+(0.015)))^4 + H23/(1+(DCF!$C$11+(0.015)))^5))+(IF((DCF!$C$11+(0.015))&lt;=(ASSUMPTIONS!$C$43+(0.01)),NA(),H23*(1+(ASSUMPTIONS!$C$43+(0.01)))/((DCF!$C$11+(0.015))-(ASSUMPTIONS!$C$43+(0.01)))/(1+(DCF!$C$11+(0.015)))^5))-DCF!$C$12)/ASSUMPTIONS!$C$7</f>
        <v/>
      </c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</sheetData>
  <mergeCells count="3">
    <mergeCell ref="A1:K1"/>
    <mergeCell ref="A2:K2"/>
    <mergeCell ref="A3:K3"/>
  </mergeCells>
  <conditionalFormatting sqref="C62:G68">
    <cfRule type="colorScale" priority="1">
      <colorScale>
        <cfvo type="min"/>
        <cfvo type="percentile" val="50"/>
        <cfvo type="max"/>
        <color rgb="00F0556B"/>
        <color rgb="00F2B33D"/>
        <color rgb="002DD4A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31A2B"/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3" customWidth="1" min="8" max="8"/>
  </cols>
  <sheetData>
    <row r="1" ht="26" customHeight="1">
      <c r="A1" s="1" t="inlineStr">
        <is>
          <t>RELATIVE VALUATION</t>
        </is>
      </c>
    </row>
    <row r="2" ht="16" customHeight="1">
      <c r="A2" s="2" t="inlineStr">
        <is>
          <t>Implied price from peer multiples vs current multiples; PEG.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5" t="inlineStr">
        <is>
          <t>M  U  L  T  I  P  L  E  S     —     C  U  R  R  E  N  T     V  S     P  E  E  R     →     I  M  P  L  I  E  D     P  R  I  C  E</t>
        </is>
      </c>
      <c r="C5" s="6" t="n"/>
      <c r="D5" s="6" t="n"/>
      <c r="E5" s="6" t="n"/>
      <c r="F5" s="6" t="n"/>
      <c r="G5" s="4" t="n"/>
      <c r="H5" s="4" t="n"/>
    </row>
    <row r="6">
      <c r="A6" s="4" t="n"/>
      <c r="B6" s="5" t="inlineStr">
        <is>
          <t>Method</t>
        </is>
      </c>
      <c r="C6" s="18" t="inlineStr">
        <is>
          <t>Current</t>
        </is>
      </c>
      <c r="D6" s="18" t="inlineStr">
        <is>
          <t>Peer median</t>
        </is>
      </c>
      <c r="E6" s="18" t="inlineStr">
        <is>
          <t>Implied $/sh</t>
        </is>
      </c>
      <c r="F6" s="18" t="inlineStr">
        <is>
          <t>Upside %</t>
        </is>
      </c>
      <c r="G6" s="4" t="n"/>
      <c r="H6" s="4" t="n"/>
    </row>
    <row r="7">
      <c r="A7" s="4" t="n"/>
      <c r="B7" s="7" t="inlineStr">
        <is>
          <t>P/E</t>
        </is>
      </c>
      <c r="C7" s="55">
        <f>ASSUMPTIONS!$C$6/(ASSUMPTIONS!$C$25/ASSUMPTIONS!$C$7)</f>
        <v/>
      </c>
      <c r="D7" s="56">
        <f>ASSUMPTIONS!$C$52</f>
        <v/>
      </c>
      <c r="E7" s="28">
        <f>ASSUMPTIONS!$C$52*(ASSUMPTIONS!$C$25/ASSUMPTIONS!$C$7)</f>
        <v/>
      </c>
      <c r="F7" s="57">
        <f>E7/ASSUMPTIONS!$C$6-1</f>
        <v/>
      </c>
      <c r="G7" s="4" t="n"/>
      <c r="H7" s="4" t="n"/>
    </row>
    <row r="8">
      <c r="A8" s="4" t="n"/>
      <c r="B8" s="7" t="inlineStr">
        <is>
          <t>Forward P/E</t>
        </is>
      </c>
      <c r="C8" s="55">
        <f>ASSUMPTIONS!$C$6/((ASSUMPTIONS!$C$25/ASSUMPTIONS!$C$7)*(1+ASSUMPTIONS!$C$38))</f>
        <v/>
      </c>
      <c r="D8" s="56">
        <f>ASSUMPTIONS!$C$53</f>
        <v/>
      </c>
      <c r="E8" s="28">
        <f>ASSUMPTIONS!$C$53*((ASSUMPTIONS!$C$25/ASSUMPTIONS!$C$7)*(1+ASSUMPTIONS!$C$38))</f>
        <v/>
      </c>
      <c r="F8" s="57">
        <f>E8/ASSUMPTIONS!$C$6-1</f>
        <v/>
      </c>
      <c r="G8" s="4" t="n"/>
      <c r="H8" s="4" t="n"/>
    </row>
    <row r="9">
      <c r="A9" s="4" t="n"/>
      <c r="B9" s="7" t="inlineStr">
        <is>
          <t>EV/EBITDA</t>
        </is>
      </c>
      <c r="C9" s="55">
        <f>(ASSUMPTIONS!$C$6*ASSUMPTIONS!$C$7+ASSUMPTIONS!$C$28-ASSUMPTIONS!$C$29)/(ASSUMPTIONS!$C$18*ASSUMPTIONS!$C$19+ASSUMPTIONS!$C$18*ASSUMPTIONS!$C$21)</f>
        <v/>
      </c>
      <c r="D9" s="56">
        <f>ASSUMPTIONS!$C$54</f>
        <v/>
      </c>
      <c r="E9" s="28">
        <f>(ASSUMPTIONS!$C$54*(ASSUMPTIONS!$C$18*ASSUMPTIONS!$C$19+ASSUMPTIONS!$C$18*ASSUMPTIONS!$C$21)-(ASSUMPTIONS!$C$28-ASSUMPTIONS!$C$29))/ASSUMPTIONS!$C$7</f>
        <v/>
      </c>
      <c r="F9" s="57">
        <f>E9/ASSUMPTIONS!$C$6-1</f>
        <v/>
      </c>
      <c r="G9" s="4" t="n"/>
      <c r="H9" s="4" t="n"/>
    </row>
    <row r="10">
      <c r="A10" s="4" t="n"/>
      <c r="B10" s="7" t="inlineStr">
        <is>
          <t>EV/Sales</t>
        </is>
      </c>
      <c r="C10" s="55">
        <f>(ASSUMPTIONS!$C$6*ASSUMPTIONS!$C$7+ASSUMPTIONS!$C$28-ASSUMPTIONS!$C$29)/ASSUMPTIONS!$C$18</f>
        <v/>
      </c>
      <c r="D10" s="56">
        <f>ASSUMPTIONS!$C$55</f>
        <v/>
      </c>
      <c r="E10" s="28">
        <f>(ASSUMPTIONS!$C$55*ASSUMPTIONS!$C$18-(ASSUMPTIONS!$C$28-ASSUMPTIONS!$C$29))/ASSUMPTIONS!$C$7</f>
        <v/>
      </c>
      <c r="F10" s="57">
        <f>E10/ASSUMPTIONS!$C$6-1</f>
        <v/>
      </c>
      <c r="G10" s="4" t="n"/>
      <c r="H10" s="4" t="n"/>
    </row>
    <row r="11">
      <c r="A11" s="4" t="n"/>
      <c r="B11" s="7" t="inlineStr">
        <is>
          <t>P/B</t>
        </is>
      </c>
      <c r="C11" s="55">
        <f>ASSUMPTIONS!$C$6/(ASSUMPTIONS!$C$30/ASSUMPTIONS!$C$7)</f>
        <v/>
      </c>
      <c r="D11" s="56">
        <f>ASSUMPTIONS!$C$56</f>
        <v/>
      </c>
      <c r="E11" s="28">
        <f>ASSUMPTIONS!$C$56*(ASSUMPTIONS!$C$30/ASSUMPTIONS!$C$7)</f>
        <v/>
      </c>
      <c r="F11" s="57">
        <f>E11/ASSUMPTIONS!$C$6-1</f>
        <v/>
      </c>
      <c r="G11" s="4" t="n"/>
      <c r="H11" s="4" t="n"/>
    </row>
    <row r="12">
      <c r="A12" s="4" t="n"/>
      <c r="B12" s="7" t="inlineStr">
        <is>
          <t>P/FCF</t>
        </is>
      </c>
      <c r="C12" s="55">
        <f>ASSUMPTIONS!$C$6/(DCF!$C$27/ASSUMPTIONS!$C$7)</f>
        <v/>
      </c>
      <c r="D12" s="56">
        <f>ASSUMPTIONS!$C$57</f>
        <v/>
      </c>
      <c r="E12" s="28">
        <f>ASSUMPTIONS!$C$57*(DCF!$C$27/ASSUMPTIONS!$C$7)</f>
        <v/>
      </c>
      <c r="F12" s="57">
        <f>E12/ASSUMPTIONS!$C$6-1</f>
        <v/>
      </c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5" t="inlineStr">
        <is>
          <t>P  E  G</t>
        </is>
      </c>
      <c r="C14" s="6" t="n"/>
      <c r="D14" s="6" t="n"/>
      <c r="E14" s="6" t="n"/>
      <c r="F14" s="6" t="n"/>
      <c r="G14" s="4" t="n"/>
      <c r="H14" s="4" t="n"/>
    </row>
    <row r="15">
      <c r="A15" s="4" t="n"/>
      <c r="B15" s="10" t="inlineStr">
        <is>
          <t>PEG = (P/E)/(g1*100)</t>
        </is>
      </c>
      <c r="C15" s="19">
        <f>(ASSUMPTIONS!$C$6/(ASSUMPTIONS!$C$25/ASSUMPTIONS!$C$7))/(ASSUMPTIONS!$C$38*100)</f>
        <v/>
      </c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7" t="inlineStr">
        <is>
          <t>Relative blended (P/E &amp; EV/EBITDA)</t>
        </is>
      </c>
      <c r="C17" s="28">
        <f>AVERAGE(E7,E9)</f>
        <v/>
      </c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</sheetData>
  <mergeCells count="3">
    <mergeCell ref="A1:H1"/>
    <mergeCell ref="A2:H2"/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31A2B"/>
    <outlinePr summaryBelow="1" summaryRight="1"/>
    <pageSetUpPr/>
  </sheetPr>
  <dimension ref="A1:I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26" customHeight="1">
      <c r="A1" s="1" t="inlineStr">
        <is>
          <t>VALUE HEURISTICS</t>
        </is>
      </c>
    </row>
    <row r="2" ht="16" customHeight="1">
      <c r="A2" s="2" t="inlineStr">
        <is>
          <t>Graham Number &amp; Formula, EPV, Owner Earnings, and the Reverse DCF solver.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5" t="inlineStr">
        <is>
          <t>H  E  U  R  I  S  T  I  C     F  A  I  R     V  A  L  U  E  S     (  $  /  S  H  )</t>
        </is>
      </c>
      <c r="C5" s="6" t="n"/>
      <c r="D5" s="6" t="n"/>
      <c r="E5" s="4" t="n"/>
      <c r="F5" s="4" t="n"/>
      <c r="G5" s="4" t="n"/>
      <c r="H5" s="4" t="n"/>
      <c r="I5" s="4" t="n"/>
    </row>
    <row r="6">
      <c r="A6" s="4" t="n"/>
      <c r="B6" s="10" t="inlineStr">
        <is>
          <t>Graham Number = sqrt(22.5*EPS*BVPS)</t>
        </is>
      </c>
      <c r="C6" s="28">
        <f>IF(AND((ASSUMPTIONS!$C$25/ASSUMPTIONS!$C$7)&gt;0,(ASSUMPTIONS!$C$30/ASSUMPTIONS!$C$7)&gt;0),SQRT(22.5*(ASSUMPTIONS!$C$25/ASSUMPTIONS!$C$7)*(ASSUMPTIONS!$C$30/ASSUMPTIONS!$C$7)),NA())</f>
        <v/>
      </c>
      <c r="D6" s="4" t="n"/>
      <c r="E6" s="4" t="n"/>
      <c r="F6" s="4" t="n"/>
      <c r="G6" s="4" t="n"/>
      <c r="H6" s="4" t="n"/>
      <c r="I6" s="4" t="n"/>
    </row>
    <row r="7">
      <c r="A7" s="4" t="n"/>
      <c r="B7" s="10" t="inlineStr">
        <is>
          <t>Graham Formula = EPS*(8.5+2*g)*4.4/Y</t>
        </is>
      </c>
      <c r="C7" s="28">
        <f>(ASSUMPTIONS!$C$25/ASSUMPTIONS!$C$7)*(8.5+2*MIN(ASSUMPTIONS!$C$38*100,15))*4.4/(ASSUMPTIONS!$C$49*100)</f>
        <v/>
      </c>
      <c r="D7" s="4" t="n"/>
      <c r="E7" s="4" t="n"/>
      <c r="F7" s="4" t="n"/>
      <c r="G7" s="4" t="n"/>
      <c r="H7" s="4" t="n"/>
      <c r="I7" s="4" t="n"/>
    </row>
    <row r="8">
      <c r="A8" s="4" t="n"/>
      <c r="B8" s="10" t="inlineStr">
        <is>
          <t>EPV = NOPAT/WACC - NetDebt (per sh)</t>
        </is>
      </c>
      <c r="C8" s="28">
        <f>IF(DCF!$C$11&lt;=0,NA(),((ASSUMPTIONS!$C$18*ASSUMPTIONS!$C$19*(1-ASSUMPTIONS!$C$20))/DCF!$C$11-DCF!$C$12)/ASSUMPTIONS!$C$7)</f>
        <v/>
      </c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5" t="inlineStr">
        <is>
          <t>O  W  N  E  R     E  A  R  N  I  N  G  S     (  B  U  F  F  E  T  T  )</t>
        </is>
      </c>
      <c r="C10" s="6" t="n"/>
      <c r="D10" s="6" t="n"/>
      <c r="E10" s="4" t="n"/>
      <c r="F10" s="4" t="n"/>
      <c r="G10" s="4" t="n"/>
      <c r="H10" s="4" t="n"/>
      <c r="I10" s="4" t="n"/>
    </row>
    <row r="11">
      <c r="A11" s="4" t="n"/>
      <c r="B11" s="10" t="inlineStr">
        <is>
          <t>Owner earnings = NI + D&amp;A - maint capex</t>
        </is>
      </c>
      <c r="C11" s="50">
        <f>ASSUMPTIONS!$C$25+ASSUMPTIONS!$C$18*ASSUMPTIONS!$C$21-0.70*ASSUMPTIONS!$C$18*ASSUMPTIONS!$C$22</f>
        <v/>
      </c>
      <c r="D11" s="4" t="n"/>
      <c r="E11" s="4" t="n"/>
      <c r="F11" s="4" t="n"/>
      <c r="G11" s="4" t="n"/>
      <c r="H11" s="4" t="n"/>
      <c r="I11" s="4" t="n"/>
    </row>
    <row r="12">
      <c r="A12" s="4" t="n"/>
      <c r="B12" s="10" t="inlineStr">
        <is>
          <t xml:space="preserve">  (maint capex ~ 70% of total capex)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10" t="inlineStr">
        <is>
          <t>Owner earnings yield = OE / mkt cap</t>
        </is>
      </c>
      <c r="C13" s="24">
        <f>C11/(ASSUMPTIONS!$C$6*ASSUMPTIONS!$C$7)</f>
        <v/>
      </c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5" t="inlineStr">
        <is>
          <t>R  E  V  E  R  S  E     D  C  F     —     G  R  O  W  T  H     T  H  E     M  A  R  K  E  T     I  S     P  R  I  C  I  N  G</t>
        </is>
      </c>
      <c r="C16" s="6" t="n"/>
      <c r="D16" s="6" t="n"/>
      <c r="E16" s="6" t="n"/>
      <c r="F16" s="6" t="n"/>
      <c r="G16" s="6" t="n"/>
      <c r="H16" s="6" t="n"/>
      <c r="I16" s="4" t="n"/>
    </row>
    <row r="17">
      <c r="A17" s="4" t="n"/>
      <c r="B17" s="10" t="inlineStr">
        <is>
          <t>Solve g* so DCF $/sh = current price (g_term fixed).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5" t="inlineStr">
        <is>
          <t>g (5yr)</t>
        </is>
      </c>
      <c r="C18" s="18" t="inlineStr">
        <is>
          <t>DCF $/sh at g</t>
        </is>
      </c>
      <c r="D18" s="18" t="inlineStr">
        <is>
          <t>value - price</t>
        </is>
      </c>
      <c r="E18" s="4" t="n"/>
      <c r="F18" s="5" t="inlineStr">
        <is>
          <t>I  M  P  L  I  E  D     V  S     B  A  S  E</t>
        </is>
      </c>
      <c r="G18" s="4" t="n"/>
      <c r="H18" s="4" t="n"/>
      <c r="I18" s="4" t="n"/>
    </row>
    <row r="19">
      <c r="A19" s="4" t="n"/>
      <c r="B19" s="58" t="n">
        <v>-0.1</v>
      </c>
      <c r="C19" s="21">
        <f>((ASSUMPTIONS!$C$18*((ASSUMPTIONS!$C$19*(1-ASSUMPTIONS!$C$20)+ASSUMPTIONS!$C$21-ASSUMPTIONS!$C$22)-ASSUMPTIONS!$C$23*B19/(1+B19))*((1+B19)/(1+DCF!$C$11))*(1-((1+B19)/(1+DCF!$C$11))^5)/(1-((1+B19)/(1+DCF!$C$11))))+((((IF(DCF!$C$11&lt;=ASSUMPTIONS!$C$43,0,(ASSUMPTIONS!$C$18*(1+B19)^5*((ASSUMPTIONS!$C$19*(1-ASSUMPTIONS!$C$20)+ASSUMPTIONS!$C$21-ASSUMPTIONS!$C$22)-ASSUMPTIONS!$C$23*B19/(1+B19)))*(1+ASSUMPTIONS!$C$43)/(DCF!$C$11-ASSUMPTIONS!$C$43)))+((ASSUMPTIONS!$C$18*(1+B19)^5*(ASSUMPTIONS!$C$19+ASSUMPTIONS!$C$21))*ASSUMPTIONS!$C$60))/2)/(1+DCF!$C$11)^5)-DCF!$C$12)/ASSUMPTIONS!$C$7</f>
        <v/>
      </c>
      <c r="D19" s="21">
        <f>C19-ASSUMPTIONS!$C$6</f>
        <v/>
      </c>
      <c r="E19" s="4" t="n"/>
      <c r="F19" s="10" t="inlineStr">
        <is>
          <t>Implied g* (market)</t>
        </is>
      </c>
      <c r="G19" s="26">
        <f>IFERROR(INDEX(B19:B39,MATCH(ASSUMPTIONS!$C$6,C19:C39,1))+(ASSUMPTIONS!$C$6-INDEX(C19:C39,MATCH(ASSUMPTIONS!$C$6,C19:C39,1)))*(INDEX(B19:B39,MATCH(ASSUMPTIONS!$C$6,C19:C39,1)+1)-INDEX(B19:B39,MATCH(ASSUMPTIONS!$C$6,C19:C39,1)))/(INDEX(C19:C39,MATCH(ASSUMPTIONS!$C$6,C19:C39,1)+1)-INDEX(C19:C39,MATCH(ASSUMPTIONS!$C$6,C19:C39,1))),IF(ASSUMPTIONS!$C$6&lt;INDEX(C19:C39,1),B19,B39))</f>
        <v/>
      </c>
      <c r="H19" s="4" t="n"/>
      <c r="I19" s="4" t="n"/>
    </row>
    <row r="20">
      <c r="A20" s="4" t="n"/>
      <c r="B20" s="58" t="n">
        <v>-0.08</v>
      </c>
      <c r="C20" s="21">
        <f>((ASSUMPTIONS!$C$18*((ASSUMPTIONS!$C$19*(1-ASSUMPTIONS!$C$20)+ASSUMPTIONS!$C$21-ASSUMPTIONS!$C$22)-ASSUMPTIONS!$C$23*B20/(1+B20))*((1+B20)/(1+DCF!$C$11))*(1-((1+B20)/(1+DCF!$C$11))^5)/(1-((1+B20)/(1+DCF!$C$11))))+((((IF(DCF!$C$11&lt;=ASSUMPTIONS!$C$43,0,(ASSUMPTIONS!$C$18*(1+B20)^5*((ASSUMPTIONS!$C$19*(1-ASSUMPTIONS!$C$20)+ASSUMPTIONS!$C$21-ASSUMPTIONS!$C$22)-ASSUMPTIONS!$C$23*B20/(1+B20)))*(1+ASSUMPTIONS!$C$43)/(DCF!$C$11-ASSUMPTIONS!$C$43)))+((ASSUMPTIONS!$C$18*(1+B20)^5*(ASSUMPTIONS!$C$19+ASSUMPTIONS!$C$21))*ASSUMPTIONS!$C$60))/2)/(1+DCF!$C$11)^5)-DCF!$C$12)/ASSUMPTIONS!$C$7</f>
        <v/>
      </c>
      <c r="D20" s="21">
        <f>C20-ASSUMPTIONS!$C$6</f>
        <v/>
      </c>
      <c r="E20" s="4" t="n"/>
      <c r="F20" s="10" t="inlineStr">
        <is>
          <t>Base-case g (yr1)</t>
        </is>
      </c>
      <c r="G20" s="59">
        <f>ASSUMPTIONS!$C$38</f>
        <v/>
      </c>
      <c r="H20" s="4" t="n"/>
      <c r="I20" s="4" t="n"/>
    </row>
    <row r="21">
      <c r="A21" s="4" t="n"/>
      <c r="B21" s="58" t="n">
        <v>-0.06</v>
      </c>
      <c r="C21" s="21">
        <f>((ASSUMPTIONS!$C$18*((ASSUMPTIONS!$C$19*(1-ASSUMPTIONS!$C$20)+ASSUMPTIONS!$C$21-ASSUMPTIONS!$C$22)-ASSUMPTIONS!$C$23*B21/(1+B21))*((1+B21)/(1+DCF!$C$11))*(1-((1+B21)/(1+DCF!$C$11))^5)/(1-((1+B21)/(1+DCF!$C$11))))+((((IF(DCF!$C$11&lt;=ASSUMPTIONS!$C$43,0,(ASSUMPTIONS!$C$18*(1+B21)^5*((ASSUMPTIONS!$C$19*(1-ASSUMPTIONS!$C$20)+ASSUMPTIONS!$C$21-ASSUMPTIONS!$C$22)-ASSUMPTIONS!$C$23*B21/(1+B21)))*(1+ASSUMPTIONS!$C$43)/(DCF!$C$11-ASSUMPTIONS!$C$43)))+((ASSUMPTIONS!$C$18*(1+B21)^5*(ASSUMPTIONS!$C$19+ASSUMPTIONS!$C$21))*ASSUMPTIONS!$C$60))/2)/(1+DCF!$C$11)^5)-DCF!$C$12)/ASSUMPTIONS!$C$7</f>
        <v/>
      </c>
      <c r="D21" s="21">
        <f>C21-ASSUMPTIONS!$C$6</f>
        <v/>
      </c>
      <c r="E21" s="4" t="n"/>
      <c r="F21" s="10" t="inlineStr">
        <is>
          <t>Market - base (gap)</t>
        </is>
      </c>
      <c r="G21" s="60">
        <f>G19-G20</f>
        <v/>
      </c>
      <c r="H21" s="4" t="n"/>
      <c r="I21" s="4" t="n"/>
    </row>
    <row r="22">
      <c r="A22" s="4" t="n"/>
      <c r="B22" s="58" t="n">
        <v>-0.04</v>
      </c>
      <c r="C22" s="21">
        <f>((ASSUMPTIONS!$C$18*((ASSUMPTIONS!$C$19*(1-ASSUMPTIONS!$C$20)+ASSUMPTIONS!$C$21-ASSUMPTIONS!$C$22)-ASSUMPTIONS!$C$23*B22/(1+B22))*((1+B22)/(1+DCF!$C$11))*(1-((1+B22)/(1+DCF!$C$11))^5)/(1-((1+B22)/(1+DCF!$C$11))))+((((IF(DCF!$C$11&lt;=ASSUMPTIONS!$C$43,0,(ASSUMPTIONS!$C$18*(1+B22)^5*((ASSUMPTIONS!$C$19*(1-ASSUMPTIONS!$C$20)+ASSUMPTIONS!$C$21-ASSUMPTIONS!$C$22)-ASSUMPTIONS!$C$23*B22/(1+B22)))*(1+ASSUMPTIONS!$C$43)/(DCF!$C$11-ASSUMPTIONS!$C$43)))+((ASSUMPTIONS!$C$18*(1+B22)^5*(ASSUMPTIONS!$C$19+ASSUMPTIONS!$C$21))*ASSUMPTIONS!$C$60))/2)/(1+DCF!$C$11)^5)-DCF!$C$12)/ASSUMPTIONS!$C$7</f>
        <v/>
      </c>
      <c r="D22" s="21">
        <f>C22-ASSUMPTIONS!$C$6</f>
        <v/>
      </c>
      <c r="E22" s="4" t="n"/>
      <c r="F22" s="10" t="inlineStr">
        <is>
          <t>Read</t>
        </is>
      </c>
      <c r="G22" s="61">
        <f>IF(G19&lt;G20,"Market pricing LESS growth than base → cheap","Market pricing MORE growth → rich")</f>
        <v/>
      </c>
      <c r="H22" s="4" t="n"/>
      <c r="I22" s="4" t="n"/>
    </row>
    <row r="23">
      <c r="A23" s="4" t="n"/>
      <c r="B23" s="58" t="n">
        <v>-0.02</v>
      </c>
      <c r="C23" s="21">
        <f>((ASSUMPTIONS!$C$18*((ASSUMPTIONS!$C$19*(1-ASSUMPTIONS!$C$20)+ASSUMPTIONS!$C$21-ASSUMPTIONS!$C$22)-ASSUMPTIONS!$C$23*B23/(1+B23))*((1+B23)/(1+DCF!$C$11))*(1-((1+B23)/(1+DCF!$C$11))^5)/(1-((1+B23)/(1+DCF!$C$11))))+((((IF(DCF!$C$11&lt;=ASSUMPTIONS!$C$43,0,(ASSUMPTIONS!$C$18*(1+B23)^5*((ASSUMPTIONS!$C$19*(1-ASSUMPTIONS!$C$20)+ASSUMPTIONS!$C$21-ASSUMPTIONS!$C$22)-ASSUMPTIONS!$C$23*B23/(1+B23)))*(1+ASSUMPTIONS!$C$43)/(DCF!$C$11-ASSUMPTIONS!$C$43)))+((ASSUMPTIONS!$C$18*(1+B23)^5*(ASSUMPTIONS!$C$19+ASSUMPTIONS!$C$21))*ASSUMPTIONS!$C$60))/2)/(1+DCF!$C$11)^5)-DCF!$C$12)/ASSUMPTIONS!$C$7</f>
        <v/>
      </c>
      <c r="D23" s="21">
        <f>C23-ASSUMPTIONS!$C$6</f>
        <v/>
      </c>
      <c r="E23" s="4" t="n"/>
      <c r="F23" s="4" t="n"/>
      <c r="G23" s="4" t="n"/>
      <c r="H23" s="4" t="n"/>
      <c r="I23" s="4" t="n"/>
    </row>
    <row r="24">
      <c r="A24" s="4" t="n"/>
      <c r="B24" s="58" t="n">
        <v>0</v>
      </c>
      <c r="C24" s="21">
        <f>((ASSUMPTIONS!$C$18*((ASSUMPTIONS!$C$19*(1-ASSUMPTIONS!$C$20)+ASSUMPTIONS!$C$21-ASSUMPTIONS!$C$22)-ASSUMPTIONS!$C$23*B24/(1+B24))*((1+B24)/(1+DCF!$C$11))*(1-((1+B24)/(1+DCF!$C$11))^5)/(1-((1+B24)/(1+DCF!$C$11))))+((((IF(DCF!$C$11&lt;=ASSUMPTIONS!$C$43,0,(ASSUMPTIONS!$C$18*(1+B24)^5*((ASSUMPTIONS!$C$19*(1-ASSUMPTIONS!$C$20)+ASSUMPTIONS!$C$21-ASSUMPTIONS!$C$22)-ASSUMPTIONS!$C$23*B24/(1+B24)))*(1+ASSUMPTIONS!$C$43)/(DCF!$C$11-ASSUMPTIONS!$C$43)))+((ASSUMPTIONS!$C$18*(1+B24)^5*(ASSUMPTIONS!$C$19+ASSUMPTIONS!$C$21))*ASSUMPTIONS!$C$60))/2)/(1+DCF!$C$11)^5)-DCF!$C$12)/ASSUMPTIONS!$C$7</f>
        <v/>
      </c>
      <c r="D24" s="21">
        <f>C24-ASSUMPTIONS!$C$6</f>
        <v/>
      </c>
      <c r="E24" s="4" t="n"/>
      <c r="F24" s="4" t="n"/>
      <c r="G24" s="4" t="n"/>
      <c r="H24" s="4" t="n"/>
      <c r="I24" s="4" t="n"/>
    </row>
    <row r="25">
      <c r="A25" s="4" t="n"/>
      <c r="B25" s="58" t="n">
        <v>0.02</v>
      </c>
      <c r="C25" s="21">
        <f>((ASSUMPTIONS!$C$18*((ASSUMPTIONS!$C$19*(1-ASSUMPTIONS!$C$20)+ASSUMPTIONS!$C$21-ASSUMPTIONS!$C$22)-ASSUMPTIONS!$C$23*B25/(1+B25))*((1+B25)/(1+DCF!$C$11))*(1-((1+B25)/(1+DCF!$C$11))^5)/(1-((1+B25)/(1+DCF!$C$11))))+((((IF(DCF!$C$11&lt;=ASSUMPTIONS!$C$43,0,(ASSUMPTIONS!$C$18*(1+B25)^5*((ASSUMPTIONS!$C$19*(1-ASSUMPTIONS!$C$20)+ASSUMPTIONS!$C$21-ASSUMPTIONS!$C$22)-ASSUMPTIONS!$C$23*B25/(1+B25)))*(1+ASSUMPTIONS!$C$43)/(DCF!$C$11-ASSUMPTIONS!$C$43)))+((ASSUMPTIONS!$C$18*(1+B25)^5*(ASSUMPTIONS!$C$19+ASSUMPTIONS!$C$21))*ASSUMPTIONS!$C$60))/2)/(1+DCF!$C$11)^5)-DCF!$C$12)/ASSUMPTIONS!$C$7</f>
        <v/>
      </c>
      <c r="D25" s="21">
        <f>C25-ASSUMPTIONS!$C$6</f>
        <v/>
      </c>
      <c r="E25" s="4" t="n"/>
      <c r="F25" s="4" t="n"/>
      <c r="G25" s="4" t="n"/>
      <c r="H25" s="4" t="n"/>
      <c r="I25" s="4" t="n"/>
    </row>
    <row r="26">
      <c r="A26" s="4" t="n"/>
      <c r="B26" s="58" t="n">
        <v>0.04</v>
      </c>
      <c r="C26" s="21">
        <f>((ASSUMPTIONS!$C$18*((ASSUMPTIONS!$C$19*(1-ASSUMPTIONS!$C$20)+ASSUMPTIONS!$C$21-ASSUMPTIONS!$C$22)-ASSUMPTIONS!$C$23*B26/(1+B26))*((1+B26)/(1+DCF!$C$11))*(1-((1+B26)/(1+DCF!$C$11))^5)/(1-((1+B26)/(1+DCF!$C$11))))+((((IF(DCF!$C$11&lt;=ASSUMPTIONS!$C$43,0,(ASSUMPTIONS!$C$18*(1+B26)^5*((ASSUMPTIONS!$C$19*(1-ASSUMPTIONS!$C$20)+ASSUMPTIONS!$C$21-ASSUMPTIONS!$C$22)-ASSUMPTIONS!$C$23*B26/(1+B26)))*(1+ASSUMPTIONS!$C$43)/(DCF!$C$11-ASSUMPTIONS!$C$43)))+((ASSUMPTIONS!$C$18*(1+B26)^5*(ASSUMPTIONS!$C$19+ASSUMPTIONS!$C$21))*ASSUMPTIONS!$C$60))/2)/(1+DCF!$C$11)^5)-DCF!$C$12)/ASSUMPTIONS!$C$7</f>
        <v/>
      </c>
      <c r="D26" s="21">
        <f>C26-ASSUMPTIONS!$C$6</f>
        <v/>
      </c>
      <c r="E26" s="4" t="n"/>
      <c r="F26" s="4" t="n"/>
      <c r="G26" s="4" t="n"/>
      <c r="H26" s="4" t="n"/>
      <c r="I26" s="4" t="n"/>
    </row>
    <row r="27">
      <c r="A27" s="4" t="n"/>
      <c r="B27" s="58" t="n">
        <v>0.06</v>
      </c>
      <c r="C27" s="21">
        <f>((ASSUMPTIONS!$C$18*((ASSUMPTIONS!$C$19*(1-ASSUMPTIONS!$C$20)+ASSUMPTIONS!$C$21-ASSUMPTIONS!$C$22)-ASSUMPTIONS!$C$23*B27/(1+B27))*((1+B27)/(1+DCF!$C$11))*(1-((1+B27)/(1+DCF!$C$11))^5)/(1-((1+B27)/(1+DCF!$C$11))))+((((IF(DCF!$C$11&lt;=ASSUMPTIONS!$C$43,0,(ASSUMPTIONS!$C$18*(1+B27)^5*((ASSUMPTIONS!$C$19*(1-ASSUMPTIONS!$C$20)+ASSUMPTIONS!$C$21-ASSUMPTIONS!$C$22)-ASSUMPTIONS!$C$23*B27/(1+B27)))*(1+ASSUMPTIONS!$C$43)/(DCF!$C$11-ASSUMPTIONS!$C$43)))+((ASSUMPTIONS!$C$18*(1+B27)^5*(ASSUMPTIONS!$C$19+ASSUMPTIONS!$C$21))*ASSUMPTIONS!$C$60))/2)/(1+DCF!$C$11)^5)-DCF!$C$12)/ASSUMPTIONS!$C$7</f>
        <v/>
      </c>
      <c r="D27" s="21">
        <f>C27-ASSUMPTIONS!$C$6</f>
        <v/>
      </c>
      <c r="E27" s="4" t="n"/>
      <c r="F27" s="4" t="n"/>
      <c r="G27" s="4" t="n"/>
      <c r="H27" s="4" t="n"/>
      <c r="I27" s="4" t="n"/>
    </row>
    <row r="28">
      <c r="A28" s="4" t="n"/>
      <c r="B28" s="58" t="n">
        <v>0.08</v>
      </c>
      <c r="C28" s="21">
        <f>((ASSUMPTIONS!$C$18*((ASSUMPTIONS!$C$19*(1-ASSUMPTIONS!$C$20)+ASSUMPTIONS!$C$21-ASSUMPTIONS!$C$22)-ASSUMPTIONS!$C$23*B28/(1+B28))*((1+B28)/(1+DCF!$C$11))*(1-((1+B28)/(1+DCF!$C$11))^5)/(1-((1+B28)/(1+DCF!$C$11))))+((((IF(DCF!$C$11&lt;=ASSUMPTIONS!$C$43,0,(ASSUMPTIONS!$C$18*(1+B28)^5*((ASSUMPTIONS!$C$19*(1-ASSUMPTIONS!$C$20)+ASSUMPTIONS!$C$21-ASSUMPTIONS!$C$22)-ASSUMPTIONS!$C$23*B28/(1+B28)))*(1+ASSUMPTIONS!$C$43)/(DCF!$C$11-ASSUMPTIONS!$C$43)))+((ASSUMPTIONS!$C$18*(1+B28)^5*(ASSUMPTIONS!$C$19+ASSUMPTIONS!$C$21))*ASSUMPTIONS!$C$60))/2)/(1+DCF!$C$11)^5)-DCF!$C$12)/ASSUMPTIONS!$C$7</f>
        <v/>
      </c>
      <c r="D28" s="21">
        <f>C28-ASSUMPTIONS!$C$6</f>
        <v/>
      </c>
      <c r="E28" s="4" t="n"/>
      <c r="F28" s="4" t="n"/>
      <c r="G28" s="4" t="n"/>
      <c r="H28" s="4" t="n"/>
      <c r="I28" s="4" t="n"/>
    </row>
    <row r="29">
      <c r="A29" s="4" t="n"/>
      <c r="B29" s="58" t="n">
        <v>0.1</v>
      </c>
      <c r="C29" s="21">
        <f>((ASSUMPTIONS!$C$18*((ASSUMPTIONS!$C$19*(1-ASSUMPTIONS!$C$20)+ASSUMPTIONS!$C$21-ASSUMPTIONS!$C$22)-ASSUMPTIONS!$C$23*B29/(1+B29))*((1+B29)/(1+DCF!$C$11))*(1-((1+B29)/(1+DCF!$C$11))^5)/(1-((1+B29)/(1+DCF!$C$11))))+((((IF(DCF!$C$11&lt;=ASSUMPTIONS!$C$43,0,(ASSUMPTIONS!$C$18*(1+B29)^5*((ASSUMPTIONS!$C$19*(1-ASSUMPTIONS!$C$20)+ASSUMPTIONS!$C$21-ASSUMPTIONS!$C$22)-ASSUMPTIONS!$C$23*B29/(1+B29)))*(1+ASSUMPTIONS!$C$43)/(DCF!$C$11-ASSUMPTIONS!$C$43)))+((ASSUMPTIONS!$C$18*(1+B29)^5*(ASSUMPTIONS!$C$19+ASSUMPTIONS!$C$21))*ASSUMPTIONS!$C$60))/2)/(1+DCF!$C$11)^5)-DCF!$C$12)/ASSUMPTIONS!$C$7</f>
        <v/>
      </c>
      <c r="D29" s="21">
        <f>C29-ASSUMPTIONS!$C$6</f>
        <v/>
      </c>
      <c r="E29" s="4" t="n"/>
      <c r="F29" s="4" t="n"/>
      <c r="G29" s="4" t="n"/>
      <c r="H29" s="4" t="n"/>
      <c r="I29" s="4" t="n"/>
    </row>
    <row r="30">
      <c r="A30" s="4" t="n"/>
      <c r="B30" s="58" t="n">
        <v>0.12</v>
      </c>
      <c r="C30" s="21">
        <f>((ASSUMPTIONS!$C$18*((ASSUMPTIONS!$C$19*(1-ASSUMPTIONS!$C$20)+ASSUMPTIONS!$C$21-ASSUMPTIONS!$C$22)-ASSUMPTIONS!$C$23*B30/(1+B30))*((1+B30)/(1+DCF!$C$11))*(1-((1+B30)/(1+DCF!$C$11))^5)/(1-((1+B30)/(1+DCF!$C$11))))+((((IF(DCF!$C$11&lt;=ASSUMPTIONS!$C$43,0,(ASSUMPTIONS!$C$18*(1+B30)^5*((ASSUMPTIONS!$C$19*(1-ASSUMPTIONS!$C$20)+ASSUMPTIONS!$C$21-ASSUMPTIONS!$C$22)-ASSUMPTIONS!$C$23*B30/(1+B30)))*(1+ASSUMPTIONS!$C$43)/(DCF!$C$11-ASSUMPTIONS!$C$43)))+((ASSUMPTIONS!$C$18*(1+B30)^5*(ASSUMPTIONS!$C$19+ASSUMPTIONS!$C$21))*ASSUMPTIONS!$C$60))/2)/(1+DCF!$C$11)^5)-DCF!$C$12)/ASSUMPTIONS!$C$7</f>
        <v/>
      </c>
      <c r="D30" s="21">
        <f>C30-ASSUMPTIONS!$C$6</f>
        <v/>
      </c>
      <c r="E30" s="4" t="n"/>
      <c r="F30" s="4" t="n"/>
      <c r="G30" s="4" t="n"/>
      <c r="H30" s="4" t="n"/>
      <c r="I30" s="4" t="n"/>
    </row>
    <row r="31">
      <c r="A31" s="4" t="n"/>
      <c r="B31" s="58" t="n">
        <v>0.14</v>
      </c>
      <c r="C31" s="21">
        <f>((ASSUMPTIONS!$C$18*((ASSUMPTIONS!$C$19*(1-ASSUMPTIONS!$C$20)+ASSUMPTIONS!$C$21-ASSUMPTIONS!$C$22)-ASSUMPTIONS!$C$23*B31/(1+B31))*((1+B31)/(1+DCF!$C$11))*(1-((1+B31)/(1+DCF!$C$11))^5)/(1-((1+B31)/(1+DCF!$C$11))))+((((IF(DCF!$C$11&lt;=ASSUMPTIONS!$C$43,0,(ASSUMPTIONS!$C$18*(1+B31)^5*((ASSUMPTIONS!$C$19*(1-ASSUMPTIONS!$C$20)+ASSUMPTIONS!$C$21-ASSUMPTIONS!$C$22)-ASSUMPTIONS!$C$23*B31/(1+B31)))*(1+ASSUMPTIONS!$C$43)/(DCF!$C$11-ASSUMPTIONS!$C$43)))+((ASSUMPTIONS!$C$18*(1+B31)^5*(ASSUMPTIONS!$C$19+ASSUMPTIONS!$C$21))*ASSUMPTIONS!$C$60))/2)/(1+DCF!$C$11)^5)-DCF!$C$12)/ASSUMPTIONS!$C$7</f>
        <v/>
      </c>
      <c r="D31" s="21">
        <f>C31-ASSUMPTIONS!$C$6</f>
        <v/>
      </c>
      <c r="E31" s="4" t="n"/>
      <c r="F31" s="4" t="n"/>
      <c r="G31" s="4" t="n"/>
      <c r="H31" s="4" t="n"/>
      <c r="I31" s="4" t="n"/>
    </row>
    <row r="32">
      <c r="A32" s="4" t="n"/>
      <c r="B32" s="58" t="n">
        <v>0.16</v>
      </c>
      <c r="C32" s="21">
        <f>((ASSUMPTIONS!$C$18*((ASSUMPTIONS!$C$19*(1-ASSUMPTIONS!$C$20)+ASSUMPTIONS!$C$21-ASSUMPTIONS!$C$22)-ASSUMPTIONS!$C$23*B32/(1+B32))*((1+B32)/(1+DCF!$C$11))*(1-((1+B32)/(1+DCF!$C$11))^5)/(1-((1+B32)/(1+DCF!$C$11))))+((((IF(DCF!$C$11&lt;=ASSUMPTIONS!$C$43,0,(ASSUMPTIONS!$C$18*(1+B32)^5*((ASSUMPTIONS!$C$19*(1-ASSUMPTIONS!$C$20)+ASSUMPTIONS!$C$21-ASSUMPTIONS!$C$22)-ASSUMPTIONS!$C$23*B32/(1+B32)))*(1+ASSUMPTIONS!$C$43)/(DCF!$C$11-ASSUMPTIONS!$C$43)))+((ASSUMPTIONS!$C$18*(1+B32)^5*(ASSUMPTIONS!$C$19+ASSUMPTIONS!$C$21))*ASSUMPTIONS!$C$60))/2)/(1+DCF!$C$11)^5)-DCF!$C$12)/ASSUMPTIONS!$C$7</f>
        <v/>
      </c>
      <c r="D32" s="21">
        <f>C32-ASSUMPTIONS!$C$6</f>
        <v/>
      </c>
      <c r="E32" s="4" t="n"/>
      <c r="F32" s="4" t="n"/>
      <c r="G32" s="4" t="n"/>
      <c r="H32" s="4" t="n"/>
      <c r="I32" s="4" t="n"/>
    </row>
    <row r="33">
      <c r="A33" s="4" t="n"/>
      <c r="B33" s="58" t="n">
        <v>0.18</v>
      </c>
      <c r="C33" s="21">
        <f>((ASSUMPTIONS!$C$18*((ASSUMPTIONS!$C$19*(1-ASSUMPTIONS!$C$20)+ASSUMPTIONS!$C$21-ASSUMPTIONS!$C$22)-ASSUMPTIONS!$C$23*B33/(1+B33))*((1+B33)/(1+DCF!$C$11))*(1-((1+B33)/(1+DCF!$C$11))^5)/(1-((1+B33)/(1+DCF!$C$11))))+((((IF(DCF!$C$11&lt;=ASSUMPTIONS!$C$43,0,(ASSUMPTIONS!$C$18*(1+B33)^5*((ASSUMPTIONS!$C$19*(1-ASSUMPTIONS!$C$20)+ASSUMPTIONS!$C$21-ASSUMPTIONS!$C$22)-ASSUMPTIONS!$C$23*B33/(1+B33)))*(1+ASSUMPTIONS!$C$43)/(DCF!$C$11-ASSUMPTIONS!$C$43)))+((ASSUMPTIONS!$C$18*(1+B33)^5*(ASSUMPTIONS!$C$19+ASSUMPTIONS!$C$21))*ASSUMPTIONS!$C$60))/2)/(1+DCF!$C$11)^5)-DCF!$C$12)/ASSUMPTIONS!$C$7</f>
        <v/>
      </c>
      <c r="D33" s="21">
        <f>C33-ASSUMPTIONS!$C$6</f>
        <v/>
      </c>
      <c r="E33" s="4" t="n"/>
      <c r="F33" s="4" t="n"/>
      <c r="G33" s="4" t="n"/>
      <c r="H33" s="4" t="n"/>
      <c r="I33" s="4" t="n"/>
    </row>
    <row r="34">
      <c r="A34" s="4" t="n"/>
      <c r="B34" s="58" t="n">
        <v>0.2</v>
      </c>
      <c r="C34" s="21">
        <f>((ASSUMPTIONS!$C$18*((ASSUMPTIONS!$C$19*(1-ASSUMPTIONS!$C$20)+ASSUMPTIONS!$C$21-ASSUMPTIONS!$C$22)-ASSUMPTIONS!$C$23*B34/(1+B34))*((1+B34)/(1+DCF!$C$11))*(1-((1+B34)/(1+DCF!$C$11))^5)/(1-((1+B34)/(1+DCF!$C$11))))+((((IF(DCF!$C$11&lt;=ASSUMPTIONS!$C$43,0,(ASSUMPTIONS!$C$18*(1+B34)^5*((ASSUMPTIONS!$C$19*(1-ASSUMPTIONS!$C$20)+ASSUMPTIONS!$C$21-ASSUMPTIONS!$C$22)-ASSUMPTIONS!$C$23*B34/(1+B34)))*(1+ASSUMPTIONS!$C$43)/(DCF!$C$11-ASSUMPTIONS!$C$43)))+((ASSUMPTIONS!$C$18*(1+B34)^5*(ASSUMPTIONS!$C$19+ASSUMPTIONS!$C$21))*ASSUMPTIONS!$C$60))/2)/(1+DCF!$C$11)^5)-DCF!$C$12)/ASSUMPTIONS!$C$7</f>
        <v/>
      </c>
      <c r="D34" s="21">
        <f>C34-ASSUMPTIONS!$C$6</f>
        <v/>
      </c>
      <c r="E34" s="4" t="n"/>
      <c r="F34" s="4" t="n"/>
      <c r="G34" s="4" t="n"/>
      <c r="H34" s="4" t="n"/>
      <c r="I34" s="4" t="n"/>
    </row>
    <row r="35">
      <c r="A35" s="4" t="n"/>
      <c r="B35" s="58" t="n">
        <v>0.22</v>
      </c>
      <c r="C35" s="21">
        <f>((ASSUMPTIONS!$C$18*((ASSUMPTIONS!$C$19*(1-ASSUMPTIONS!$C$20)+ASSUMPTIONS!$C$21-ASSUMPTIONS!$C$22)-ASSUMPTIONS!$C$23*B35/(1+B35))*((1+B35)/(1+DCF!$C$11))*(1-((1+B35)/(1+DCF!$C$11))^5)/(1-((1+B35)/(1+DCF!$C$11))))+((((IF(DCF!$C$11&lt;=ASSUMPTIONS!$C$43,0,(ASSUMPTIONS!$C$18*(1+B35)^5*((ASSUMPTIONS!$C$19*(1-ASSUMPTIONS!$C$20)+ASSUMPTIONS!$C$21-ASSUMPTIONS!$C$22)-ASSUMPTIONS!$C$23*B35/(1+B35)))*(1+ASSUMPTIONS!$C$43)/(DCF!$C$11-ASSUMPTIONS!$C$43)))+((ASSUMPTIONS!$C$18*(1+B35)^5*(ASSUMPTIONS!$C$19+ASSUMPTIONS!$C$21))*ASSUMPTIONS!$C$60))/2)/(1+DCF!$C$11)^5)-DCF!$C$12)/ASSUMPTIONS!$C$7</f>
        <v/>
      </c>
      <c r="D35" s="21">
        <f>C35-ASSUMPTIONS!$C$6</f>
        <v/>
      </c>
      <c r="E35" s="4" t="n"/>
      <c r="F35" s="4" t="n"/>
      <c r="G35" s="4" t="n"/>
      <c r="H35" s="4" t="n"/>
      <c r="I35" s="4" t="n"/>
    </row>
    <row r="36">
      <c r="A36" s="4" t="n"/>
      <c r="B36" s="58" t="n">
        <v>0.24</v>
      </c>
      <c r="C36" s="21">
        <f>((ASSUMPTIONS!$C$18*((ASSUMPTIONS!$C$19*(1-ASSUMPTIONS!$C$20)+ASSUMPTIONS!$C$21-ASSUMPTIONS!$C$22)-ASSUMPTIONS!$C$23*B36/(1+B36))*((1+B36)/(1+DCF!$C$11))*(1-((1+B36)/(1+DCF!$C$11))^5)/(1-((1+B36)/(1+DCF!$C$11))))+((((IF(DCF!$C$11&lt;=ASSUMPTIONS!$C$43,0,(ASSUMPTIONS!$C$18*(1+B36)^5*((ASSUMPTIONS!$C$19*(1-ASSUMPTIONS!$C$20)+ASSUMPTIONS!$C$21-ASSUMPTIONS!$C$22)-ASSUMPTIONS!$C$23*B36/(1+B36)))*(1+ASSUMPTIONS!$C$43)/(DCF!$C$11-ASSUMPTIONS!$C$43)))+((ASSUMPTIONS!$C$18*(1+B36)^5*(ASSUMPTIONS!$C$19+ASSUMPTIONS!$C$21))*ASSUMPTIONS!$C$60))/2)/(1+DCF!$C$11)^5)-DCF!$C$12)/ASSUMPTIONS!$C$7</f>
        <v/>
      </c>
      <c r="D36" s="21">
        <f>C36-ASSUMPTIONS!$C$6</f>
        <v/>
      </c>
      <c r="E36" s="4" t="n"/>
      <c r="F36" s="4" t="n"/>
      <c r="G36" s="4" t="n"/>
      <c r="H36" s="4" t="n"/>
      <c r="I36" s="4" t="n"/>
    </row>
    <row r="37">
      <c r="A37" s="4" t="n"/>
      <c r="B37" s="58" t="n">
        <v>0.26</v>
      </c>
      <c r="C37" s="21">
        <f>((ASSUMPTIONS!$C$18*((ASSUMPTIONS!$C$19*(1-ASSUMPTIONS!$C$20)+ASSUMPTIONS!$C$21-ASSUMPTIONS!$C$22)-ASSUMPTIONS!$C$23*B37/(1+B37))*((1+B37)/(1+DCF!$C$11))*(1-((1+B37)/(1+DCF!$C$11))^5)/(1-((1+B37)/(1+DCF!$C$11))))+((((IF(DCF!$C$11&lt;=ASSUMPTIONS!$C$43,0,(ASSUMPTIONS!$C$18*(1+B37)^5*((ASSUMPTIONS!$C$19*(1-ASSUMPTIONS!$C$20)+ASSUMPTIONS!$C$21-ASSUMPTIONS!$C$22)-ASSUMPTIONS!$C$23*B37/(1+B37)))*(1+ASSUMPTIONS!$C$43)/(DCF!$C$11-ASSUMPTIONS!$C$43)))+((ASSUMPTIONS!$C$18*(1+B37)^5*(ASSUMPTIONS!$C$19+ASSUMPTIONS!$C$21))*ASSUMPTIONS!$C$60))/2)/(1+DCF!$C$11)^5)-DCF!$C$12)/ASSUMPTIONS!$C$7</f>
        <v/>
      </c>
      <c r="D37" s="21">
        <f>C37-ASSUMPTIONS!$C$6</f>
        <v/>
      </c>
      <c r="E37" s="4" t="n"/>
      <c r="F37" s="4" t="n"/>
      <c r="G37" s="4" t="n"/>
      <c r="H37" s="4" t="n"/>
      <c r="I37" s="4" t="n"/>
    </row>
    <row r="38">
      <c r="A38" s="4" t="n"/>
      <c r="B38" s="58" t="n">
        <v>0.28</v>
      </c>
      <c r="C38" s="21">
        <f>((ASSUMPTIONS!$C$18*((ASSUMPTIONS!$C$19*(1-ASSUMPTIONS!$C$20)+ASSUMPTIONS!$C$21-ASSUMPTIONS!$C$22)-ASSUMPTIONS!$C$23*B38/(1+B38))*((1+B38)/(1+DCF!$C$11))*(1-((1+B38)/(1+DCF!$C$11))^5)/(1-((1+B38)/(1+DCF!$C$11))))+((((IF(DCF!$C$11&lt;=ASSUMPTIONS!$C$43,0,(ASSUMPTIONS!$C$18*(1+B38)^5*((ASSUMPTIONS!$C$19*(1-ASSUMPTIONS!$C$20)+ASSUMPTIONS!$C$21-ASSUMPTIONS!$C$22)-ASSUMPTIONS!$C$23*B38/(1+B38)))*(1+ASSUMPTIONS!$C$43)/(DCF!$C$11-ASSUMPTIONS!$C$43)))+((ASSUMPTIONS!$C$18*(1+B38)^5*(ASSUMPTIONS!$C$19+ASSUMPTIONS!$C$21))*ASSUMPTIONS!$C$60))/2)/(1+DCF!$C$11)^5)-DCF!$C$12)/ASSUMPTIONS!$C$7</f>
        <v/>
      </c>
      <c r="D38" s="21">
        <f>C38-ASSUMPTIONS!$C$6</f>
        <v/>
      </c>
      <c r="E38" s="4" t="n"/>
      <c r="F38" s="4" t="n"/>
      <c r="G38" s="4" t="n"/>
      <c r="H38" s="4" t="n"/>
      <c r="I38" s="4" t="n"/>
    </row>
    <row r="39">
      <c r="A39" s="4" t="n"/>
      <c r="B39" s="58" t="n">
        <v>0.3</v>
      </c>
      <c r="C39" s="21">
        <f>((ASSUMPTIONS!$C$18*((ASSUMPTIONS!$C$19*(1-ASSUMPTIONS!$C$20)+ASSUMPTIONS!$C$21-ASSUMPTIONS!$C$22)-ASSUMPTIONS!$C$23*B39/(1+B39))*((1+B39)/(1+DCF!$C$11))*(1-((1+B39)/(1+DCF!$C$11))^5)/(1-((1+B39)/(1+DCF!$C$11))))+((((IF(DCF!$C$11&lt;=ASSUMPTIONS!$C$43,0,(ASSUMPTIONS!$C$18*(1+B39)^5*((ASSUMPTIONS!$C$19*(1-ASSUMPTIONS!$C$20)+ASSUMPTIONS!$C$21-ASSUMPTIONS!$C$22)-ASSUMPTIONS!$C$23*B39/(1+B39)))*(1+ASSUMPTIONS!$C$43)/(DCF!$C$11-ASSUMPTIONS!$C$43)))+((ASSUMPTIONS!$C$18*(1+B39)^5*(ASSUMPTIONS!$C$19+ASSUMPTIONS!$C$21))*ASSUMPTIONS!$C$60))/2)/(1+DCF!$C$11)^5)-DCF!$C$12)/ASSUMPTIONS!$C$7</f>
        <v/>
      </c>
      <c r="D39" s="21">
        <f>C39-ASSUMPTIONS!$C$6</f>
        <v/>
      </c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</sheetData>
  <mergeCells count="3">
    <mergeCell ref="A1:I1"/>
    <mergeCell ref="A2:I2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31A2B"/>
    <outlinePr summaryBelow="1" summaryRight="1"/>
    <pageSetUpPr/>
  </sheetPr>
  <dimension ref="A1:H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</cols>
  <sheetData>
    <row r="1" ht="26" customHeight="1">
      <c r="A1" s="1" t="inlineStr">
        <is>
          <t>QUALITY &amp; SAFETY</t>
        </is>
      </c>
    </row>
    <row r="2" ht="16" customHeight="1">
      <c r="A2" s="2" t="inlineStr">
        <is>
          <t>ROIC vs WACC, Piotroski F-Score, Altman Z, Beneish M.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5" t="inlineStr">
        <is>
          <t>R  O  I  C     V  S     W  A  C  C</t>
        </is>
      </c>
      <c r="C5" s="6" t="n"/>
      <c r="D5" s="6" t="n"/>
      <c r="E5" s="4" t="n"/>
      <c r="F5" s="4" t="n"/>
      <c r="G5" s="4" t="n"/>
      <c r="H5" s="4" t="n"/>
    </row>
    <row r="6">
      <c r="A6" s="4" t="n"/>
      <c r="B6" s="10" t="inlineStr">
        <is>
          <t>NOPAT (current)</t>
        </is>
      </c>
      <c r="C6" s="44">
        <f>(ASSUMPTIONS!$C$18*ASSUMPTIONS!$C$19*(1-ASSUMPTIONS!$C$20))</f>
        <v/>
      </c>
      <c r="D6" s="4" t="n"/>
      <c r="E6" s="4" t="n"/>
      <c r="F6" s="4" t="n"/>
      <c r="G6" s="4" t="n"/>
      <c r="H6" s="4" t="n"/>
    </row>
    <row r="7">
      <c r="A7" s="4" t="n"/>
      <c r="B7" s="10" t="inlineStr">
        <is>
          <t>Invested capital = Debt+Equity-Cash</t>
        </is>
      </c>
      <c r="C7" s="44">
        <f>ASSUMPTIONS!$C$28+ASSUMPTIONS!$C$30-ASSUMPTIONS!$C$29</f>
        <v/>
      </c>
      <c r="D7" s="4" t="n"/>
      <c r="E7" s="4" t="n"/>
      <c r="F7" s="4" t="n"/>
      <c r="G7" s="4" t="n"/>
      <c r="H7" s="4" t="n"/>
    </row>
    <row r="8">
      <c r="A8" s="4" t="n"/>
      <c r="B8" s="10" t="inlineStr">
        <is>
          <t>ROIC = NOPAT / invested capital</t>
        </is>
      </c>
      <c r="C8" s="45">
        <f>IF(C7=0,NA(),C6/C7)</f>
        <v/>
      </c>
      <c r="D8" s="4" t="n"/>
      <c r="E8" s="4" t="n"/>
      <c r="F8" s="4" t="n"/>
      <c r="G8" s="4" t="n"/>
      <c r="H8" s="4" t="n"/>
    </row>
    <row r="9">
      <c r="A9" s="4" t="n"/>
      <c r="B9" s="10" t="inlineStr">
        <is>
          <t>WACC</t>
        </is>
      </c>
      <c r="C9" s="43">
        <f>DCF!$C$11</f>
        <v/>
      </c>
      <c r="D9" s="4" t="n"/>
      <c r="E9" s="4" t="n"/>
      <c r="F9" s="4" t="n"/>
      <c r="G9" s="4" t="n"/>
      <c r="H9" s="4" t="n"/>
    </row>
    <row r="10">
      <c r="A10" s="4" t="n"/>
      <c r="B10" s="10" t="inlineStr">
        <is>
          <t>Spread = ROIC - WACC</t>
        </is>
      </c>
      <c r="C10" s="24">
        <f>C8-C9</f>
        <v/>
      </c>
      <c r="D10" s="4" t="n"/>
      <c r="E10" s="4" t="n"/>
      <c r="F10" s="4" t="n"/>
      <c r="G10" s="4" t="n"/>
      <c r="H10" s="4" t="n"/>
    </row>
    <row r="11">
      <c r="A11" s="4" t="n"/>
      <c r="B11" s="10" t="inlineStr">
        <is>
          <t>Verdict</t>
        </is>
      </c>
      <c r="C11" s="25">
        <f>IF(C8&gt;C9,"VALUE-CREATING","VALUE-DESTROYING")</f>
        <v/>
      </c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5" t="inlineStr">
        <is>
          <t>P  I  O  T  R  O  S  K  I     F  -  S  C  O  R  E     (  0  -  9  )</t>
        </is>
      </c>
      <c r="C13" s="6" t="n"/>
      <c r="D13" s="6" t="n"/>
      <c r="E13" s="4" t="n"/>
      <c r="F13" s="4" t="n"/>
      <c r="G13" s="4" t="n"/>
      <c r="H13" s="4" t="n"/>
    </row>
    <row r="14">
      <c r="A14" s="4" t="n"/>
      <c r="B14" s="5" t="inlineStr">
        <is>
          <t>Criterion</t>
        </is>
      </c>
      <c r="C14" s="18" t="inlineStr">
        <is>
          <t>Pass(1/0)</t>
        </is>
      </c>
      <c r="D14" s="4" t="n"/>
      <c r="E14" s="4" t="n"/>
      <c r="F14" s="4" t="n"/>
      <c r="G14" s="4" t="n"/>
      <c r="H14" s="4" t="n"/>
    </row>
    <row r="15">
      <c r="A15" s="4" t="n"/>
      <c r="B15" s="20" t="inlineStr">
        <is>
          <t>F1  ROA &gt; 0</t>
        </is>
      </c>
      <c r="C15" s="62">
        <f>ASSUMPTIONS!$C$75</f>
        <v/>
      </c>
      <c r="D15" s="4" t="n"/>
      <c r="E15" s="4" t="n"/>
      <c r="F15" s="4" t="n"/>
      <c r="G15" s="4" t="n"/>
      <c r="H15" s="4" t="n"/>
    </row>
    <row r="16">
      <c r="A16" s="4" t="n"/>
      <c r="B16" s="20" t="inlineStr">
        <is>
          <t>F2  CFO &gt; 0</t>
        </is>
      </c>
      <c r="C16" s="62">
        <f>ASSUMPTIONS!$C$76</f>
        <v/>
      </c>
      <c r="D16" s="4" t="n"/>
      <c r="E16" s="4" t="n"/>
      <c r="F16" s="4" t="n"/>
      <c r="G16" s="4" t="n"/>
      <c r="H16" s="4" t="n"/>
    </row>
    <row r="17">
      <c r="A17" s="4" t="n"/>
      <c r="B17" s="20" t="inlineStr">
        <is>
          <t>F3  dROA &gt; 0 vs prior</t>
        </is>
      </c>
      <c r="C17" s="62">
        <f>ASSUMPTIONS!$C$77</f>
        <v/>
      </c>
      <c r="D17" s="4" t="n"/>
      <c r="E17" s="4" t="n"/>
      <c r="F17" s="4" t="n"/>
      <c r="G17" s="4" t="n"/>
      <c r="H17" s="4" t="n"/>
    </row>
    <row r="18">
      <c r="A18" s="4" t="n"/>
      <c r="B18" s="20" t="inlineStr">
        <is>
          <t>F4  CFO &gt; Net income</t>
        </is>
      </c>
      <c r="C18" s="62">
        <f>ASSUMPTIONS!$C$78</f>
        <v/>
      </c>
      <c r="D18" s="4" t="n"/>
      <c r="E18" s="4" t="n"/>
      <c r="F18" s="4" t="n"/>
      <c r="G18" s="4" t="n"/>
      <c r="H18" s="4" t="n"/>
    </row>
    <row r="19">
      <c r="A19" s="4" t="n"/>
      <c r="B19" s="20" t="inlineStr">
        <is>
          <t>F5  Lower LT-debt ratio</t>
        </is>
      </c>
      <c r="C19" s="62">
        <f>ASSUMPTIONS!$C$79</f>
        <v/>
      </c>
      <c r="D19" s="4" t="n"/>
      <c r="E19" s="4" t="n"/>
      <c r="F19" s="4" t="n"/>
      <c r="G19" s="4" t="n"/>
      <c r="H19" s="4" t="n"/>
    </row>
    <row r="20">
      <c r="A20" s="4" t="n"/>
      <c r="B20" s="20" t="inlineStr">
        <is>
          <t>F6  Higher current ratio</t>
        </is>
      </c>
      <c r="C20" s="62">
        <f>ASSUMPTIONS!$C$80</f>
        <v/>
      </c>
      <c r="D20" s="4" t="n"/>
      <c r="E20" s="4" t="n"/>
      <c r="F20" s="4" t="n"/>
      <c r="G20" s="4" t="n"/>
      <c r="H20" s="4" t="n"/>
    </row>
    <row r="21">
      <c r="A21" s="4" t="n"/>
      <c r="B21" s="20" t="inlineStr">
        <is>
          <t>F7  No new shares issued</t>
        </is>
      </c>
      <c r="C21" s="62">
        <f>ASSUMPTIONS!$C$81</f>
        <v/>
      </c>
      <c r="D21" s="4" t="n"/>
      <c r="E21" s="4" t="n"/>
      <c r="F21" s="4" t="n"/>
      <c r="G21" s="4" t="n"/>
      <c r="H21" s="4" t="n"/>
    </row>
    <row r="22">
      <c r="A22" s="4" t="n"/>
      <c r="B22" s="20" t="inlineStr">
        <is>
          <t>F8  Higher gross margin</t>
        </is>
      </c>
      <c r="C22" s="62">
        <f>ASSUMPTIONS!$C$82</f>
        <v/>
      </c>
      <c r="D22" s="4" t="n"/>
      <c r="E22" s="4" t="n"/>
      <c r="F22" s="4" t="n"/>
      <c r="G22" s="4" t="n"/>
      <c r="H22" s="4" t="n"/>
    </row>
    <row r="23">
      <c r="A23" s="4" t="n"/>
      <c r="B23" s="20" t="inlineStr">
        <is>
          <t>F9  Higher asset turnover</t>
        </is>
      </c>
      <c r="C23" s="62">
        <f>ASSUMPTIONS!$C$83</f>
        <v/>
      </c>
      <c r="D23" s="4" t="n"/>
      <c r="E23" s="4" t="n"/>
      <c r="F23" s="4" t="n"/>
      <c r="G23" s="4" t="n"/>
      <c r="H23" s="4" t="n"/>
    </row>
    <row r="24">
      <c r="A24" s="4" t="n"/>
      <c r="B24" s="7" t="inlineStr">
        <is>
          <t>F-Score total</t>
        </is>
      </c>
      <c r="C24" s="63">
        <f>SUM(C15:C23)</f>
        <v/>
      </c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5" t="inlineStr">
        <is>
          <t>A  L  T  M  A  N     Z  -  S  C  O  R  E     (  M  A  N  U  F  A  C  T  U  R  I  N  G  )</t>
        </is>
      </c>
      <c r="C26" s="6" t="n"/>
      <c r="D26" s="6" t="n"/>
      <c r="E26" s="4" t="n"/>
      <c r="F26" s="4" t="n"/>
      <c r="G26" s="4" t="n"/>
      <c r="H26" s="4" t="n"/>
    </row>
    <row r="27">
      <c r="A27" s="4" t="n"/>
      <c r="B27" s="10" t="inlineStr">
        <is>
          <t>A = (CA-CL)/TA</t>
        </is>
      </c>
      <c r="C27" s="64">
        <f>(ASSUMPTIONS!$C$32-ASSUMPTIONS!$C$33)/ASSUMPTIONS!$C$31</f>
        <v/>
      </c>
      <c r="D27" s="4" t="n"/>
      <c r="E27" s="4" t="n"/>
      <c r="F27" s="4" t="n"/>
      <c r="G27" s="4" t="n"/>
      <c r="H27" s="4" t="n"/>
    </row>
    <row r="28">
      <c r="A28" s="4" t="n"/>
      <c r="B28" s="10" t="inlineStr">
        <is>
          <t>B = RetainedEarnings/TA</t>
        </is>
      </c>
      <c r="C28" s="64">
        <f>ASSUMPTIONS!$C$34/ASSUMPTIONS!$C$31</f>
        <v/>
      </c>
      <c r="D28" s="4" t="n"/>
      <c r="E28" s="4" t="n"/>
      <c r="F28" s="4" t="n"/>
      <c r="G28" s="4" t="n"/>
      <c r="H28" s="4" t="n"/>
    </row>
    <row r="29">
      <c r="A29" s="4" t="n"/>
      <c r="B29" s="10" t="inlineStr">
        <is>
          <t>C = EBIT/TA</t>
        </is>
      </c>
      <c r="C29" s="64">
        <f>(ASSUMPTIONS!$C$18*ASSUMPTIONS!$C$19)/ASSUMPTIONS!$C$31</f>
        <v/>
      </c>
      <c r="D29" s="4" t="n"/>
      <c r="E29" s="4" t="n"/>
      <c r="F29" s="4" t="n"/>
      <c r="G29" s="4" t="n"/>
      <c r="H29" s="4" t="n"/>
    </row>
    <row r="30">
      <c r="A30" s="4" t="n"/>
      <c r="B30" s="10" t="inlineStr">
        <is>
          <t>D = MktCapEquity/TotalLiab</t>
        </is>
      </c>
      <c r="C30" s="64">
        <f>(ASSUMPTIONS!$C$6*ASSUMPTIONS!$C$7)/ASSUMPTIONS!$C$35</f>
        <v/>
      </c>
      <c r="D30" s="4" t="n"/>
      <c r="E30" s="4" t="n"/>
      <c r="F30" s="4" t="n"/>
      <c r="G30" s="4" t="n"/>
      <c r="H30" s="4" t="n"/>
    </row>
    <row r="31">
      <c r="A31" s="4" t="n"/>
      <c r="B31" s="10" t="inlineStr">
        <is>
          <t>E = Revenue/TA</t>
        </is>
      </c>
      <c r="C31" s="64">
        <f>ASSUMPTIONS!$C$18/ASSUMPTIONS!$C$31</f>
        <v/>
      </c>
      <c r="D31" s="4" t="n"/>
      <c r="E31" s="4" t="n"/>
      <c r="F31" s="4" t="n"/>
      <c r="G31" s="4" t="n"/>
      <c r="H31" s="4" t="n"/>
    </row>
    <row r="32">
      <c r="A32" s="4" t="n"/>
      <c r="B32" s="7" t="inlineStr">
        <is>
          <t>Z = 1.2A+1.4B+3.3C+0.6D+1.0E</t>
        </is>
      </c>
      <c r="C32" s="65">
        <f>1.2*C27+1.4*C28+3.3*C29+0.6*C30+1.0*C31</f>
        <v/>
      </c>
      <c r="D32" s="4" t="n"/>
      <c r="E32" s="4" t="n"/>
      <c r="F32" s="4" t="n"/>
      <c r="G32" s="4" t="n"/>
      <c r="H32" s="4" t="n"/>
    </row>
    <row r="33">
      <c r="A33" s="4" t="n"/>
      <c r="B33" s="10" t="inlineStr">
        <is>
          <t>Zone</t>
        </is>
      </c>
      <c r="C33" s="25">
        <f>IF(C32&gt;2.99,"SAFE",IF(C32&gt;=1.81,"GREY","DISTRESS"))</f>
        <v/>
      </c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5" t="inlineStr">
        <is>
          <t>B  E  N  E  I  S  H     M  -  S  C  O  R  E</t>
        </is>
      </c>
      <c r="C35" s="6" t="n"/>
      <c r="D35" s="6" t="n"/>
      <c r="E35" s="4" t="n"/>
      <c r="F35" s="4" t="n"/>
      <c r="G35" s="4" t="n"/>
      <c r="H35" s="4" t="n"/>
    </row>
    <row r="36">
      <c r="A36" s="4" t="n"/>
      <c r="B36" s="5" t="inlineStr">
        <is>
          <t>Ratio</t>
        </is>
      </c>
      <c r="C36" s="18" t="inlineStr">
        <is>
          <t>Input</t>
        </is>
      </c>
      <c r="D36" s="18" t="inlineStr">
        <is>
          <t>Coef</t>
        </is>
      </c>
      <c r="E36" s="4" t="n"/>
      <c r="F36" s="4" t="n"/>
      <c r="G36" s="4" t="n"/>
      <c r="H36" s="4" t="n"/>
    </row>
    <row r="37">
      <c r="A37" s="4" t="n"/>
      <c r="B37" s="20" t="inlineStr">
        <is>
          <t>DSRI</t>
        </is>
      </c>
      <c r="C37" s="64">
        <f>ASSUMPTIONS!$C$86</f>
        <v/>
      </c>
      <c r="D37" s="66" t="n">
        <v>0.92</v>
      </c>
      <c r="E37" s="4" t="n"/>
      <c r="F37" s="4" t="n"/>
      <c r="G37" s="4" t="n"/>
      <c r="H37" s="4" t="n"/>
    </row>
    <row r="38">
      <c r="A38" s="4" t="n"/>
      <c r="B38" s="20" t="inlineStr">
        <is>
          <t>GMI</t>
        </is>
      </c>
      <c r="C38" s="64">
        <f>ASSUMPTIONS!$C$87</f>
        <v/>
      </c>
      <c r="D38" s="66" t="n">
        <v>0.528</v>
      </c>
      <c r="E38" s="4" t="n"/>
      <c r="F38" s="4" t="n"/>
      <c r="G38" s="4" t="n"/>
      <c r="H38" s="4" t="n"/>
    </row>
    <row r="39">
      <c r="A39" s="4" t="n"/>
      <c r="B39" s="20" t="inlineStr">
        <is>
          <t>AQI</t>
        </is>
      </c>
      <c r="C39" s="64">
        <f>ASSUMPTIONS!$C$88</f>
        <v/>
      </c>
      <c r="D39" s="66" t="n">
        <v>0.404</v>
      </c>
      <c r="E39" s="4" t="n"/>
      <c r="F39" s="4" t="n"/>
      <c r="G39" s="4" t="n"/>
      <c r="H39" s="4" t="n"/>
    </row>
    <row r="40">
      <c r="A40" s="4" t="n"/>
      <c r="B40" s="20" t="inlineStr">
        <is>
          <t>SGI</t>
        </is>
      </c>
      <c r="C40" s="64">
        <f>ASSUMPTIONS!$C$89</f>
        <v/>
      </c>
      <c r="D40" s="66" t="n">
        <v>0.892</v>
      </c>
      <c r="E40" s="4" t="n"/>
      <c r="F40" s="4" t="n"/>
      <c r="G40" s="4" t="n"/>
      <c r="H40" s="4" t="n"/>
    </row>
    <row r="41">
      <c r="A41" s="4" t="n"/>
      <c r="B41" s="20" t="inlineStr">
        <is>
          <t>DEPI</t>
        </is>
      </c>
      <c r="C41" s="64">
        <f>ASSUMPTIONS!$C$90</f>
        <v/>
      </c>
      <c r="D41" s="66" t="n">
        <v>0.115</v>
      </c>
      <c r="E41" s="4" t="n"/>
      <c r="F41" s="4" t="n"/>
      <c r="G41" s="4" t="n"/>
      <c r="H41" s="4" t="n"/>
    </row>
    <row r="42">
      <c r="A42" s="4" t="n"/>
      <c r="B42" s="20" t="inlineStr">
        <is>
          <t>SGAI</t>
        </is>
      </c>
      <c r="C42" s="64">
        <f>ASSUMPTIONS!$C$91</f>
        <v/>
      </c>
      <c r="D42" s="66" t="n">
        <v>-0.172</v>
      </c>
      <c r="E42" s="4" t="n"/>
      <c r="F42" s="4" t="n"/>
      <c r="G42" s="4" t="n"/>
      <c r="H42" s="4" t="n"/>
    </row>
    <row r="43">
      <c r="A43" s="4" t="n"/>
      <c r="B43" s="20" t="inlineStr">
        <is>
          <t>TATA</t>
        </is>
      </c>
      <c r="C43" s="64">
        <f>ASSUMPTIONS!$C$92</f>
        <v/>
      </c>
      <c r="D43" s="66" t="n">
        <v>4.679</v>
      </c>
      <c r="E43" s="4" t="n"/>
      <c r="F43" s="4" t="n"/>
      <c r="G43" s="4" t="n"/>
      <c r="H43" s="4" t="n"/>
    </row>
    <row r="44">
      <c r="A44" s="4" t="n"/>
      <c r="B44" s="20" t="inlineStr">
        <is>
          <t>LVGI</t>
        </is>
      </c>
      <c r="C44" s="64">
        <f>ASSUMPTIONS!$C$93</f>
        <v/>
      </c>
      <c r="D44" s="66" t="n">
        <v>-0.327</v>
      </c>
      <c r="E44" s="4" t="n"/>
      <c r="F44" s="4" t="n"/>
      <c r="G44" s="4" t="n"/>
      <c r="H44" s="4" t="n"/>
    </row>
    <row r="45">
      <c r="A45" s="4" t="n"/>
      <c r="B45" s="7" t="inlineStr">
        <is>
          <t>M = -4.84 + sum(coef*ratio)</t>
        </is>
      </c>
      <c r="C45" s="67">
        <f>-4.84+0.92*C37+0.528*C38+0.404*C39+0.892*C40+0.115*C41+-0.172*C42+4.679*C43+-0.327*C44</f>
        <v/>
      </c>
      <c r="D45" s="4" t="n"/>
      <c r="E45" s="4" t="n"/>
      <c r="F45" s="4" t="n"/>
      <c r="G45" s="4" t="n"/>
      <c r="H45" s="4" t="n"/>
    </row>
    <row r="46">
      <c r="A46" s="4" t="n"/>
      <c r="B46" s="10" t="inlineStr">
        <is>
          <t>Flag (M &gt; -1.78 = manipulation)</t>
        </is>
      </c>
      <c r="C46" s="25">
        <f>IF(C45&gt;-1.78,"FLAG ⚠","CLEAN")</f>
        <v/>
      </c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</sheetData>
  <mergeCells count="3">
    <mergeCell ref="A1:H1"/>
    <mergeCell ref="A2:H2"/>
    <mergeCell ref="A3:H3"/>
  </mergeCells>
  <conditionalFormatting sqref="C11">
    <cfRule type="expression" priority="1" dxfId="3">
      <formula>$C$8&gt;$C$9</formula>
    </cfRule>
    <cfRule type="expression" priority="2" dxfId="5">
      <formula>$C$8&lt;=$C$9</formula>
    </cfRule>
  </conditionalFormatting>
  <conditionalFormatting sqref="C15">
    <cfRule type="cellIs" priority="3" operator="equal" dxfId="3">
      <formula>1</formula>
    </cfRule>
    <cfRule type="cellIs" priority="4" operator="equal" dxfId="5">
      <formula>0</formula>
    </cfRule>
  </conditionalFormatting>
  <conditionalFormatting sqref="C16">
    <cfRule type="cellIs" priority="5" operator="equal" dxfId="3">
      <formula>1</formula>
    </cfRule>
    <cfRule type="cellIs" priority="6" operator="equal" dxfId="5">
      <formula>0</formula>
    </cfRule>
  </conditionalFormatting>
  <conditionalFormatting sqref="C17">
    <cfRule type="cellIs" priority="7" operator="equal" dxfId="3">
      <formula>1</formula>
    </cfRule>
    <cfRule type="cellIs" priority="8" operator="equal" dxfId="5">
      <formula>0</formula>
    </cfRule>
  </conditionalFormatting>
  <conditionalFormatting sqref="C18">
    <cfRule type="cellIs" priority="9" operator="equal" dxfId="3">
      <formula>1</formula>
    </cfRule>
    <cfRule type="cellIs" priority="10" operator="equal" dxfId="5">
      <formula>0</formula>
    </cfRule>
  </conditionalFormatting>
  <conditionalFormatting sqref="C19">
    <cfRule type="cellIs" priority="11" operator="equal" dxfId="3">
      <formula>1</formula>
    </cfRule>
    <cfRule type="cellIs" priority="12" operator="equal" dxfId="5">
      <formula>0</formula>
    </cfRule>
  </conditionalFormatting>
  <conditionalFormatting sqref="C20">
    <cfRule type="cellIs" priority="13" operator="equal" dxfId="3">
      <formula>1</formula>
    </cfRule>
    <cfRule type="cellIs" priority="14" operator="equal" dxfId="5">
      <formula>0</formula>
    </cfRule>
  </conditionalFormatting>
  <conditionalFormatting sqref="C21">
    <cfRule type="cellIs" priority="15" operator="equal" dxfId="3">
      <formula>1</formula>
    </cfRule>
    <cfRule type="cellIs" priority="16" operator="equal" dxfId="5">
      <formula>0</formula>
    </cfRule>
  </conditionalFormatting>
  <conditionalFormatting sqref="C22">
    <cfRule type="cellIs" priority="17" operator="equal" dxfId="3">
      <formula>1</formula>
    </cfRule>
    <cfRule type="cellIs" priority="18" operator="equal" dxfId="5">
      <formula>0</formula>
    </cfRule>
  </conditionalFormatting>
  <conditionalFormatting sqref="C23">
    <cfRule type="cellIs" priority="19" operator="equal" dxfId="3">
      <formula>1</formula>
    </cfRule>
    <cfRule type="cellIs" priority="20" operator="equal" dxfId="5">
      <formula>0</formula>
    </cfRule>
  </conditionalFormatting>
  <conditionalFormatting sqref="C24">
    <cfRule type="cellIs" priority="21" operator="greaterThanOrEqual" dxfId="3">
      <formula>7</formula>
    </cfRule>
    <cfRule type="cellIs" priority="22" operator="between" dxfId="4">
      <formula>4</formula>
      <formula>6</formula>
    </cfRule>
    <cfRule type="cellIs" priority="23" operator="lessThan" dxfId="5">
      <formula>4</formula>
    </cfRule>
  </conditionalFormatting>
  <conditionalFormatting sqref="C33">
    <cfRule type="expression" priority="24" dxfId="3">
      <formula>$C$32&gt;2.99</formula>
    </cfRule>
    <cfRule type="expression" priority="25" dxfId="4">
      <formula>AND($C$32&gt;=1.81,$C$32&lt;=2.99)</formula>
    </cfRule>
    <cfRule type="expression" priority="26" dxfId="5">
      <formula>$C$32&lt;1.81</formula>
    </cfRule>
  </conditionalFormatting>
  <conditionalFormatting sqref="C46">
    <cfRule type="expression" priority="27" dxfId="5">
      <formula>$C$45&gt;-1.78</formula>
    </cfRule>
    <cfRule type="expression" priority="28" dxfId="3">
      <formula>$C$45&lt;=-1.78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31A2B"/>
    <outlinePr summaryBelow="1" summaryRight="1"/>
    <pageSetUpPr/>
  </sheetPr>
  <dimension ref="A1:I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26" customHeight="1">
      <c r="A1" s="1" t="inlineStr">
        <is>
          <t>TIMING &amp; ENTRY</t>
        </is>
      </c>
    </row>
    <row r="2" ht="16" customHeight="1">
      <c r="A2" s="2" t="inlineStr">
        <is>
          <t>Fibonacci ladder, moving averages, RSI, 52-week position, MoS bands, DCA planner.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5" t="inlineStr">
        <is>
          <t>F  I  B  O  N  A  C  C  I     R  E  T  R  A  C  E  M  E  N  T     L  A  D  D  E  R</t>
        </is>
      </c>
      <c r="C5" s="6" t="n"/>
      <c r="D5" s="6" t="n"/>
      <c r="E5" s="6" t="n"/>
      <c r="F5" s="5" t="inlineStr">
        <is>
          <t>R  S  I     &amp;     5  2  -  W  E  E  K     P  O  S  I  T  I  O  N</t>
        </is>
      </c>
      <c r="G5" s="6" t="n"/>
      <c r="H5" s="6" t="n"/>
      <c r="I5" s="4" t="n"/>
    </row>
    <row r="6">
      <c r="A6" s="4" t="n"/>
      <c r="B6" s="10" t="inlineStr">
        <is>
          <t>Swing high H</t>
        </is>
      </c>
      <c r="C6" s="21">
        <f>ASSUMPTIONS!$C$10</f>
        <v/>
      </c>
      <c r="D6" s="4" t="n"/>
      <c r="E6" s="4" t="n"/>
      <c r="F6" s="10" t="inlineStr">
        <is>
          <t>RSI(14)</t>
        </is>
      </c>
      <c r="G6" s="68">
        <f>ASSUMPTIONS!$C$14</f>
        <v/>
      </c>
      <c r="H6" s="4" t="n"/>
      <c r="I6" s="4" t="n"/>
    </row>
    <row r="7">
      <c r="A7" s="4" t="n"/>
      <c r="B7" s="10" t="inlineStr">
        <is>
          <t>Swing low L</t>
        </is>
      </c>
      <c r="C7" s="21">
        <f>ASSUMPTIONS!$C$11</f>
        <v/>
      </c>
      <c r="D7" s="4" t="n"/>
      <c r="E7" s="4" t="n"/>
      <c r="F7" s="10" t="inlineStr">
        <is>
          <t>RSI state</t>
        </is>
      </c>
      <c r="G7" s="25">
        <f>IF(ASSUMPTIONS!$C$14&lt;30,"OVERSOLD",IF(ASSUMPTIONS!$C$14&gt;70,"OVERBOUGHT","NEUTRAL"))</f>
        <v/>
      </c>
      <c r="H7" s="4" t="n"/>
      <c r="I7" s="4" t="n"/>
    </row>
    <row r="8">
      <c r="A8" s="4" t="n"/>
      <c r="B8" s="10" t="inlineStr">
        <is>
          <t>Range R = H - L</t>
        </is>
      </c>
      <c r="C8" s="21">
        <f>C6-C7</f>
        <v/>
      </c>
      <c r="D8" s="4" t="n"/>
      <c r="E8" s="4" t="n"/>
      <c r="F8" s="10" t="inlineStr">
        <is>
          <t>52w range position</t>
        </is>
      </c>
      <c r="G8" s="59">
        <f>(ASSUMPTIONS!$C$6-ASSUMPTIONS!$C$9)/(ASSUMPTIONS!$C$8-ASSUMPTIONS!$C$9)</f>
        <v/>
      </c>
      <c r="H8" s="4" t="n"/>
      <c r="I8" s="4" t="n"/>
    </row>
    <row r="9">
      <c r="A9" s="4" t="n"/>
      <c r="B9" s="4" t="n"/>
      <c r="C9" s="4" t="n"/>
      <c r="D9" s="4" t="n"/>
      <c r="E9" s="4" t="n"/>
      <c r="F9" s="10" t="inlineStr">
        <is>
          <t xml:space="preserve">  0%=low  100%=high</t>
        </is>
      </c>
      <c r="G9" s="4" t="n"/>
      <c r="H9" s="4" t="n"/>
      <c r="I9" s="4" t="n"/>
    </row>
    <row r="10">
      <c r="A10" s="4" t="n"/>
      <c r="B10" s="5" t="inlineStr">
        <is>
          <t>Level</t>
        </is>
      </c>
      <c r="C10" s="18" t="inlineStr">
        <is>
          <t>Price</t>
        </is>
      </c>
      <c r="D10" s="18" t="inlineStr">
        <is>
          <t>vs price</t>
        </is>
      </c>
      <c r="E10" s="4" t="n"/>
      <c r="F10" s="4" t="n"/>
      <c r="G10" s="4" t="n"/>
      <c r="H10" s="4" t="n"/>
      <c r="I10" s="4" t="n"/>
    </row>
    <row r="11">
      <c r="A11" s="4" t="n"/>
      <c r="B11" s="20" t="inlineStr">
        <is>
          <t>0.000 (H)</t>
        </is>
      </c>
      <c r="C11" s="21">
        <f>C6-C8*0.0</f>
        <v/>
      </c>
      <c r="D11" s="69">
        <f>C11-ASSUMPTIONS!$C$6</f>
        <v/>
      </c>
      <c r="E11" s="4" t="n"/>
      <c r="F11" s="4" t="n"/>
      <c r="G11" s="4" t="n"/>
      <c r="H11" s="4" t="n"/>
      <c r="I11" s="4" t="n"/>
    </row>
    <row r="12">
      <c r="A12" s="4" t="n"/>
      <c r="B12" s="20" t="inlineStr">
        <is>
          <t>0.236</t>
        </is>
      </c>
      <c r="C12" s="21">
        <f>C6-C8*0.236</f>
        <v/>
      </c>
      <c r="D12" s="69">
        <f>C12-ASSUMPTIONS!$C$6</f>
        <v/>
      </c>
      <c r="E12" s="4" t="n"/>
      <c r="F12" s="4" t="n"/>
      <c r="G12" s="4" t="n"/>
      <c r="H12" s="4" t="n"/>
      <c r="I12" s="4" t="n"/>
    </row>
    <row r="13">
      <c r="A13" s="4" t="n"/>
      <c r="B13" s="20" t="inlineStr">
        <is>
          <t>0.382</t>
        </is>
      </c>
      <c r="C13" s="21">
        <f>C6-C8*0.382</f>
        <v/>
      </c>
      <c r="D13" s="69">
        <f>C13-ASSUMPTIONS!$C$6</f>
        <v/>
      </c>
      <c r="E13" s="4" t="n"/>
      <c r="F13" s="4" t="n"/>
      <c r="G13" s="4" t="n"/>
      <c r="H13" s="4" t="n"/>
      <c r="I13" s="4" t="n"/>
    </row>
    <row r="14">
      <c r="A14" s="4" t="n"/>
      <c r="B14" s="20" t="inlineStr">
        <is>
          <t>0.500</t>
        </is>
      </c>
      <c r="C14" s="21">
        <f>C6-C8*0.5</f>
        <v/>
      </c>
      <c r="D14" s="69">
        <f>C14-ASSUMPTIONS!$C$6</f>
        <v/>
      </c>
      <c r="E14" s="4" t="n"/>
      <c r="F14" s="4" t="n"/>
      <c r="G14" s="4" t="n"/>
      <c r="H14" s="4" t="n"/>
      <c r="I14" s="4" t="n"/>
    </row>
    <row r="15">
      <c r="A15" s="4" t="n"/>
      <c r="B15" s="20" t="inlineStr">
        <is>
          <t>0.618</t>
        </is>
      </c>
      <c r="C15" s="21">
        <f>C6-C8*0.618</f>
        <v/>
      </c>
      <c r="D15" s="69">
        <f>C15-ASSUMPTIONS!$C$6</f>
        <v/>
      </c>
      <c r="E15" s="4" t="n"/>
      <c r="F15" s="4" t="n"/>
      <c r="G15" s="4" t="n"/>
      <c r="H15" s="4" t="n"/>
      <c r="I15" s="4" t="n"/>
    </row>
    <row r="16">
      <c r="A16" s="4" t="n"/>
      <c r="B16" s="20" t="inlineStr">
        <is>
          <t>0.786</t>
        </is>
      </c>
      <c r="C16" s="21">
        <f>C6-C8*0.786</f>
        <v/>
      </c>
      <c r="D16" s="69">
        <f>C16-ASSUMPTIONS!$C$6</f>
        <v/>
      </c>
      <c r="E16" s="4" t="n"/>
      <c r="F16" s="4" t="n"/>
      <c r="G16" s="4" t="n"/>
      <c r="H16" s="4" t="n"/>
      <c r="I16" s="4" t="n"/>
    </row>
    <row r="17">
      <c r="A17" s="4" t="n"/>
      <c r="B17" s="20" t="inlineStr">
        <is>
          <t>1.000 (L)</t>
        </is>
      </c>
      <c r="C17" s="21">
        <f>C6-C8*1.0</f>
        <v/>
      </c>
      <c r="D17" s="69">
        <f>C17-ASSUMPTIONS!$C$6</f>
        <v/>
      </c>
      <c r="E17" s="4" t="n"/>
      <c r="F17" s="4" t="n"/>
      <c r="G17" s="4" t="n"/>
      <c r="H17" s="4" t="n"/>
      <c r="I17" s="4" t="n"/>
    </row>
    <row r="18">
      <c r="A18" s="4" t="n"/>
      <c r="B18" s="20" t="inlineStr">
        <is>
          <t>1.272 ext</t>
        </is>
      </c>
      <c r="C18" s="70">
        <f>C7-C8*(1.272-1)</f>
        <v/>
      </c>
      <c r="D18" s="69">
        <f>C18-ASSUMPTIONS!$C$6</f>
        <v/>
      </c>
      <c r="E18" s="4" t="n"/>
      <c r="F18" s="4" t="n"/>
      <c r="G18" s="4" t="n"/>
      <c r="H18" s="4" t="n"/>
      <c r="I18" s="4" t="n"/>
    </row>
    <row r="19">
      <c r="A19" s="4" t="n"/>
      <c r="B19" s="20" t="inlineStr">
        <is>
          <t>1.618 ext</t>
        </is>
      </c>
      <c r="C19" s="70">
        <f>C7-C8*(1.618-1)</f>
        <v/>
      </c>
      <c r="D19" s="69">
        <f>C19-ASSUMPTIONS!$C$6</f>
        <v/>
      </c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7" t="inlineStr">
        <is>
          <t>Nearest Fib support &lt; price</t>
        </is>
      </c>
      <c r="C21" s="71">
        <f>_xlfn.MAXIFS(C11:C19,C11:C19,"&lt;="&amp;ASSUMPTIONS!$C$6)</f>
        <v/>
      </c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5" t="inlineStr">
        <is>
          <t>M  O  V  I  N  G     A  V  E  R  A  G  E  S     &amp;     T  R  E  N  D</t>
        </is>
      </c>
      <c r="C23" s="6" t="n"/>
      <c r="D23" s="6" t="n"/>
      <c r="E23" s="4" t="n"/>
      <c r="F23" s="4" t="n"/>
      <c r="G23" s="4" t="n"/>
      <c r="H23" s="4" t="n"/>
      <c r="I23" s="4" t="n"/>
    </row>
    <row r="24">
      <c r="A24" s="4" t="n"/>
      <c r="B24" s="10" t="inlineStr">
        <is>
          <t>Price</t>
        </is>
      </c>
      <c r="C24" s="21">
        <f>ASSUMPTIONS!$C$6</f>
        <v/>
      </c>
      <c r="D24" s="4" t="n"/>
      <c r="E24" s="4" t="n"/>
      <c r="F24" s="4" t="n"/>
      <c r="G24" s="4" t="n"/>
      <c r="H24" s="4" t="n"/>
      <c r="I24" s="4" t="n"/>
    </row>
    <row r="25">
      <c r="A25" s="4" t="n"/>
      <c r="B25" s="10" t="inlineStr">
        <is>
          <t>50-day MA</t>
        </is>
      </c>
      <c r="C25" s="21">
        <f>ASSUMPTIONS!$C$12</f>
        <v/>
      </c>
      <c r="D25" s="4" t="n"/>
      <c r="E25" s="4" t="n"/>
      <c r="F25" s="4" t="n"/>
      <c r="G25" s="4" t="n"/>
      <c r="H25" s="4" t="n"/>
      <c r="I25" s="4" t="n"/>
    </row>
    <row r="26">
      <c r="A26" s="4" t="n"/>
      <c r="B26" s="10" t="inlineStr">
        <is>
          <t>200-day MA</t>
        </is>
      </c>
      <c r="C26" s="21">
        <f>ASSUMPTIONS!$C$13</f>
        <v/>
      </c>
      <c r="D26" s="4" t="n"/>
      <c r="E26" s="4" t="n"/>
      <c r="F26" s="4" t="n"/>
      <c r="G26" s="4" t="n"/>
      <c r="H26" s="4" t="n"/>
      <c r="I26" s="4" t="n"/>
    </row>
    <row r="27">
      <c r="A27" s="4" t="n"/>
      <c r="B27" s="10" t="inlineStr">
        <is>
          <t>Cross signal</t>
        </is>
      </c>
      <c r="C27" s="25">
        <f>IF(ASSUMPTIONS!$C$12&gt;ASSUMPTIONS!$C$13,"GOLDEN CROSS","DEATH CROSS")</f>
        <v/>
      </c>
      <c r="D27" s="4" t="n"/>
      <c r="E27" s="4" t="n"/>
      <c r="F27" s="4" t="n"/>
      <c r="G27" s="4" t="n"/>
      <c r="H27" s="4" t="n"/>
      <c r="I27" s="4" t="n"/>
    </row>
    <row r="28">
      <c r="A28" s="4" t="n"/>
      <c r="B28" s="10" t="inlineStr">
        <is>
          <t>Trend vs MAs</t>
        </is>
      </c>
      <c r="C28" s="25">
        <f>IF(AND(ASSUMPTIONS!$C$6&gt;ASSUMPTIONS!$C$12,ASSUMPTIONS!$C$6&gt;ASSUMPTIONS!$C$13),"UPTREND",IF(AND(ASSUMPTIONS!$C$6&lt;ASSUMPTIONS!$C$12,ASSUMPTIONS!$C$6&lt;ASSUMPTIONS!$C$13),"DOWNTREND","MIXED"))</f>
        <v/>
      </c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5" t="inlineStr">
        <is>
          <t>M  A  R  G  I  N  -  O  F  -  S  A  F  E  T  Y     B  A  N  D  S</t>
        </is>
      </c>
      <c r="C30" s="6" t="n"/>
      <c r="D30" s="6" t="n"/>
      <c r="E30" s="4" t="n"/>
      <c r="F30" s="5" t="inlineStr">
        <is>
          <t>D  C  A     4  -  T  R  A  N  C  H  E     P  L  A  N  N  E  R</t>
        </is>
      </c>
      <c r="G30" s="6" t="n"/>
      <c r="H30" s="6" t="n"/>
      <c r="I30" s="4" t="n"/>
    </row>
    <row r="31">
      <c r="A31" s="4" t="n"/>
      <c r="B31" s="5" t="inlineStr">
        <is>
          <t>MoS</t>
        </is>
      </c>
      <c r="C31" s="18" t="inlineStr">
        <is>
          <t>Buy price</t>
        </is>
      </c>
      <c r="D31" s="4" t="n"/>
      <c r="E31" s="4" t="n"/>
      <c r="F31" s="5" t="inlineStr">
        <is>
          <t>Tranche</t>
        </is>
      </c>
      <c r="G31" s="18" t="inlineStr">
        <is>
          <t>Buy price</t>
        </is>
      </c>
      <c r="H31" s="18" t="inlineStr">
        <is>
          <t>Weight</t>
        </is>
      </c>
      <c r="I31" s="4" t="n"/>
    </row>
    <row r="32">
      <c r="A32" s="4" t="n"/>
      <c r="B32" s="20" t="inlineStr">
        <is>
          <t>15% MoS</t>
        </is>
      </c>
      <c r="C32" s="71">
        <f>DASHBOARD!$C$8*(1-0.15)</f>
        <v/>
      </c>
      <c r="D32" s="4" t="n"/>
      <c r="E32" s="4" t="n"/>
      <c r="F32" s="20" t="inlineStr">
        <is>
          <t>T1 @ market</t>
        </is>
      </c>
      <c r="G32" s="21">
        <f>ASSUMPTIONS!$C$6</f>
        <v/>
      </c>
      <c r="H32" s="22" t="n">
        <v>0.4</v>
      </c>
      <c r="I32" s="4" t="n"/>
    </row>
    <row r="33">
      <c r="A33" s="4" t="n"/>
      <c r="B33" s="20" t="inlineStr">
        <is>
          <t>30% MoS</t>
        </is>
      </c>
      <c r="C33" s="71">
        <f>DASHBOARD!$C$8*(1-0.3)</f>
        <v/>
      </c>
      <c r="D33" s="4" t="n"/>
      <c r="E33" s="4" t="n"/>
      <c r="F33" s="20" t="inlineStr">
        <is>
          <t>T2 @ Fib .382</t>
        </is>
      </c>
      <c r="G33" s="21">
        <f>MIN((C6-C8*0.382),DASHBOARD!$C$8*(1-0.10))</f>
        <v/>
      </c>
      <c r="H33" s="22" t="n">
        <v>0.3</v>
      </c>
      <c r="I33" s="4" t="n"/>
    </row>
    <row r="34">
      <c r="A34" s="4" t="n"/>
      <c r="B34" s="20" t="inlineStr">
        <is>
          <t>50% MoS</t>
        </is>
      </c>
      <c r="C34" s="71">
        <f>DASHBOARD!$C$8*(1-0.5)</f>
        <v/>
      </c>
      <c r="D34" s="4" t="n"/>
      <c r="E34" s="4" t="n"/>
      <c r="F34" s="20" t="inlineStr">
        <is>
          <t>T3 @ Fib .500</t>
        </is>
      </c>
      <c r="G34" s="21">
        <f>MIN((C6-C8*0.5),DASHBOARD!$C$8*(1-0.20))</f>
        <v/>
      </c>
      <c r="H34" s="22" t="n">
        <v>0.2</v>
      </c>
      <c r="I34" s="4" t="n"/>
    </row>
    <row r="35">
      <c r="A35" s="4" t="n"/>
      <c r="B35" s="4" t="n"/>
      <c r="C35" s="4" t="n"/>
      <c r="D35" s="4" t="n"/>
      <c r="E35" s="4" t="n"/>
      <c r="F35" s="20" t="inlineStr">
        <is>
          <t>T4 @ Fib .618</t>
        </is>
      </c>
      <c r="G35" s="21">
        <f>MIN((C6-C8*0.618),DASHBOARD!$C$8*(1-0.30))</f>
        <v/>
      </c>
      <c r="H35" s="22" t="n">
        <v>0.1</v>
      </c>
      <c r="I35" s="4" t="n"/>
    </row>
    <row r="36">
      <c r="A36" s="4" t="n"/>
      <c r="B36" s="4" t="n"/>
      <c r="C36" s="4" t="n"/>
      <c r="D36" s="4" t="n"/>
      <c r="E36" s="4" t="n"/>
      <c r="F36" s="7" t="inlineStr">
        <is>
          <t>Blended avg cost</t>
        </is>
      </c>
      <c r="G36" s="28">
        <f>SUMPRODUCT(G32:G35,H32:H35)</f>
        <v/>
      </c>
      <c r="H36" s="4" t="n"/>
      <c r="I36" s="4" t="n"/>
    </row>
    <row r="37">
      <c r="A37" s="4" t="n"/>
      <c r="B37" s="4" t="n"/>
      <c r="C37" s="4" t="n"/>
      <c r="D37" s="4" t="n"/>
      <c r="E37" s="4" t="n"/>
      <c r="F37" s="10" t="inlineStr">
        <is>
          <t>Discount to FV</t>
        </is>
      </c>
      <c r="G37" s="29">
        <f>1-G36/DASHBOARD!$C$8</f>
        <v/>
      </c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</sheetData>
  <mergeCells count="3">
    <mergeCell ref="A1:I1"/>
    <mergeCell ref="A2:I2"/>
    <mergeCell ref="A3:I3"/>
  </mergeCells>
  <conditionalFormatting sqref="C11:C19">
    <cfRule type="expression" priority="1" dxfId="3">
      <formula>C11=$C$21</formula>
    </cfRule>
  </conditionalFormatting>
  <conditionalFormatting sqref="C27">
    <cfRule type="expression" priority="2" dxfId="3">
      <formula>ASSUMPTIONS!$C$12&gt;ASSUMPTIONS!$C$13</formula>
    </cfRule>
    <cfRule type="expression" priority="3" dxfId="5">
      <formula>ASSUMPTIONS!$C$12&lt;=ASSUMPTIONS!$C$13</formula>
    </cfRule>
  </conditionalFormatting>
  <conditionalFormatting sqref="G7">
    <cfRule type="expression" priority="4" dxfId="3">
      <formula>ASSUMPTIONS!$C$14&lt;30</formula>
    </cfRule>
    <cfRule type="expression" priority="5" dxfId="5">
      <formula>ASSUMPTIONS!$C$14&gt;70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31A2B"/>
    <outlinePr summaryBelow="1" summaryRight="1"/>
    <pageSetUpPr/>
  </sheetPr>
  <dimension ref="A1:S20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" customWidth="1" min="13" max="13"/>
    <col width="14" customWidth="1" min="14" max="14"/>
    <col width="14" customWidth="1" min="15" max="15"/>
    <col width="4" customWidth="1" min="16" max="16"/>
    <col width="30" customWidth="1" min="17" max="17"/>
    <col width="13" customWidth="1" min="18" max="18"/>
    <col width="13" customWidth="1" min="19" max="19"/>
  </cols>
  <sheetData>
    <row r="1" ht="26" customHeight="1">
      <c r="A1" s="1" t="inlineStr">
        <is>
          <t>SCENARIO &amp; MONTE CARLO</t>
        </is>
      </c>
    </row>
    <row r="2" ht="16" customHeight="1">
      <c r="A2" s="2" t="inlineStr">
        <is>
          <t>Bull/Base/Bear DCF, 2000-trial Monte Carlo, percentiles, and Kelly sizing.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5" t="inlineStr">
        <is>
          <t>S  C  E  N  A  R  I  O     F  A  I  R     V  A  L  U  E  S     (  $  /  S  H  )</t>
        </is>
      </c>
      <c r="C5" s="6" t="n"/>
      <c r="D5" s="6" t="n"/>
      <c r="E5" s="6" t="n"/>
      <c r="F5" s="6" t="n"/>
      <c r="G5" s="4" t="n"/>
      <c r="H5" s="5" t="inlineStr">
        <is>
          <t>M  O  N  T  E     C  A  R  L  O     E  N  G  I  N  E     —     2  0  0  0     T  R  I  A  L  S</t>
        </is>
      </c>
      <c r="I5" s="6" t="n"/>
      <c r="J5" s="6" t="n"/>
      <c r="K5" s="6" t="n"/>
      <c r="L5" s="6" t="n"/>
      <c r="M5" s="4" t="n"/>
      <c r="N5" s="5" t="inlineStr">
        <is>
          <t>M  C     S  U  M  M  A  R  Y</t>
        </is>
      </c>
      <c r="O5" s="6" t="n"/>
      <c r="P5" s="4" t="n"/>
      <c r="Q5" s="4" t="n"/>
      <c r="R5" s="4" t="n"/>
      <c r="S5" s="4" t="n"/>
    </row>
    <row r="6">
      <c r="A6" s="4" t="n"/>
      <c r="B6" s="5" t="inlineStr">
        <is>
          <t>Driver</t>
        </is>
      </c>
      <c r="C6" s="72" t="inlineStr">
        <is>
          <t>BEAR</t>
        </is>
      </c>
      <c r="D6" s="73" t="inlineStr">
        <is>
          <t>BASE</t>
        </is>
      </c>
      <c r="E6" s="74" t="inlineStr">
        <is>
          <t>BULL</t>
        </is>
      </c>
      <c r="F6" s="4" t="n"/>
      <c r="G6" s="4" t="n"/>
      <c r="H6" s="18" t="inlineStr">
        <is>
          <t>g</t>
        </is>
      </c>
      <c r="I6" s="18" t="inlineStr">
        <is>
          <t>WACC</t>
        </is>
      </c>
      <c r="J6" s="18" t="inlineStr">
        <is>
          <t>margin</t>
        </is>
      </c>
      <c r="K6" s="18" t="inlineStr">
        <is>
          <t>g_term</t>
        </is>
      </c>
      <c r="L6" s="18" t="inlineStr">
        <is>
          <t>FV $/sh</t>
        </is>
      </c>
      <c r="M6" s="4" t="n"/>
      <c r="N6" s="20" t="inlineStr">
        <is>
          <t>P5</t>
        </is>
      </c>
      <c r="O6" s="28">
        <f>_xlfn.PERCENTILE.INC(L7:L2006,0.05)</f>
        <v/>
      </c>
      <c r="P6" s="4" t="n"/>
      <c r="Q6" s="4" t="n"/>
      <c r="R6" s="4" t="n"/>
      <c r="S6" s="4" t="n"/>
    </row>
    <row r="7">
      <c r="A7" s="4" t="n"/>
      <c r="B7" s="10" t="inlineStr">
        <is>
          <t>Avg growth g</t>
        </is>
      </c>
      <c r="C7" s="57">
        <f>AVERAGE(ASSUMPTIONS!$C$38,ASSUMPTIONS!$C$39,ASSUMPTIONS!$C$40,ASSUMPTIONS!$C$41,ASSUMPTIONS!$C$42)-0.03</f>
        <v/>
      </c>
      <c r="D7" s="57">
        <f>AVERAGE(ASSUMPTIONS!$C$38,ASSUMPTIONS!$C$39,ASSUMPTIONS!$C$40,ASSUMPTIONS!$C$41,ASSUMPTIONS!$C$42)</f>
        <v/>
      </c>
      <c r="E7" s="57">
        <f>AVERAGE(ASSUMPTIONS!$C$38,ASSUMPTIONS!$C$39,ASSUMPTIONS!$C$40,ASSUMPTIONS!$C$41,ASSUMPTIONS!$C$42)+0.03</f>
        <v/>
      </c>
      <c r="F7" s="4" t="n"/>
      <c r="G7" s="4" t="n"/>
      <c r="H7" s="75">
        <f>_xlfn.NORM.INV(RAND(),AVERAGE(ASSUMPTIONS!$C$38,ASSUMPTIONS!$C$39,ASSUMPTIONS!$C$40,ASSUMPTIONS!$C$41,ASSUMPTIONS!$C$42),ASSUMPTIONS!$C$68)</f>
        <v/>
      </c>
      <c r="I7" s="75">
        <f>MAX(_xlfn.NORM.INV(RAND(),DCF!$C$11,ASSUMPTIONS!$C$69),K7+0.005)</f>
        <v/>
      </c>
      <c r="J7" s="75">
        <f>_xlfn.NORM.INV(RAND(),ASSUMPTIONS!$C$19,ASSUMPTIONS!$C$70)</f>
        <v/>
      </c>
      <c r="K7" s="75">
        <f>_xlfn.NORM.INV(RAND(),ASSUMPTIONS!$C$43,ASSUMPTIONS!$C$71)</f>
        <v/>
      </c>
      <c r="L7" s="76">
        <f>(((ASSUMPTIONS!$C$18*J7*(1-ASSUMPTIONS!$C$20)+ASSUMPTIONS!$C$18*ASSUMPTIONS!$C$21-ASSUMPTIONS!$C$18*ASSUMPTIONS!$C$22)*(1+H7)*(1-((1+H7)/(1+I7))^5)/(I7-H7))+((ASSUMPTIONS!$C$18*J7*(1-ASSUMPTIONS!$C$20)+ASSUMPTIONS!$C$18*ASSUMPTIONS!$C$21-ASSUMPTIONS!$C$18*ASSUMPTIONS!$C$22)*(1+H7)^5*(1+K7)/(I7-K7)/(1+I7)^5)-DCF!$C$12)/ASSUMPTIONS!$C$7</f>
        <v/>
      </c>
      <c r="M7" s="4" t="n"/>
      <c r="N7" s="20" t="inlineStr">
        <is>
          <t>P25</t>
        </is>
      </c>
      <c r="O7" s="28">
        <f>_xlfn.PERCENTILE.INC(L7:L2006,0.25)</f>
        <v/>
      </c>
      <c r="P7" s="4" t="n"/>
      <c r="Q7" s="4" t="n"/>
      <c r="R7" s="4" t="n"/>
      <c r="S7" s="4" t="n"/>
    </row>
    <row r="8">
      <c r="A8" s="4" t="n"/>
      <c r="B8" s="10" t="inlineStr">
        <is>
          <t>EBIT margin</t>
        </is>
      </c>
      <c r="C8" s="57">
        <f>ASSUMPTIONS!$C$19-0.03</f>
        <v/>
      </c>
      <c r="D8" s="57">
        <f>ASSUMPTIONS!$C$19</f>
        <v/>
      </c>
      <c r="E8" s="57">
        <f>ASSUMPTIONS!$C$19+0.02</f>
        <v/>
      </c>
      <c r="F8" s="4" t="n"/>
      <c r="G8" s="4" t="n"/>
      <c r="H8" s="75">
        <f>_xlfn.NORM.INV(RAND(),AVERAGE(ASSUMPTIONS!$C$38,ASSUMPTIONS!$C$39,ASSUMPTIONS!$C$40,ASSUMPTIONS!$C$41,ASSUMPTIONS!$C$42),ASSUMPTIONS!$C$68)</f>
        <v/>
      </c>
      <c r="I8" s="75">
        <f>MAX(_xlfn.NORM.INV(RAND(),DCF!$C$11,ASSUMPTIONS!$C$69),K8+0.005)</f>
        <v/>
      </c>
      <c r="J8" s="75">
        <f>_xlfn.NORM.INV(RAND(),ASSUMPTIONS!$C$19,ASSUMPTIONS!$C$70)</f>
        <v/>
      </c>
      <c r="K8" s="75">
        <f>_xlfn.NORM.INV(RAND(),ASSUMPTIONS!$C$43,ASSUMPTIONS!$C$71)</f>
        <v/>
      </c>
      <c r="L8" s="76">
        <f>(((ASSUMPTIONS!$C$18*J8*(1-ASSUMPTIONS!$C$20)+ASSUMPTIONS!$C$18*ASSUMPTIONS!$C$21-ASSUMPTIONS!$C$18*ASSUMPTIONS!$C$22)*(1+H8)*(1-((1+H8)/(1+I8))^5)/(I8-H8))+((ASSUMPTIONS!$C$18*J8*(1-ASSUMPTIONS!$C$20)+ASSUMPTIONS!$C$18*ASSUMPTIONS!$C$21-ASSUMPTIONS!$C$18*ASSUMPTIONS!$C$22)*(1+H8)^5*(1+K8)/(I8-K8)/(1+I8)^5)-DCF!$C$12)/ASSUMPTIONS!$C$7</f>
        <v/>
      </c>
      <c r="M8" s="4" t="n"/>
      <c r="N8" s="20" t="inlineStr">
        <is>
          <t>P50 (median)</t>
        </is>
      </c>
      <c r="O8" s="28">
        <f>_xlfn.PERCENTILE.INC(L7:L2006,0.50)</f>
        <v/>
      </c>
      <c r="P8" s="4" t="n"/>
      <c r="Q8" s="4" t="n"/>
      <c r="R8" s="4" t="n"/>
      <c r="S8" s="4" t="n"/>
    </row>
    <row r="9">
      <c r="A9" s="4" t="n"/>
      <c r="B9" s="10" t="inlineStr">
        <is>
          <t>WACC</t>
        </is>
      </c>
      <c r="C9" s="43">
        <f>DCF!$C$11+0.01</f>
        <v/>
      </c>
      <c r="D9" s="43">
        <f>DCF!$C$11</f>
        <v/>
      </c>
      <c r="E9" s="43">
        <f>DCF!$C$11-0.005</f>
        <v/>
      </c>
      <c r="F9" s="4" t="n"/>
      <c r="G9" s="4" t="n"/>
      <c r="H9" s="75">
        <f>_xlfn.NORM.INV(RAND(),AVERAGE(ASSUMPTIONS!$C$38,ASSUMPTIONS!$C$39,ASSUMPTIONS!$C$40,ASSUMPTIONS!$C$41,ASSUMPTIONS!$C$42),ASSUMPTIONS!$C$68)</f>
        <v/>
      </c>
      <c r="I9" s="75">
        <f>MAX(_xlfn.NORM.INV(RAND(),DCF!$C$11,ASSUMPTIONS!$C$69),K9+0.005)</f>
        <v/>
      </c>
      <c r="J9" s="75">
        <f>_xlfn.NORM.INV(RAND(),ASSUMPTIONS!$C$19,ASSUMPTIONS!$C$70)</f>
        <v/>
      </c>
      <c r="K9" s="75">
        <f>_xlfn.NORM.INV(RAND(),ASSUMPTIONS!$C$43,ASSUMPTIONS!$C$71)</f>
        <v/>
      </c>
      <c r="L9" s="76">
        <f>(((ASSUMPTIONS!$C$18*J9*(1-ASSUMPTIONS!$C$20)+ASSUMPTIONS!$C$18*ASSUMPTIONS!$C$21-ASSUMPTIONS!$C$18*ASSUMPTIONS!$C$22)*(1+H9)*(1-((1+H9)/(1+I9))^5)/(I9-H9))+((ASSUMPTIONS!$C$18*J9*(1-ASSUMPTIONS!$C$20)+ASSUMPTIONS!$C$18*ASSUMPTIONS!$C$21-ASSUMPTIONS!$C$18*ASSUMPTIONS!$C$22)*(1+H9)^5*(1+K9)/(I9-K9)/(1+I9)^5)-DCF!$C$12)/ASSUMPTIONS!$C$7</f>
        <v/>
      </c>
      <c r="M9" s="4" t="n"/>
      <c r="N9" s="20" t="inlineStr">
        <is>
          <t>P75</t>
        </is>
      </c>
      <c r="O9" s="28">
        <f>_xlfn.PERCENTILE.INC(L7:L2006,0.75)</f>
        <v/>
      </c>
      <c r="P9" s="4" t="n"/>
      <c r="Q9" s="4" t="n"/>
      <c r="R9" s="4" t="n"/>
      <c r="S9" s="4" t="n"/>
    </row>
    <row r="10">
      <c r="A10" s="4" t="n"/>
      <c r="B10" s="10" t="inlineStr">
        <is>
          <t>Exit EV/EBITDA</t>
        </is>
      </c>
      <c r="C10" s="55">
        <f>ASSUMPTIONS!$C$61</f>
        <v/>
      </c>
      <c r="D10" s="55">
        <f>ASSUMPTIONS!$C$60</f>
        <v/>
      </c>
      <c r="E10" s="55">
        <f>ASSUMPTIONS!$C$62</f>
        <v/>
      </c>
      <c r="F10" s="4" t="n"/>
      <c r="G10" s="4" t="n"/>
      <c r="H10" s="75">
        <f>_xlfn.NORM.INV(RAND(),AVERAGE(ASSUMPTIONS!$C$38,ASSUMPTIONS!$C$39,ASSUMPTIONS!$C$40,ASSUMPTIONS!$C$41,ASSUMPTIONS!$C$42),ASSUMPTIONS!$C$68)</f>
        <v/>
      </c>
      <c r="I10" s="75">
        <f>MAX(_xlfn.NORM.INV(RAND(),DCF!$C$11,ASSUMPTIONS!$C$69),K10+0.005)</f>
        <v/>
      </c>
      <c r="J10" s="75">
        <f>_xlfn.NORM.INV(RAND(),ASSUMPTIONS!$C$19,ASSUMPTIONS!$C$70)</f>
        <v/>
      </c>
      <c r="K10" s="75">
        <f>_xlfn.NORM.INV(RAND(),ASSUMPTIONS!$C$43,ASSUMPTIONS!$C$71)</f>
        <v/>
      </c>
      <c r="L10" s="76">
        <f>(((ASSUMPTIONS!$C$18*J10*(1-ASSUMPTIONS!$C$20)+ASSUMPTIONS!$C$18*ASSUMPTIONS!$C$21-ASSUMPTIONS!$C$18*ASSUMPTIONS!$C$22)*(1+H10)*(1-((1+H10)/(1+I10))^5)/(I10-H10))+((ASSUMPTIONS!$C$18*J10*(1-ASSUMPTIONS!$C$20)+ASSUMPTIONS!$C$18*ASSUMPTIONS!$C$21-ASSUMPTIONS!$C$18*ASSUMPTIONS!$C$22)*(1+H10)^5*(1+K10)/(I10-K10)/(1+I10)^5)-DCF!$C$12)/ASSUMPTIONS!$C$7</f>
        <v/>
      </c>
      <c r="M10" s="4" t="n"/>
      <c r="N10" s="20" t="inlineStr">
        <is>
          <t>P95</t>
        </is>
      </c>
      <c r="O10" s="28">
        <f>_xlfn.PERCENTILE.INC(L7:L2006,0.95)</f>
        <v/>
      </c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75">
        <f>_xlfn.NORM.INV(RAND(),AVERAGE(ASSUMPTIONS!$C$38,ASSUMPTIONS!$C$39,ASSUMPTIONS!$C$40,ASSUMPTIONS!$C$41,ASSUMPTIONS!$C$42),ASSUMPTIONS!$C$68)</f>
        <v/>
      </c>
      <c r="I11" s="75">
        <f>MAX(_xlfn.NORM.INV(RAND(),DCF!$C$11,ASSUMPTIONS!$C$69),K11+0.005)</f>
        <v/>
      </c>
      <c r="J11" s="75">
        <f>_xlfn.NORM.INV(RAND(),ASSUMPTIONS!$C$19,ASSUMPTIONS!$C$70)</f>
        <v/>
      </c>
      <c r="K11" s="75">
        <f>_xlfn.NORM.INV(RAND(),ASSUMPTIONS!$C$43,ASSUMPTIONS!$C$71)</f>
        <v/>
      </c>
      <c r="L11" s="76">
        <f>(((ASSUMPTIONS!$C$18*J11*(1-ASSUMPTIONS!$C$20)+ASSUMPTIONS!$C$18*ASSUMPTIONS!$C$21-ASSUMPTIONS!$C$18*ASSUMPTIONS!$C$22)*(1+H11)*(1-((1+H11)/(1+I11))^5)/(I11-H11))+((ASSUMPTIONS!$C$18*J11*(1-ASSUMPTIONS!$C$20)+ASSUMPTIONS!$C$18*ASSUMPTIONS!$C$21-ASSUMPTIONS!$C$18*ASSUMPTIONS!$C$22)*(1+H11)^5*(1+K11)/(I11-K11)/(1+I11)^5)-DCF!$C$12)/ASSUMPTIONS!$C$7</f>
        <v/>
      </c>
      <c r="M11" s="4" t="n"/>
      <c r="N11" s="20" t="inlineStr">
        <is>
          <t>Mean</t>
        </is>
      </c>
      <c r="O11" s="28">
        <f>AVERAGE(L7:L2006)</f>
        <v/>
      </c>
      <c r="P11" s="4" t="n"/>
      <c r="Q11" s="4" t="n"/>
      <c r="R11" s="4" t="n"/>
      <c r="S11" s="4" t="n"/>
    </row>
    <row r="12">
      <c r="A12" s="4" t="n"/>
      <c r="B12" s="77" t="inlineStr">
        <is>
          <t>REVENUE ($M)</t>
        </is>
      </c>
      <c r="C12" s="4" t="n"/>
      <c r="D12" s="4" t="n"/>
      <c r="E12" s="4" t="n"/>
      <c r="F12" s="4" t="n"/>
      <c r="G12" s="4" t="n"/>
      <c r="H12" s="75">
        <f>_xlfn.NORM.INV(RAND(),AVERAGE(ASSUMPTIONS!$C$38,ASSUMPTIONS!$C$39,ASSUMPTIONS!$C$40,ASSUMPTIONS!$C$41,ASSUMPTIONS!$C$42),ASSUMPTIONS!$C$68)</f>
        <v/>
      </c>
      <c r="I12" s="75">
        <f>MAX(_xlfn.NORM.INV(RAND(),DCF!$C$11,ASSUMPTIONS!$C$69),K12+0.005)</f>
        <v/>
      </c>
      <c r="J12" s="75">
        <f>_xlfn.NORM.INV(RAND(),ASSUMPTIONS!$C$19,ASSUMPTIONS!$C$70)</f>
        <v/>
      </c>
      <c r="K12" s="75">
        <f>_xlfn.NORM.INV(RAND(),ASSUMPTIONS!$C$43,ASSUMPTIONS!$C$71)</f>
        <v/>
      </c>
      <c r="L12" s="76">
        <f>(((ASSUMPTIONS!$C$18*J12*(1-ASSUMPTIONS!$C$20)+ASSUMPTIONS!$C$18*ASSUMPTIONS!$C$21-ASSUMPTIONS!$C$18*ASSUMPTIONS!$C$22)*(1+H12)*(1-((1+H12)/(1+I12))^5)/(I12-H12))+((ASSUMPTIONS!$C$18*J12*(1-ASSUMPTIONS!$C$20)+ASSUMPTIONS!$C$18*ASSUMPTIONS!$C$21-ASSUMPTIONS!$C$18*ASSUMPTIONS!$C$22)*(1+H12)^5*(1+K12)/(I12-K12)/(1+I12)^5)-DCF!$C$12)/ASSUMPTIONS!$C$7</f>
        <v/>
      </c>
      <c r="M12" s="4" t="n"/>
      <c r="N12" s="20" t="inlineStr">
        <is>
          <t>P(FV &gt; price)</t>
        </is>
      </c>
      <c r="O12" s="29">
        <f>IFERROR(COUNTIF(L7:L2006,"&gt;"&amp;ASSUMPTIONS!$C$6)/2000,NA())</f>
        <v/>
      </c>
      <c r="P12" s="4" t="n"/>
      <c r="Q12" s="4" t="n"/>
      <c r="R12" s="4" t="n"/>
      <c r="S12" s="4" t="n"/>
    </row>
    <row r="13">
      <c r="A13" s="4" t="n"/>
      <c r="B13" s="10" t="inlineStr">
        <is>
          <t xml:space="preserve">  Year 1</t>
        </is>
      </c>
      <c r="C13" s="52">
        <f>ASSUMPTIONS!$C$18*(1+ASSUMPTIONS!$C$38-0.03)</f>
        <v/>
      </c>
      <c r="D13" s="52">
        <f>ASSUMPTIONS!$C$18*(1+ASSUMPTIONS!$C$38)</f>
        <v/>
      </c>
      <c r="E13" s="52">
        <f>ASSUMPTIONS!$C$18*(1+ASSUMPTIONS!$C$38+0.03)</f>
        <v/>
      </c>
      <c r="F13" s="4" t="n"/>
      <c r="G13" s="4" t="n"/>
      <c r="H13" s="75">
        <f>_xlfn.NORM.INV(RAND(),AVERAGE(ASSUMPTIONS!$C$38,ASSUMPTIONS!$C$39,ASSUMPTIONS!$C$40,ASSUMPTIONS!$C$41,ASSUMPTIONS!$C$42),ASSUMPTIONS!$C$68)</f>
        <v/>
      </c>
      <c r="I13" s="75">
        <f>MAX(_xlfn.NORM.INV(RAND(),DCF!$C$11,ASSUMPTIONS!$C$69),K13+0.005)</f>
        <v/>
      </c>
      <c r="J13" s="75">
        <f>_xlfn.NORM.INV(RAND(),ASSUMPTIONS!$C$19,ASSUMPTIONS!$C$70)</f>
        <v/>
      </c>
      <c r="K13" s="75">
        <f>_xlfn.NORM.INV(RAND(),ASSUMPTIONS!$C$43,ASSUMPTIONS!$C$71)</f>
        <v/>
      </c>
      <c r="L13" s="76">
        <f>(((ASSUMPTIONS!$C$18*J13*(1-ASSUMPTIONS!$C$20)+ASSUMPTIONS!$C$18*ASSUMPTIONS!$C$21-ASSUMPTIONS!$C$18*ASSUMPTIONS!$C$22)*(1+H13)*(1-((1+H13)/(1+I13))^5)/(I13-H13))+((ASSUMPTIONS!$C$18*J13*(1-ASSUMPTIONS!$C$20)+ASSUMPTIONS!$C$18*ASSUMPTIONS!$C$21-ASSUMPTIONS!$C$18*ASSUMPTIONS!$C$22)*(1+H13)^5*(1+K13)/(I13-K13)/(1+I13)^5)-DCF!$C$12)/ASSUMPTIONS!$C$7</f>
        <v/>
      </c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10" t="inlineStr">
        <is>
          <t xml:space="preserve">  Year 2</t>
        </is>
      </c>
      <c r="C14" s="52">
        <f>C13*(1+ASSUMPTIONS!$C$39-0.03)</f>
        <v/>
      </c>
      <c r="D14" s="52">
        <f>D13*(1+ASSUMPTIONS!$C$39)</f>
        <v/>
      </c>
      <c r="E14" s="52">
        <f>E13*(1+ASSUMPTIONS!$C$39+0.03)</f>
        <v/>
      </c>
      <c r="F14" s="4" t="n"/>
      <c r="G14" s="4" t="n"/>
      <c r="H14" s="75">
        <f>_xlfn.NORM.INV(RAND(),AVERAGE(ASSUMPTIONS!$C$38,ASSUMPTIONS!$C$39,ASSUMPTIONS!$C$40,ASSUMPTIONS!$C$41,ASSUMPTIONS!$C$42),ASSUMPTIONS!$C$68)</f>
        <v/>
      </c>
      <c r="I14" s="75">
        <f>MAX(_xlfn.NORM.INV(RAND(),DCF!$C$11,ASSUMPTIONS!$C$69),K14+0.005)</f>
        <v/>
      </c>
      <c r="J14" s="75">
        <f>_xlfn.NORM.INV(RAND(),ASSUMPTIONS!$C$19,ASSUMPTIONS!$C$70)</f>
        <v/>
      </c>
      <c r="K14" s="75">
        <f>_xlfn.NORM.INV(RAND(),ASSUMPTIONS!$C$43,ASSUMPTIONS!$C$71)</f>
        <v/>
      </c>
      <c r="L14" s="76">
        <f>(((ASSUMPTIONS!$C$18*J14*(1-ASSUMPTIONS!$C$20)+ASSUMPTIONS!$C$18*ASSUMPTIONS!$C$21-ASSUMPTIONS!$C$18*ASSUMPTIONS!$C$22)*(1+H14)*(1-((1+H14)/(1+I14))^5)/(I14-H14))+((ASSUMPTIONS!$C$18*J14*(1-ASSUMPTIONS!$C$20)+ASSUMPTIONS!$C$18*ASSUMPTIONS!$C$21-ASSUMPTIONS!$C$18*ASSUMPTIONS!$C$22)*(1+H14)^5*(1+K14)/(I14-K14)/(1+I14)^5)-DCF!$C$12)/ASSUMPTIONS!$C$7</f>
        <v/>
      </c>
      <c r="M14" s="4" t="n"/>
      <c r="N14" s="5" t="inlineStr">
        <is>
          <t>H  I  S  T  O  G  R  A  M     B  I  N  S</t>
        </is>
      </c>
      <c r="O14" s="6" t="n"/>
      <c r="P14" s="4" t="n"/>
      <c r="Q14" s="4" t="n"/>
      <c r="R14" s="4" t="n"/>
      <c r="S14" s="4" t="n"/>
    </row>
    <row r="15">
      <c r="A15" s="4" t="n"/>
      <c r="B15" s="10" t="inlineStr">
        <is>
          <t xml:space="preserve">  Year 3</t>
        </is>
      </c>
      <c r="C15" s="52">
        <f>C14*(1+ASSUMPTIONS!$C$40-0.03)</f>
        <v/>
      </c>
      <c r="D15" s="52">
        <f>D14*(1+ASSUMPTIONS!$C$40)</f>
        <v/>
      </c>
      <c r="E15" s="52">
        <f>E14*(1+ASSUMPTIONS!$C$40+0.03)</f>
        <v/>
      </c>
      <c r="F15" s="4" t="n"/>
      <c r="G15" s="4" t="n"/>
      <c r="H15" s="75">
        <f>_xlfn.NORM.INV(RAND(),AVERAGE(ASSUMPTIONS!$C$38,ASSUMPTIONS!$C$39,ASSUMPTIONS!$C$40,ASSUMPTIONS!$C$41,ASSUMPTIONS!$C$42),ASSUMPTIONS!$C$68)</f>
        <v/>
      </c>
      <c r="I15" s="75">
        <f>MAX(_xlfn.NORM.INV(RAND(),DCF!$C$11,ASSUMPTIONS!$C$69),K15+0.005)</f>
        <v/>
      </c>
      <c r="J15" s="75">
        <f>_xlfn.NORM.INV(RAND(),ASSUMPTIONS!$C$19,ASSUMPTIONS!$C$70)</f>
        <v/>
      </c>
      <c r="K15" s="75">
        <f>_xlfn.NORM.INV(RAND(),ASSUMPTIONS!$C$43,ASSUMPTIONS!$C$71)</f>
        <v/>
      </c>
      <c r="L15" s="76">
        <f>(((ASSUMPTIONS!$C$18*J15*(1-ASSUMPTIONS!$C$20)+ASSUMPTIONS!$C$18*ASSUMPTIONS!$C$21-ASSUMPTIONS!$C$18*ASSUMPTIONS!$C$22)*(1+H15)*(1-((1+H15)/(1+I15))^5)/(I15-H15))+((ASSUMPTIONS!$C$18*J15*(1-ASSUMPTIONS!$C$20)+ASSUMPTIONS!$C$18*ASSUMPTIONS!$C$21-ASSUMPTIONS!$C$18*ASSUMPTIONS!$C$22)*(1+H15)^5*(1+K15)/(I15-K15)/(1+I15)^5)-DCF!$C$12)/ASSUMPTIONS!$C$7</f>
        <v/>
      </c>
      <c r="M15" s="4" t="n"/>
      <c r="N15" s="18" t="inlineStr">
        <is>
          <t>Bin upper</t>
        </is>
      </c>
      <c r="O15" s="18" t="inlineStr">
        <is>
          <t>Count</t>
        </is>
      </c>
      <c r="P15" s="4" t="n"/>
      <c r="Q15" s="4" t="n"/>
      <c r="R15" s="4" t="n"/>
      <c r="S15" s="4" t="n"/>
    </row>
    <row r="16">
      <c r="A16" s="4" t="n"/>
      <c r="B16" s="10" t="inlineStr">
        <is>
          <t xml:space="preserve">  Year 4</t>
        </is>
      </c>
      <c r="C16" s="52">
        <f>C15*(1+ASSUMPTIONS!$C$41-0.03)</f>
        <v/>
      </c>
      <c r="D16" s="52">
        <f>D15*(1+ASSUMPTIONS!$C$41)</f>
        <v/>
      </c>
      <c r="E16" s="52">
        <f>E15*(1+ASSUMPTIONS!$C$41+0.03)</f>
        <v/>
      </c>
      <c r="F16" s="4" t="n"/>
      <c r="G16" s="4" t="n"/>
      <c r="H16" s="75">
        <f>_xlfn.NORM.INV(RAND(),AVERAGE(ASSUMPTIONS!$C$38,ASSUMPTIONS!$C$39,ASSUMPTIONS!$C$40,ASSUMPTIONS!$C$41,ASSUMPTIONS!$C$42),ASSUMPTIONS!$C$68)</f>
        <v/>
      </c>
      <c r="I16" s="75">
        <f>MAX(_xlfn.NORM.INV(RAND(),DCF!$C$11,ASSUMPTIONS!$C$69),K16+0.005)</f>
        <v/>
      </c>
      <c r="J16" s="75">
        <f>_xlfn.NORM.INV(RAND(),ASSUMPTIONS!$C$19,ASSUMPTIONS!$C$70)</f>
        <v/>
      </c>
      <c r="K16" s="75">
        <f>_xlfn.NORM.INV(RAND(),ASSUMPTIONS!$C$43,ASSUMPTIONS!$C$71)</f>
        <v/>
      </c>
      <c r="L16" s="76">
        <f>(((ASSUMPTIONS!$C$18*J16*(1-ASSUMPTIONS!$C$20)+ASSUMPTIONS!$C$18*ASSUMPTIONS!$C$21-ASSUMPTIONS!$C$18*ASSUMPTIONS!$C$22)*(1+H16)*(1-((1+H16)/(1+I16))^5)/(I16-H16))+((ASSUMPTIONS!$C$18*J16*(1-ASSUMPTIONS!$C$20)+ASSUMPTIONS!$C$18*ASSUMPTIONS!$C$21-ASSUMPTIONS!$C$18*ASSUMPTIONS!$C$22)*(1+H16)^5*(1+K16)/(I16-K16)/(1+I16)^5)-DCF!$C$12)/ASSUMPTIONS!$C$7</f>
        <v/>
      </c>
      <c r="M16" s="4" t="n"/>
      <c r="N16" s="69">
        <f>MIN(L7:L2006)+(0.08333333333333333)*(MAX(L7:L2006)-MIN(L7:L2006))</f>
        <v/>
      </c>
      <c r="O16" s="78">
        <f>COUNTIF(L7:L2006,"&lt;="&amp;N16)</f>
        <v/>
      </c>
      <c r="P16" s="4" t="n"/>
      <c r="Q16" s="4" t="n"/>
      <c r="R16" s="4" t="n"/>
      <c r="S16" s="4" t="n"/>
    </row>
    <row r="17">
      <c r="A17" s="4" t="n"/>
      <c r="B17" s="10" t="inlineStr">
        <is>
          <t xml:space="preserve">  Year 5</t>
        </is>
      </c>
      <c r="C17" s="52">
        <f>C16*(1+ASSUMPTIONS!$C$42-0.03)</f>
        <v/>
      </c>
      <c r="D17" s="52">
        <f>D16*(1+ASSUMPTIONS!$C$42)</f>
        <v/>
      </c>
      <c r="E17" s="52">
        <f>E16*(1+ASSUMPTIONS!$C$42+0.03)</f>
        <v/>
      </c>
      <c r="F17" s="4" t="n"/>
      <c r="G17" s="4" t="n"/>
      <c r="H17" s="75">
        <f>_xlfn.NORM.INV(RAND(),AVERAGE(ASSUMPTIONS!$C$38,ASSUMPTIONS!$C$39,ASSUMPTIONS!$C$40,ASSUMPTIONS!$C$41,ASSUMPTIONS!$C$42),ASSUMPTIONS!$C$68)</f>
        <v/>
      </c>
      <c r="I17" s="75">
        <f>MAX(_xlfn.NORM.INV(RAND(),DCF!$C$11,ASSUMPTIONS!$C$69),K17+0.005)</f>
        <v/>
      </c>
      <c r="J17" s="75">
        <f>_xlfn.NORM.INV(RAND(),ASSUMPTIONS!$C$19,ASSUMPTIONS!$C$70)</f>
        <v/>
      </c>
      <c r="K17" s="75">
        <f>_xlfn.NORM.INV(RAND(),ASSUMPTIONS!$C$43,ASSUMPTIONS!$C$71)</f>
        <v/>
      </c>
      <c r="L17" s="76">
        <f>(((ASSUMPTIONS!$C$18*J17*(1-ASSUMPTIONS!$C$20)+ASSUMPTIONS!$C$18*ASSUMPTIONS!$C$21-ASSUMPTIONS!$C$18*ASSUMPTIONS!$C$22)*(1+H17)*(1-((1+H17)/(1+I17))^5)/(I17-H17))+((ASSUMPTIONS!$C$18*J17*(1-ASSUMPTIONS!$C$20)+ASSUMPTIONS!$C$18*ASSUMPTIONS!$C$21-ASSUMPTIONS!$C$18*ASSUMPTIONS!$C$22)*(1+H17)^5*(1+K17)/(I17-K17)/(1+I17)^5)-DCF!$C$12)/ASSUMPTIONS!$C$7</f>
        <v/>
      </c>
      <c r="M17" s="4" t="n"/>
      <c r="N17" s="69">
        <f>MIN(L7:L2006)+(0.16666666666666666)*(MAX(L7:L2006)-MIN(L7:L2006))</f>
        <v/>
      </c>
      <c r="O17" s="78">
        <f>COUNTIFS(L7:L2006,"&gt;"&amp;N16,L7:L2006,"&lt;="&amp;N17)</f>
        <v/>
      </c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75">
        <f>_xlfn.NORM.INV(RAND(),AVERAGE(ASSUMPTIONS!$C$38,ASSUMPTIONS!$C$39,ASSUMPTIONS!$C$40,ASSUMPTIONS!$C$41,ASSUMPTIONS!$C$42),ASSUMPTIONS!$C$68)</f>
        <v/>
      </c>
      <c r="I18" s="75">
        <f>MAX(_xlfn.NORM.INV(RAND(),DCF!$C$11,ASSUMPTIONS!$C$69),K18+0.005)</f>
        <v/>
      </c>
      <c r="J18" s="75">
        <f>_xlfn.NORM.INV(RAND(),ASSUMPTIONS!$C$19,ASSUMPTIONS!$C$70)</f>
        <v/>
      </c>
      <c r="K18" s="75">
        <f>_xlfn.NORM.INV(RAND(),ASSUMPTIONS!$C$43,ASSUMPTIONS!$C$71)</f>
        <v/>
      </c>
      <c r="L18" s="76">
        <f>(((ASSUMPTIONS!$C$18*J18*(1-ASSUMPTIONS!$C$20)+ASSUMPTIONS!$C$18*ASSUMPTIONS!$C$21-ASSUMPTIONS!$C$18*ASSUMPTIONS!$C$22)*(1+H18)*(1-((1+H18)/(1+I18))^5)/(I18-H18))+((ASSUMPTIONS!$C$18*J18*(1-ASSUMPTIONS!$C$20)+ASSUMPTIONS!$C$18*ASSUMPTIONS!$C$21-ASSUMPTIONS!$C$18*ASSUMPTIONS!$C$22)*(1+H18)^5*(1+K18)/(I18-K18)/(1+I18)^5)-DCF!$C$12)/ASSUMPTIONS!$C$7</f>
        <v/>
      </c>
      <c r="M18" s="4" t="n"/>
      <c r="N18" s="69">
        <f>MIN(L7:L2006)+(0.25)*(MAX(L7:L2006)-MIN(L7:L2006))</f>
        <v/>
      </c>
      <c r="O18" s="78">
        <f>COUNTIFS(L7:L2006,"&gt;"&amp;N17,L7:L2006,"&lt;="&amp;N18)</f>
        <v/>
      </c>
      <c r="P18" s="4" t="n"/>
      <c r="Q18" s="4" t="n"/>
      <c r="R18" s="4" t="n"/>
      <c r="S18" s="4" t="n"/>
    </row>
    <row r="19">
      <c r="A19" s="4" t="n"/>
      <c r="B19" s="77" t="inlineStr">
        <is>
          <t>FCFF ($M)</t>
        </is>
      </c>
      <c r="C19" s="4" t="n"/>
      <c r="D19" s="4" t="n"/>
      <c r="E19" s="4" t="n"/>
      <c r="F19" s="4" t="n"/>
      <c r="G19" s="4" t="n"/>
      <c r="H19" s="75">
        <f>_xlfn.NORM.INV(RAND(),AVERAGE(ASSUMPTIONS!$C$38,ASSUMPTIONS!$C$39,ASSUMPTIONS!$C$40,ASSUMPTIONS!$C$41,ASSUMPTIONS!$C$42),ASSUMPTIONS!$C$68)</f>
        <v/>
      </c>
      <c r="I19" s="75">
        <f>MAX(_xlfn.NORM.INV(RAND(),DCF!$C$11,ASSUMPTIONS!$C$69),K19+0.005)</f>
        <v/>
      </c>
      <c r="J19" s="75">
        <f>_xlfn.NORM.INV(RAND(),ASSUMPTIONS!$C$19,ASSUMPTIONS!$C$70)</f>
        <v/>
      </c>
      <c r="K19" s="75">
        <f>_xlfn.NORM.INV(RAND(),ASSUMPTIONS!$C$43,ASSUMPTIONS!$C$71)</f>
        <v/>
      </c>
      <c r="L19" s="76">
        <f>(((ASSUMPTIONS!$C$18*J19*(1-ASSUMPTIONS!$C$20)+ASSUMPTIONS!$C$18*ASSUMPTIONS!$C$21-ASSUMPTIONS!$C$18*ASSUMPTIONS!$C$22)*(1+H19)*(1-((1+H19)/(1+I19))^5)/(I19-H19))+((ASSUMPTIONS!$C$18*J19*(1-ASSUMPTIONS!$C$20)+ASSUMPTIONS!$C$18*ASSUMPTIONS!$C$21-ASSUMPTIONS!$C$18*ASSUMPTIONS!$C$22)*(1+H19)^5*(1+K19)/(I19-K19)/(1+I19)^5)-DCF!$C$12)/ASSUMPTIONS!$C$7</f>
        <v/>
      </c>
      <c r="M19" s="4" t="n"/>
      <c r="N19" s="69">
        <f>MIN(L7:L2006)+(0.3333333333333333)*(MAX(L7:L2006)-MIN(L7:L2006))</f>
        <v/>
      </c>
      <c r="O19" s="78">
        <f>COUNTIFS(L7:L2006,"&gt;"&amp;N18,L7:L2006,"&lt;="&amp;N19)</f>
        <v/>
      </c>
      <c r="P19" s="4" t="n"/>
      <c r="Q19" s="4" t="n"/>
      <c r="R19" s="4" t="n"/>
      <c r="S19" s="4" t="n"/>
    </row>
    <row r="20">
      <c r="A20" s="4" t="n"/>
      <c r="B20" s="10" t="inlineStr">
        <is>
          <t xml:space="preserve">  Year 1</t>
        </is>
      </c>
      <c r="C20" s="44">
        <f>C13*C8*(1-ASSUMPTIONS!$C$20)+C13*ASSUMPTIONS!$C$21-C13*ASSUMPTIONS!$C$22-(C13-ASSUMPTIONS!$C$18)*ASSUMPTIONS!$C$23</f>
        <v/>
      </c>
      <c r="D20" s="44">
        <f>D13*D8*(1-ASSUMPTIONS!$C$20)+D13*ASSUMPTIONS!$C$21-D13*ASSUMPTIONS!$C$22-(D13-ASSUMPTIONS!$C$18)*ASSUMPTIONS!$C$23</f>
        <v/>
      </c>
      <c r="E20" s="44">
        <f>E13*E8*(1-ASSUMPTIONS!$C$20)+E13*ASSUMPTIONS!$C$21-E13*ASSUMPTIONS!$C$22-(E13-ASSUMPTIONS!$C$18)*ASSUMPTIONS!$C$23</f>
        <v/>
      </c>
      <c r="F20" s="4" t="n"/>
      <c r="G20" s="4" t="n"/>
      <c r="H20" s="75">
        <f>_xlfn.NORM.INV(RAND(),AVERAGE(ASSUMPTIONS!$C$38,ASSUMPTIONS!$C$39,ASSUMPTIONS!$C$40,ASSUMPTIONS!$C$41,ASSUMPTIONS!$C$42),ASSUMPTIONS!$C$68)</f>
        <v/>
      </c>
      <c r="I20" s="75">
        <f>MAX(_xlfn.NORM.INV(RAND(),DCF!$C$11,ASSUMPTIONS!$C$69),K20+0.005)</f>
        <v/>
      </c>
      <c r="J20" s="75">
        <f>_xlfn.NORM.INV(RAND(),ASSUMPTIONS!$C$19,ASSUMPTIONS!$C$70)</f>
        <v/>
      </c>
      <c r="K20" s="75">
        <f>_xlfn.NORM.INV(RAND(),ASSUMPTIONS!$C$43,ASSUMPTIONS!$C$71)</f>
        <v/>
      </c>
      <c r="L20" s="76">
        <f>(((ASSUMPTIONS!$C$18*J20*(1-ASSUMPTIONS!$C$20)+ASSUMPTIONS!$C$18*ASSUMPTIONS!$C$21-ASSUMPTIONS!$C$18*ASSUMPTIONS!$C$22)*(1+H20)*(1-((1+H20)/(1+I20))^5)/(I20-H20))+((ASSUMPTIONS!$C$18*J20*(1-ASSUMPTIONS!$C$20)+ASSUMPTIONS!$C$18*ASSUMPTIONS!$C$21-ASSUMPTIONS!$C$18*ASSUMPTIONS!$C$22)*(1+H20)^5*(1+K20)/(I20-K20)/(1+I20)^5)-DCF!$C$12)/ASSUMPTIONS!$C$7</f>
        <v/>
      </c>
      <c r="M20" s="4" t="n"/>
      <c r="N20" s="69">
        <f>MIN(L7:L2006)+(0.4166666666666667)*(MAX(L7:L2006)-MIN(L7:L2006))</f>
        <v/>
      </c>
      <c r="O20" s="78">
        <f>COUNTIFS(L7:L2006,"&gt;"&amp;N19,L7:L2006,"&lt;="&amp;N20)</f>
        <v/>
      </c>
      <c r="P20" s="4" t="n"/>
      <c r="Q20" s="4" t="n"/>
      <c r="R20" s="4" t="n"/>
      <c r="S20" s="4" t="n"/>
    </row>
    <row r="21">
      <c r="A21" s="4" t="n"/>
      <c r="B21" s="10" t="inlineStr">
        <is>
          <t xml:space="preserve">  Year 2</t>
        </is>
      </c>
      <c r="C21" s="44">
        <f>C14*C8*(1-ASSUMPTIONS!$C$20)+C14*ASSUMPTIONS!$C$21-C14*ASSUMPTIONS!$C$22-(C14-C13)*ASSUMPTIONS!$C$23</f>
        <v/>
      </c>
      <c r="D21" s="44">
        <f>D14*D8*(1-ASSUMPTIONS!$C$20)+D14*ASSUMPTIONS!$C$21-D14*ASSUMPTIONS!$C$22-(D14-D13)*ASSUMPTIONS!$C$23</f>
        <v/>
      </c>
      <c r="E21" s="44">
        <f>E14*E8*(1-ASSUMPTIONS!$C$20)+E14*ASSUMPTIONS!$C$21-E14*ASSUMPTIONS!$C$22-(E14-E13)*ASSUMPTIONS!$C$23</f>
        <v/>
      </c>
      <c r="F21" s="4" t="n"/>
      <c r="G21" s="4" t="n"/>
      <c r="H21" s="75">
        <f>_xlfn.NORM.INV(RAND(),AVERAGE(ASSUMPTIONS!$C$38,ASSUMPTIONS!$C$39,ASSUMPTIONS!$C$40,ASSUMPTIONS!$C$41,ASSUMPTIONS!$C$42),ASSUMPTIONS!$C$68)</f>
        <v/>
      </c>
      <c r="I21" s="75">
        <f>MAX(_xlfn.NORM.INV(RAND(),DCF!$C$11,ASSUMPTIONS!$C$69),K21+0.005)</f>
        <v/>
      </c>
      <c r="J21" s="75">
        <f>_xlfn.NORM.INV(RAND(),ASSUMPTIONS!$C$19,ASSUMPTIONS!$C$70)</f>
        <v/>
      </c>
      <c r="K21" s="75">
        <f>_xlfn.NORM.INV(RAND(),ASSUMPTIONS!$C$43,ASSUMPTIONS!$C$71)</f>
        <v/>
      </c>
      <c r="L21" s="76">
        <f>(((ASSUMPTIONS!$C$18*J21*(1-ASSUMPTIONS!$C$20)+ASSUMPTIONS!$C$18*ASSUMPTIONS!$C$21-ASSUMPTIONS!$C$18*ASSUMPTIONS!$C$22)*(1+H21)*(1-((1+H21)/(1+I21))^5)/(I21-H21))+((ASSUMPTIONS!$C$18*J21*(1-ASSUMPTIONS!$C$20)+ASSUMPTIONS!$C$18*ASSUMPTIONS!$C$21-ASSUMPTIONS!$C$18*ASSUMPTIONS!$C$22)*(1+H21)^5*(1+K21)/(I21-K21)/(1+I21)^5)-DCF!$C$12)/ASSUMPTIONS!$C$7</f>
        <v/>
      </c>
      <c r="M21" s="4" t="n"/>
      <c r="N21" s="69">
        <f>MIN(L7:L2006)+(0.5)*(MAX(L7:L2006)-MIN(L7:L2006))</f>
        <v/>
      </c>
      <c r="O21" s="78">
        <f>COUNTIFS(L7:L2006,"&gt;"&amp;N20,L7:L2006,"&lt;="&amp;N21)</f>
        <v/>
      </c>
      <c r="P21" s="4" t="n"/>
      <c r="Q21" s="4" t="n"/>
      <c r="R21" s="4" t="n"/>
      <c r="S21" s="4" t="n"/>
    </row>
    <row r="22">
      <c r="A22" s="4" t="n"/>
      <c r="B22" s="10" t="inlineStr">
        <is>
          <t xml:space="preserve">  Year 3</t>
        </is>
      </c>
      <c r="C22" s="44">
        <f>C15*C8*(1-ASSUMPTIONS!$C$20)+C15*ASSUMPTIONS!$C$21-C15*ASSUMPTIONS!$C$22-(C15-C14)*ASSUMPTIONS!$C$23</f>
        <v/>
      </c>
      <c r="D22" s="44">
        <f>D15*D8*(1-ASSUMPTIONS!$C$20)+D15*ASSUMPTIONS!$C$21-D15*ASSUMPTIONS!$C$22-(D15-D14)*ASSUMPTIONS!$C$23</f>
        <v/>
      </c>
      <c r="E22" s="44">
        <f>E15*E8*(1-ASSUMPTIONS!$C$20)+E15*ASSUMPTIONS!$C$21-E15*ASSUMPTIONS!$C$22-(E15-E14)*ASSUMPTIONS!$C$23</f>
        <v/>
      </c>
      <c r="F22" s="4" t="n"/>
      <c r="G22" s="4" t="n"/>
      <c r="H22" s="75">
        <f>_xlfn.NORM.INV(RAND(),AVERAGE(ASSUMPTIONS!$C$38,ASSUMPTIONS!$C$39,ASSUMPTIONS!$C$40,ASSUMPTIONS!$C$41,ASSUMPTIONS!$C$42),ASSUMPTIONS!$C$68)</f>
        <v/>
      </c>
      <c r="I22" s="75">
        <f>MAX(_xlfn.NORM.INV(RAND(),DCF!$C$11,ASSUMPTIONS!$C$69),K22+0.005)</f>
        <v/>
      </c>
      <c r="J22" s="75">
        <f>_xlfn.NORM.INV(RAND(),ASSUMPTIONS!$C$19,ASSUMPTIONS!$C$70)</f>
        <v/>
      </c>
      <c r="K22" s="75">
        <f>_xlfn.NORM.INV(RAND(),ASSUMPTIONS!$C$43,ASSUMPTIONS!$C$71)</f>
        <v/>
      </c>
      <c r="L22" s="76">
        <f>(((ASSUMPTIONS!$C$18*J22*(1-ASSUMPTIONS!$C$20)+ASSUMPTIONS!$C$18*ASSUMPTIONS!$C$21-ASSUMPTIONS!$C$18*ASSUMPTIONS!$C$22)*(1+H22)*(1-((1+H22)/(1+I22))^5)/(I22-H22))+((ASSUMPTIONS!$C$18*J22*(1-ASSUMPTIONS!$C$20)+ASSUMPTIONS!$C$18*ASSUMPTIONS!$C$21-ASSUMPTIONS!$C$18*ASSUMPTIONS!$C$22)*(1+H22)^5*(1+K22)/(I22-K22)/(1+I22)^5)-DCF!$C$12)/ASSUMPTIONS!$C$7</f>
        <v/>
      </c>
      <c r="M22" s="4" t="n"/>
      <c r="N22" s="69">
        <f>MIN(L7:L2006)+(0.5833333333333334)*(MAX(L7:L2006)-MIN(L7:L2006))</f>
        <v/>
      </c>
      <c r="O22" s="78">
        <f>COUNTIFS(L7:L2006,"&gt;"&amp;N21,L7:L2006,"&lt;="&amp;N22)</f>
        <v/>
      </c>
      <c r="P22" s="4" t="n"/>
      <c r="Q22" s="5" t="inlineStr">
        <is>
          <t>K  E  L  L  Y     P  O  S  I  T  I  O  N     S  I  Z  I  N  G</t>
        </is>
      </c>
      <c r="R22" s="6" t="n"/>
      <c r="S22" s="6" t="n"/>
    </row>
    <row r="23">
      <c r="A23" s="4" t="n"/>
      <c r="B23" s="10" t="inlineStr">
        <is>
          <t xml:space="preserve">  Year 4</t>
        </is>
      </c>
      <c r="C23" s="44">
        <f>C16*C8*(1-ASSUMPTIONS!$C$20)+C16*ASSUMPTIONS!$C$21-C16*ASSUMPTIONS!$C$22-(C16-C15)*ASSUMPTIONS!$C$23</f>
        <v/>
      </c>
      <c r="D23" s="44">
        <f>D16*D8*(1-ASSUMPTIONS!$C$20)+D16*ASSUMPTIONS!$C$21-D16*ASSUMPTIONS!$C$22-(D16-D15)*ASSUMPTIONS!$C$23</f>
        <v/>
      </c>
      <c r="E23" s="44">
        <f>E16*E8*(1-ASSUMPTIONS!$C$20)+E16*ASSUMPTIONS!$C$21-E16*ASSUMPTIONS!$C$22-(E16-E15)*ASSUMPTIONS!$C$23</f>
        <v/>
      </c>
      <c r="F23" s="4" t="n"/>
      <c r="G23" s="4" t="n"/>
      <c r="H23" s="75">
        <f>_xlfn.NORM.INV(RAND(),AVERAGE(ASSUMPTIONS!$C$38,ASSUMPTIONS!$C$39,ASSUMPTIONS!$C$40,ASSUMPTIONS!$C$41,ASSUMPTIONS!$C$42),ASSUMPTIONS!$C$68)</f>
        <v/>
      </c>
      <c r="I23" s="75">
        <f>MAX(_xlfn.NORM.INV(RAND(),DCF!$C$11,ASSUMPTIONS!$C$69),K23+0.005)</f>
        <v/>
      </c>
      <c r="J23" s="75">
        <f>_xlfn.NORM.INV(RAND(),ASSUMPTIONS!$C$19,ASSUMPTIONS!$C$70)</f>
        <v/>
      </c>
      <c r="K23" s="75">
        <f>_xlfn.NORM.INV(RAND(),ASSUMPTIONS!$C$43,ASSUMPTIONS!$C$71)</f>
        <v/>
      </c>
      <c r="L23" s="76">
        <f>(((ASSUMPTIONS!$C$18*J23*(1-ASSUMPTIONS!$C$20)+ASSUMPTIONS!$C$18*ASSUMPTIONS!$C$21-ASSUMPTIONS!$C$18*ASSUMPTIONS!$C$22)*(1+H23)*(1-((1+H23)/(1+I23))^5)/(I23-H23))+((ASSUMPTIONS!$C$18*J23*(1-ASSUMPTIONS!$C$20)+ASSUMPTIONS!$C$18*ASSUMPTIONS!$C$21-ASSUMPTIONS!$C$18*ASSUMPTIONS!$C$22)*(1+H23)^5*(1+K23)/(I23-K23)/(1+I23)^5)-DCF!$C$12)/ASSUMPTIONS!$C$7</f>
        <v/>
      </c>
      <c r="M23" s="4" t="n"/>
      <c r="N23" s="69">
        <f>MIN(L7:L2006)+(0.6666666666666666)*(MAX(L7:L2006)-MIN(L7:L2006))</f>
        <v/>
      </c>
      <c r="O23" s="78">
        <f>COUNTIFS(L7:L2006,"&gt;"&amp;N22,L7:L2006,"&lt;="&amp;N23)</f>
        <v/>
      </c>
      <c r="P23" s="4" t="n"/>
      <c r="Q23" s="10" t="inlineStr">
        <is>
          <t>p = clamp(0.5+MoS,0.10,0.90)</t>
        </is>
      </c>
      <c r="R23" s="42">
        <f>MIN(0.90,MAX(0.10,0.5+DASHBOARD!$C$10))</f>
        <v/>
      </c>
      <c r="S23" s="4" t="n"/>
    </row>
    <row r="24">
      <c r="A24" s="4" t="n"/>
      <c r="B24" s="10" t="inlineStr">
        <is>
          <t xml:space="preserve">  Year 5</t>
        </is>
      </c>
      <c r="C24" s="79">
        <f>C17*C8*(1-ASSUMPTIONS!$C$20)+C17*ASSUMPTIONS!$C$21-C17*ASSUMPTIONS!$C$22-(C17-C16)*ASSUMPTIONS!$C$23</f>
        <v/>
      </c>
      <c r="D24" s="79">
        <f>D17*D8*(1-ASSUMPTIONS!$C$20)+D17*ASSUMPTIONS!$C$21-D17*ASSUMPTIONS!$C$22-(D17-D16)*ASSUMPTIONS!$C$23</f>
        <v/>
      </c>
      <c r="E24" s="79">
        <f>E17*E8*(1-ASSUMPTIONS!$C$20)+E17*ASSUMPTIONS!$C$21-E17*ASSUMPTIONS!$C$22-(E17-E16)*ASSUMPTIONS!$C$23</f>
        <v/>
      </c>
      <c r="F24" s="4" t="n"/>
      <c r="G24" s="4" t="n"/>
      <c r="H24" s="75">
        <f>_xlfn.NORM.INV(RAND(),AVERAGE(ASSUMPTIONS!$C$38,ASSUMPTIONS!$C$39,ASSUMPTIONS!$C$40,ASSUMPTIONS!$C$41,ASSUMPTIONS!$C$42),ASSUMPTIONS!$C$68)</f>
        <v/>
      </c>
      <c r="I24" s="75">
        <f>MAX(_xlfn.NORM.INV(RAND(),DCF!$C$11,ASSUMPTIONS!$C$69),K24+0.005)</f>
        <v/>
      </c>
      <c r="J24" s="75">
        <f>_xlfn.NORM.INV(RAND(),ASSUMPTIONS!$C$19,ASSUMPTIONS!$C$70)</f>
        <v/>
      </c>
      <c r="K24" s="75">
        <f>_xlfn.NORM.INV(RAND(),ASSUMPTIONS!$C$43,ASSUMPTIONS!$C$71)</f>
        <v/>
      </c>
      <c r="L24" s="76">
        <f>(((ASSUMPTIONS!$C$18*J24*(1-ASSUMPTIONS!$C$20)+ASSUMPTIONS!$C$18*ASSUMPTIONS!$C$21-ASSUMPTIONS!$C$18*ASSUMPTIONS!$C$22)*(1+H24)*(1-((1+H24)/(1+I24))^5)/(I24-H24))+((ASSUMPTIONS!$C$18*J24*(1-ASSUMPTIONS!$C$20)+ASSUMPTIONS!$C$18*ASSUMPTIONS!$C$21-ASSUMPTIONS!$C$18*ASSUMPTIONS!$C$22)*(1+H24)^5*(1+K24)/(I24-K24)/(1+I24)^5)-DCF!$C$12)/ASSUMPTIONS!$C$7</f>
        <v/>
      </c>
      <c r="M24" s="4" t="n"/>
      <c r="N24" s="69">
        <f>MIN(L7:L2006)+(0.75)*(MAX(L7:L2006)-MIN(L7:L2006))</f>
        <v/>
      </c>
      <c r="O24" s="78">
        <f>COUNTIFS(L7:L2006,"&gt;"&amp;N23,L7:L2006,"&lt;="&amp;N24)</f>
        <v/>
      </c>
      <c r="P24" s="4" t="n"/>
      <c r="Q24" s="10" t="inlineStr">
        <is>
          <t>b = FV/price - 1 (upside)</t>
        </is>
      </c>
      <c r="R24" s="43">
        <f>DASHBOARD!$C$8/ASSUMPTIONS!$C$6-1</f>
        <v/>
      </c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75">
        <f>_xlfn.NORM.INV(RAND(),AVERAGE(ASSUMPTIONS!$C$38,ASSUMPTIONS!$C$39,ASSUMPTIONS!$C$40,ASSUMPTIONS!$C$41,ASSUMPTIONS!$C$42),ASSUMPTIONS!$C$68)</f>
        <v/>
      </c>
      <c r="I25" s="75">
        <f>MAX(_xlfn.NORM.INV(RAND(),DCF!$C$11,ASSUMPTIONS!$C$69),K25+0.005)</f>
        <v/>
      </c>
      <c r="J25" s="75">
        <f>_xlfn.NORM.INV(RAND(),ASSUMPTIONS!$C$19,ASSUMPTIONS!$C$70)</f>
        <v/>
      </c>
      <c r="K25" s="75">
        <f>_xlfn.NORM.INV(RAND(),ASSUMPTIONS!$C$43,ASSUMPTIONS!$C$71)</f>
        <v/>
      </c>
      <c r="L25" s="76">
        <f>(((ASSUMPTIONS!$C$18*J25*(1-ASSUMPTIONS!$C$20)+ASSUMPTIONS!$C$18*ASSUMPTIONS!$C$21-ASSUMPTIONS!$C$18*ASSUMPTIONS!$C$22)*(1+H25)*(1-((1+H25)/(1+I25))^5)/(I25-H25))+((ASSUMPTIONS!$C$18*J25*(1-ASSUMPTIONS!$C$20)+ASSUMPTIONS!$C$18*ASSUMPTIONS!$C$21-ASSUMPTIONS!$C$18*ASSUMPTIONS!$C$22)*(1+H25)^5*(1+K25)/(I25-K25)/(1+I25)^5)-DCF!$C$12)/ASSUMPTIONS!$C$7</f>
        <v/>
      </c>
      <c r="M25" s="4" t="n"/>
      <c r="N25" s="69">
        <f>MIN(L7:L2006)+(0.8333333333333334)*(MAX(L7:L2006)-MIN(L7:L2006))</f>
        <v/>
      </c>
      <c r="O25" s="78">
        <f>COUNTIFS(L7:L2006,"&gt;"&amp;N24,L7:L2006,"&lt;="&amp;N25)</f>
        <v/>
      </c>
      <c r="P25" s="4" t="n"/>
      <c r="Q25" s="10" t="inlineStr">
        <is>
          <t>L = downside loss</t>
        </is>
      </c>
      <c r="R25" s="43">
        <f>ASSUMPTIONS!$C$72</f>
        <v/>
      </c>
      <c r="S25" s="4" t="n"/>
    </row>
    <row r="26">
      <c r="A26" s="4" t="n"/>
      <c r="B26" s="10" t="inlineStr">
        <is>
          <t>Sum PV(FCFF)</t>
        </is>
      </c>
      <c r="C26" s="44">
        <f>C20/(1+C9)^1+C21/(1+C9)^2+C22/(1+C9)^3+C23/(1+C9)^4+C24/(1+C9)^5</f>
        <v/>
      </c>
      <c r="D26" s="44">
        <f>D20/(1+D9)^1+D21/(1+D9)^2+D22/(1+D9)^3+D23/(1+D9)^4+D24/(1+D9)^5</f>
        <v/>
      </c>
      <c r="E26" s="44">
        <f>E20/(1+E9)^1+E21/(1+E9)^2+E22/(1+E9)^3+E23/(1+E9)^4+E24/(1+E9)^5</f>
        <v/>
      </c>
      <c r="F26" s="4" t="n"/>
      <c r="G26" s="4" t="n"/>
      <c r="H26" s="75">
        <f>_xlfn.NORM.INV(RAND(),AVERAGE(ASSUMPTIONS!$C$38,ASSUMPTIONS!$C$39,ASSUMPTIONS!$C$40,ASSUMPTIONS!$C$41,ASSUMPTIONS!$C$42),ASSUMPTIONS!$C$68)</f>
        <v/>
      </c>
      <c r="I26" s="75">
        <f>MAX(_xlfn.NORM.INV(RAND(),DCF!$C$11,ASSUMPTIONS!$C$69),K26+0.005)</f>
        <v/>
      </c>
      <c r="J26" s="75">
        <f>_xlfn.NORM.INV(RAND(),ASSUMPTIONS!$C$19,ASSUMPTIONS!$C$70)</f>
        <v/>
      </c>
      <c r="K26" s="75">
        <f>_xlfn.NORM.INV(RAND(),ASSUMPTIONS!$C$43,ASSUMPTIONS!$C$71)</f>
        <v/>
      </c>
      <c r="L26" s="76">
        <f>(((ASSUMPTIONS!$C$18*J26*(1-ASSUMPTIONS!$C$20)+ASSUMPTIONS!$C$18*ASSUMPTIONS!$C$21-ASSUMPTIONS!$C$18*ASSUMPTIONS!$C$22)*(1+H26)*(1-((1+H26)/(1+I26))^5)/(I26-H26))+((ASSUMPTIONS!$C$18*J26*(1-ASSUMPTIONS!$C$20)+ASSUMPTIONS!$C$18*ASSUMPTIONS!$C$21-ASSUMPTIONS!$C$18*ASSUMPTIONS!$C$22)*(1+H26)^5*(1+K26)/(I26-K26)/(1+I26)^5)-DCF!$C$12)/ASSUMPTIONS!$C$7</f>
        <v/>
      </c>
      <c r="M26" s="4" t="n"/>
      <c r="N26" s="69">
        <f>MIN(L7:L2006)+(0.9166666666666666)*(MAX(L7:L2006)-MIN(L7:L2006))</f>
        <v/>
      </c>
      <c r="O26" s="78">
        <f>COUNTIFS(L7:L2006,"&gt;"&amp;N25,L7:L2006,"&lt;="&amp;N26)</f>
        <v/>
      </c>
      <c r="P26" s="4" t="n"/>
      <c r="Q26" s="10" t="inlineStr">
        <is>
          <t>f* = (p*b-(1-p)*L)/(b*L)</t>
        </is>
      </c>
      <c r="R26" s="26">
        <f>IF(R24*R25=0,0,(R23*R24-(1-R23)*R25)/(R24*R25))</f>
        <v/>
      </c>
      <c r="S26" s="80" t="inlineStr">
        <is>
          <t>raw f*</t>
        </is>
      </c>
    </row>
    <row r="27">
      <c r="A27" s="4" t="n"/>
      <c r="B27" s="10" t="inlineStr">
        <is>
          <t>EBITDA Year 5</t>
        </is>
      </c>
      <c r="C27" s="52">
        <f>C17*(C8+ASSUMPTIONS!$C$21)</f>
        <v/>
      </c>
      <c r="D27" s="52">
        <f>D17*(D8+ASSUMPTIONS!$C$21)</f>
        <v/>
      </c>
      <c r="E27" s="52">
        <f>E17*(E8+ASSUMPTIONS!$C$21)</f>
        <v/>
      </c>
      <c r="F27" s="4" t="n"/>
      <c r="G27" s="4" t="n"/>
      <c r="H27" s="75">
        <f>_xlfn.NORM.INV(RAND(),AVERAGE(ASSUMPTIONS!$C$38,ASSUMPTIONS!$C$39,ASSUMPTIONS!$C$40,ASSUMPTIONS!$C$41,ASSUMPTIONS!$C$42),ASSUMPTIONS!$C$68)</f>
        <v/>
      </c>
      <c r="I27" s="75">
        <f>MAX(_xlfn.NORM.INV(RAND(),DCF!$C$11,ASSUMPTIONS!$C$69),K27+0.005)</f>
        <v/>
      </c>
      <c r="J27" s="75">
        <f>_xlfn.NORM.INV(RAND(),ASSUMPTIONS!$C$19,ASSUMPTIONS!$C$70)</f>
        <v/>
      </c>
      <c r="K27" s="75">
        <f>_xlfn.NORM.INV(RAND(),ASSUMPTIONS!$C$43,ASSUMPTIONS!$C$71)</f>
        <v/>
      </c>
      <c r="L27" s="76">
        <f>(((ASSUMPTIONS!$C$18*J27*(1-ASSUMPTIONS!$C$20)+ASSUMPTIONS!$C$18*ASSUMPTIONS!$C$21-ASSUMPTIONS!$C$18*ASSUMPTIONS!$C$22)*(1+H27)*(1-((1+H27)/(1+I27))^5)/(I27-H27))+((ASSUMPTIONS!$C$18*J27*(1-ASSUMPTIONS!$C$20)+ASSUMPTIONS!$C$18*ASSUMPTIONS!$C$21-ASSUMPTIONS!$C$18*ASSUMPTIONS!$C$22)*(1+H27)^5*(1+K27)/(I27-K27)/(1+I27)^5)-DCF!$C$12)/ASSUMPTIONS!$C$7</f>
        <v/>
      </c>
      <c r="M27" s="4" t="n"/>
      <c r="N27" s="69">
        <f>MIN(L7:L2006)+(1.0)*(MAX(L7:L2006)-MIN(L7:L2006))</f>
        <v/>
      </c>
      <c r="O27" s="78">
        <f>COUNTIFS(L7:L2006,"&gt;"&amp;N26,L7:L2006,"&lt;="&amp;N27)</f>
        <v/>
      </c>
      <c r="P27" s="4" t="n"/>
      <c r="Q27" s="10" t="inlineStr">
        <is>
          <t>Half-Kelly = f*/2  -&gt;  capped 25%</t>
        </is>
      </c>
      <c r="R27" s="29">
        <f>MIN(0.25,MAX(0,R26/2))</f>
        <v/>
      </c>
      <c r="S27" s="22">
        <f>MAX(0,R26/2)</f>
        <v/>
      </c>
    </row>
    <row r="28">
      <c r="A28" s="4" t="n"/>
      <c r="B28" s="10" t="inlineStr">
        <is>
          <t>Terminal - Gordon</t>
        </is>
      </c>
      <c r="C28" s="52">
        <f>IF(C9&lt;=ASSUMPTIONS!$C$43,0,C24*(1+ASSUMPTIONS!$C$43)/(C9-ASSUMPTIONS!$C$43))</f>
        <v/>
      </c>
      <c r="D28" s="52">
        <f>IF(D9&lt;=ASSUMPTIONS!$C$43,0,D24*(1+ASSUMPTIONS!$C$43)/(D9-ASSUMPTIONS!$C$43))</f>
        <v/>
      </c>
      <c r="E28" s="52">
        <f>IF(E9&lt;=ASSUMPTIONS!$C$43,0,E24*(1+ASSUMPTIONS!$C$43)/(E9-ASSUMPTIONS!$C$43))</f>
        <v/>
      </c>
      <c r="F28" s="4" t="n"/>
      <c r="G28" s="4" t="n"/>
      <c r="H28" s="75">
        <f>_xlfn.NORM.INV(RAND(),AVERAGE(ASSUMPTIONS!$C$38,ASSUMPTIONS!$C$39,ASSUMPTIONS!$C$40,ASSUMPTIONS!$C$41,ASSUMPTIONS!$C$42),ASSUMPTIONS!$C$68)</f>
        <v/>
      </c>
      <c r="I28" s="75">
        <f>MAX(_xlfn.NORM.INV(RAND(),DCF!$C$11,ASSUMPTIONS!$C$69),K28+0.005)</f>
        <v/>
      </c>
      <c r="J28" s="75">
        <f>_xlfn.NORM.INV(RAND(),ASSUMPTIONS!$C$19,ASSUMPTIONS!$C$70)</f>
        <v/>
      </c>
      <c r="K28" s="75">
        <f>_xlfn.NORM.INV(RAND(),ASSUMPTIONS!$C$43,ASSUMPTIONS!$C$71)</f>
        <v/>
      </c>
      <c r="L28" s="76">
        <f>(((ASSUMPTIONS!$C$18*J28*(1-ASSUMPTIONS!$C$20)+ASSUMPTIONS!$C$18*ASSUMPTIONS!$C$21-ASSUMPTIONS!$C$18*ASSUMPTIONS!$C$22)*(1+H28)*(1-((1+H28)/(1+I28))^5)/(I28-H28))+((ASSUMPTIONS!$C$18*J28*(1-ASSUMPTIONS!$C$20)+ASSUMPTIONS!$C$18*ASSUMPTIONS!$C$21-ASSUMPTIONS!$C$18*ASSUMPTIONS!$C$22)*(1+H28)^5*(1+K28)/(I28-K28)/(1+I28)^5)-DCF!$C$12)/ASSUMPTIONS!$C$7</f>
        <v/>
      </c>
      <c r="M28" s="4" t="n"/>
      <c r="N28" s="4" t="n"/>
      <c r="O28" s="4" t="n"/>
      <c r="P28" s="4" t="n"/>
      <c r="Q28" s="10" t="inlineStr">
        <is>
          <t>Full Kelly = f*  -&gt;  capped 25%</t>
        </is>
      </c>
      <c r="R28" s="59">
        <f>MIN(0.25,MAX(0,R26))</f>
        <v/>
      </c>
      <c r="S28" s="22">
        <f>MAX(0,R26)</f>
        <v/>
      </c>
    </row>
    <row r="29">
      <c r="A29" s="4" t="n"/>
      <c r="B29" s="10" t="inlineStr">
        <is>
          <t>Terminal - Exit mult</t>
        </is>
      </c>
      <c r="C29" s="52">
        <f>C27*C10</f>
        <v/>
      </c>
      <c r="D29" s="52">
        <f>D27*D10</f>
        <v/>
      </c>
      <c r="E29" s="52">
        <f>E27*E10</f>
        <v/>
      </c>
      <c r="F29" s="4" t="n"/>
      <c r="G29" s="4" t="n"/>
      <c r="H29" s="75">
        <f>_xlfn.NORM.INV(RAND(),AVERAGE(ASSUMPTIONS!$C$38,ASSUMPTIONS!$C$39,ASSUMPTIONS!$C$40,ASSUMPTIONS!$C$41,ASSUMPTIONS!$C$42),ASSUMPTIONS!$C$68)</f>
        <v/>
      </c>
      <c r="I29" s="75">
        <f>MAX(_xlfn.NORM.INV(RAND(),DCF!$C$11,ASSUMPTIONS!$C$69),K29+0.005)</f>
        <v/>
      </c>
      <c r="J29" s="75">
        <f>_xlfn.NORM.INV(RAND(),ASSUMPTIONS!$C$19,ASSUMPTIONS!$C$70)</f>
        <v/>
      </c>
      <c r="K29" s="75">
        <f>_xlfn.NORM.INV(RAND(),ASSUMPTIONS!$C$43,ASSUMPTIONS!$C$71)</f>
        <v/>
      </c>
      <c r="L29" s="76">
        <f>(((ASSUMPTIONS!$C$18*J29*(1-ASSUMPTIONS!$C$20)+ASSUMPTIONS!$C$18*ASSUMPTIONS!$C$21-ASSUMPTIONS!$C$18*ASSUMPTIONS!$C$22)*(1+H29)*(1-((1+H29)/(1+I29))^5)/(I29-H29))+((ASSUMPTIONS!$C$18*J29*(1-ASSUMPTIONS!$C$20)+ASSUMPTIONS!$C$18*ASSUMPTIONS!$C$21-ASSUMPTIONS!$C$18*ASSUMPTIONS!$C$22)*(1+H29)^5*(1+K29)/(I29-K29)/(1+I29)^5)-DCF!$C$12)/ASSUMPTIONS!$C$7</f>
        <v/>
      </c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10" t="inlineStr">
        <is>
          <t>Blended terminal (avg)</t>
        </is>
      </c>
      <c r="C30" s="44">
        <f>AVERAGE(C28,C29)</f>
        <v/>
      </c>
      <c r="D30" s="44">
        <f>AVERAGE(D28,D29)</f>
        <v/>
      </c>
      <c r="E30" s="44">
        <f>AVERAGE(E28,E29)</f>
        <v/>
      </c>
      <c r="F30" s="4" t="n"/>
      <c r="G30" s="4" t="n"/>
      <c r="H30" s="75">
        <f>_xlfn.NORM.INV(RAND(),AVERAGE(ASSUMPTIONS!$C$38,ASSUMPTIONS!$C$39,ASSUMPTIONS!$C$40,ASSUMPTIONS!$C$41,ASSUMPTIONS!$C$42),ASSUMPTIONS!$C$68)</f>
        <v/>
      </c>
      <c r="I30" s="75">
        <f>MAX(_xlfn.NORM.INV(RAND(),DCF!$C$11,ASSUMPTIONS!$C$69),K30+0.005)</f>
        <v/>
      </c>
      <c r="J30" s="75">
        <f>_xlfn.NORM.INV(RAND(),ASSUMPTIONS!$C$19,ASSUMPTIONS!$C$70)</f>
        <v/>
      </c>
      <c r="K30" s="75">
        <f>_xlfn.NORM.INV(RAND(),ASSUMPTIONS!$C$43,ASSUMPTIONS!$C$71)</f>
        <v/>
      </c>
      <c r="L30" s="76">
        <f>(((ASSUMPTIONS!$C$18*J30*(1-ASSUMPTIONS!$C$20)+ASSUMPTIONS!$C$18*ASSUMPTIONS!$C$21-ASSUMPTIONS!$C$18*ASSUMPTIONS!$C$22)*(1+H30)*(1-((1+H30)/(1+I30))^5)/(I30-H30))+((ASSUMPTIONS!$C$18*J30*(1-ASSUMPTIONS!$C$20)+ASSUMPTIONS!$C$18*ASSUMPTIONS!$C$21-ASSUMPTIONS!$C$18*ASSUMPTIONS!$C$22)*(1+H30)^5*(1+K30)/(I30-K30)/(1+I30)^5)-DCF!$C$12)/ASSUMPTIONS!$C$7</f>
        <v/>
      </c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10" t="inlineStr">
        <is>
          <t>PV of terminal</t>
        </is>
      </c>
      <c r="C31" s="44">
        <f>C30/(1+C9)^5</f>
        <v/>
      </c>
      <c r="D31" s="44">
        <f>D30/(1+D9)^5</f>
        <v/>
      </c>
      <c r="E31" s="44">
        <f>E30/(1+E9)^5</f>
        <v/>
      </c>
      <c r="F31" s="4" t="n"/>
      <c r="G31" s="4" t="n"/>
      <c r="H31" s="75">
        <f>_xlfn.NORM.INV(RAND(),AVERAGE(ASSUMPTIONS!$C$38,ASSUMPTIONS!$C$39,ASSUMPTIONS!$C$40,ASSUMPTIONS!$C$41,ASSUMPTIONS!$C$42),ASSUMPTIONS!$C$68)</f>
        <v/>
      </c>
      <c r="I31" s="75">
        <f>MAX(_xlfn.NORM.INV(RAND(),DCF!$C$11,ASSUMPTIONS!$C$69),K31+0.005)</f>
        <v/>
      </c>
      <c r="J31" s="75">
        <f>_xlfn.NORM.INV(RAND(),ASSUMPTIONS!$C$19,ASSUMPTIONS!$C$70)</f>
        <v/>
      </c>
      <c r="K31" s="75">
        <f>_xlfn.NORM.INV(RAND(),ASSUMPTIONS!$C$43,ASSUMPTIONS!$C$71)</f>
        <v/>
      </c>
      <c r="L31" s="76">
        <f>(((ASSUMPTIONS!$C$18*J31*(1-ASSUMPTIONS!$C$20)+ASSUMPTIONS!$C$18*ASSUMPTIONS!$C$21-ASSUMPTIONS!$C$18*ASSUMPTIONS!$C$22)*(1+H31)*(1-((1+H31)/(1+I31))^5)/(I31-H31))+((ASSUMPTIONS!$C$18*J31*(1-ASSUMPTIONS!$C$20)+ASSUMPTIONS!$C$18*ASSUMPTIONS!$C$21-ASSUMPTIONS!$C$18*ASSUMPTIONS!$C$22)*(1+H31)^5*(1+K31)/(I31-K31)/(1+I31)^5)-DCF!$C$12)/ASSUMPTIONS!$C$7</f>
        <v/>
      </c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10" t="inlineStr">
        <is>
          <t>Enterprise value</t>
        </is>
      </c>
      <c r="C32" s="44">
        <f>C26+C31</f>
        <v/>
      </c>
      <c r="D32" s="44">
        <f>D26+D31</f>
        <v/>
      </c>
      <c r="E32" s="44">
        <f>E26+E31</f>
        <v/>
      </c>
      <c r="F32" s="4" t="n"/>
      <c r="G32" s="4" t="n"/>
      <c r="H32" s="75">
        <f>_xlfn.NORM.INV(RAND(),AVERAGE(ASSUMPTIONS!$C$38,ASSUMPTIONS!$C$39,ASSUMPTIONS!$C$40,ASSUMPTIONS!$C$41,ASSUMPTIONS!$C$42),ASSUMPTIONS!$C$68)</f>
        <v/>
      </c>
      <c r="I32" s="75">
        <f>MAX(_xlfn.NORM.INV(RAND(),DCF!$C$11,ASSUMPTIONS!$C$69),K32+0.005)</f>
        <v/>
      </c>
      <c r="J32" s="75">
        <f>_xlfn.NORM.INV(RAND(),ASSUMPTIONS!$C$19,ASSUMPTIONS!$C$70)</f>
        <v/>
      </c>
      <c r="K32" s="75">
        <f>_xlfn.NORM.INV(RAND(),ASSUMPTIONS!$C$43,ASSUMPTIONS!$C$71)</f>
        <v/>
      </c>
      <c r="L32" s="76">
        <f>(((ASSUMPTIONS!$C$18*J32*(1-ASSUMPTIONS!$C$20)+ASSUMPTIONS!$C$18*ASSUMPTIONS!$C$21-ASSUMPTIONS!$C$18*ASSUMPTIONS!$C$22)*(1+H32)*(1-((1+H32)/(1+I32))^5)/(I32-H32))+((ASSUMPTIONS!$C$18*J32*(1-ASSUMPTIONS!$C$20)+ASSUMPTIONS!$C$18*ASSUMPTIONS!$C$21-ASSUMPTIONS!$C$18*ASSUMPTIONS!$C$22)*(1+H32)^5*(1+K32)/(I32-K32)/(1+I32)^5)-DCF!$C$12)/ASSUMPTIONS!$C$7</f>
        <v/>
      </c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10" t="inlineStr">
        <is>
          <t>Equity value</t>
        </is>
      </c>
      <c r="C33" s="44">
        <f>C32-DCF!$C$12</f>
        <v/>
      </c>
      <c r="D33" s="44">
        <f>D32-DCF!$C$12</f>
        <v/>
      </c>
      <c r="E33" s="44">
        <f>E32-DCF!$C$12</f>
        <v/>
      </c>
      <c r="F33" s="4" t="n"/>
      <c r="G33" s="4" t="n"/>
      <c r="H33" s="75">
        <f>_xlfn.NORM.INV(RAND(),AVERAGE(ASSUMPTIONS!$C$38,ASSUMPTIONS!$C$39,ASSUMPTIONS!$C$40,ASSUMPTIONS!$C$41,ASSUMPTIONS!$C$42),ASSUMPTIONS!$C$68)</f>
        <v/>
      </c>
      <c r="I33" s="75">
        <f>MAX(_xlfn.NORM.INV(RAND(),DCF!$C$11,ASSUMPTIONS!$C$69),K33+0.005)</f>
        <v/>
      </c>
      <c r="J33" s="75">
        <f>_xlfn.NORM.INV(RAND(),ASSUMPTIONS!$C$19,ASSUMPTIONS!$C$70)</f>
        <v/>
      </c>
      <c r="K33" s="75">
        <f>_xlfn.NORM.INV(RAND(),ASSUMPTIONS!$C$43,ASSUMPTIONS!$C$71)</f>
        <v/>
      </c>
      <c r="L33" s="76">
        <f>(((ASSUMPTIONS!$C$18*J33*(1-ASSUMPTIONS!$C$20)+ASSUMPTIONS!$C$18*ASSUMPTIONS!$C$21-ASSUMPTIONS!$C$18*ASSUMPTIONS!$C$22)*(1+H33)*(1-((1+H33)/(1+I33))^5)/(I33-H33))+((ASSUMPTIONS!$C$18*J33*(1-ASSUMPTIONS!$C$20)+ASSUMPTIONS!$C$18*ASSUMPTIONS!$C$21-ASSUMPTIONS!$C$18*ASSUMPTIONS!$C$22)*(1+H33)^5*(1+K33)/(I33-K33)/(1+I33)^5)-DCF!$C$12)/ASSUMPTIONS!$C$7</f>
        <v/>
      </c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7" t="inlineStr">
        <is>
          <t>Fair value $/sh</t>
        </is>
      </c>
      <c r="C34" s="81">
        <f>C33/ASSUMPTIONS!$C$7</f>
        <v/>
      </c>
      <c r="D34" s="14">
        <f>D33/ASSUMPTIONS!$C$7</f>
        <v/>
      </c>
      <c r="E34" s="82">
        <f>E33/ASSUMPTIONS!$C$7</f>
        <v/>
      </c>
      <c r="F34" s="4" t="n"/>
      <c r="G34" s="4" t="n"/>
      <c r="H34" s="75">
        <f>_xlfn.NORM.INV(RAND(),AVERAGE(ASSUMPTIONS!$C$38,ASSUMPTIONS!$C$39,ASSUMPTIONS!$C$40,ASSUMPTIONS!$C$41,ASSUMPTIONS!$C$42),ASSUMPTIONS!$C$68)</f>
        <v/>
      </c>
      <c r="I34" s="75">
        <f>MAX(_xlfn.NORM.INV(RAND(),DCF!$C$11,ASSUMPTIONS!$C$69),K34+0.005)</f>
        <v/>
      </c>
      <c r="J34" s="75">
        <f>_xlfn.NORM.INV(RAND(),ASSUMPTIONS!$C$19,ASSUMPTIONS!$C$70)</f>
        <v/>
      </c>
      <c r="K34" s="75">
        <f>_xlfn.NORM.INV(RAND(),ASSUMPTIONS!$C$43,ASSUMPTIONS!$C$71)</f>
        <v/>
      </c>
      <c r="L34" s="76">
        <f>(((ASSUMPTIONS!$C$18*J34*(1-ASSUMPTIONS!$C$20)+ASSUMPTIONS!$C$18*ASSUMPTIONS!$C$21-ASSUMPTIONS!$C$18*ASSUMPTIONS!$C$22)*(1+H34)*(1-((1+H34)/(1+I34))^5)/(I34-H34))+((ASSUMPTIONS!$C$18*J34*(1-ASSUMPTIONS!$C$20)+ASSUMPTIONS!$C$18*ASSUMPTIONS!$C$21-ASSUMPTIONS!$C$18*ASSUMPTIONS!$C$22)*(1+H34)^5*(1+K34)/(I34-K34)/(1+I34)^5)-DCF!$C$12)/ASSUMPTIONS!$C$7</f>
        <v/>
      </c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10" t="inlineStr">
        <is>
          <t>Probability</t>
        </is>
      </c>
      <c r="C35" s="22">
        <f>ASSUMPTIONS!$C$63</f>
        <v/>
      </c>
      <c r="D35" s="22">
        <f>ASSUMPTIONS!$C$64</f>
        <v/>
      </c>
      <c r="E35" s="22">
        <f>ASSUMPTIONS!$C$65</f>
        <v/>
      </c>
      <c r="F35" s="4" t="n"/>
      <c r="G35" s="4" t="n"/>
      <c r="H35" s="75">
        <f>_xlfn.NORM.INV(RAND(),AVERAGE(ASSUMPTIONS!$C$38,ASSUMPTIONS!$C$39,ASSUMPTIONS!$C$40,ASSUMPTIONS!$C$41,ASSUMPTIONS!$C$42),ASSUMPTIONS!$C$68)</f>
        <v/>
      </c>
      <c r="I35" s="75">
        <f>MAX(_xlfn.NORM.INV(RAND(),DCF!$C$11,ASSUMPTIONS!$C$69),K35+0.005)</f>
        <v/>
      </c>
      <c r="J35" s="75">
        <f>_xlfn.NORM.INV(RAND(),ASSUMPTIONS!$C$19,ASSUMPTIONS!$C$70)</f>
        <v/>
      </c>
      <c r="K35" s="75">
        <f>_xlfn.NORM.INV(RAND(),ASSUMPTIONS!$C$43,ASSUMPTIONS!$C$71)</f>
        <v/>
      </c>
      <c r="L35" s="76">
        <f>(((ASSUMPTIONS!$C$18*J35*(1-ASSUMPTIONS!$C$20)+ASSUMPTIONS!$C$18*ASSUMPTIONS!$C$21-ASSUMPTIONS!$C$18*ASSUMPTIONS!$C$22)*(1+H35)*(1-((1+H35)/(1+I35))^5)/(I35-H35))+((ASSUMPTIONS!$C$18*J35*(1-ASSUMPTIONS!$C$20)+ASSUMPTIONS!$C$18*ASSUMPTIONS!$C$21-ASSUMPTIONS!$C$18*ASSUMPTIONS!$C$22)*(1+H35)^5*(1+K35)/(I35-K35)/(1+I35)^5)-DCF!$C$12)/ASSUMPTIONS!$C$7</f>
        <v/>
      </c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7" t="inlineStr">
        <is>
          <t>Prob-weighted fair value</t>
        </is>
      </c>
      <c r="C36" s="14">
        <f>C34*C35+D34*D35+E34*E35</f>
        <v/>
      </c>
      <c r="D36" s="4" t="n"/>
      <c r="E36" s="4" t="n"/>
      <c r="F36" s="4" t="n"/>
      <c r="G36" s="4" t="n"/>
      <c r="H36" s="75">
        <f>_xlfn.NORM.INV(RAND(),AVERAGE(ASSUMPTIONS!$C$38,ASSUMPTIONS!$C$39,ASSUMPTIONS!$C$40,ASSUMPTIONS!$C$41,ASSUMPTIONS!$C$42),ASSUMPTIONS!$C$68)</f>
        <v/>
      </c>
      <c r="I36" s="75">
        <f>MAX(_xlfn.NORM.INV(RAND(),DCF!$C$11,ASSUMPTIONS!$C$69),K36+0.005)</f>
        <v/>
      </c>
      <c r="J36" s="75">
        <f>_xlfn.NORM.INV(RAND(),ASSUMPTIONS!$C$19,ASSUMPTIONS!$C$70)</f>
        <v/>
      </c>
      <c r="K36" s="75">
        <f>_xlfn.NORM.INV(RAND(),ASSUMPTIONS!$C$43,ASSUMPTIONS!$C$71)</f>
        <v/>
      </c>
      <c r="L36" s="76">
        <f>(((ASSUMPTIONS!$C$18*J36*(1-ASSUMPTIONS!$C$20)+ASSUMPTIONS!$C$18*ASSUMPTIONS!$C$21-ASSUMPTIONS!$C$18*ASSUMPTIONS!$C$22)*(1+H36)*(1-((1+H36)/(1+I36))^5)/(I36-H36))+((ASSUMPTIONS!$C$18*J36*(1-ASSUMPTIONS!$C$20)+ASSUMPTIONS!$C$18*ASSUMPTIONS!$C$21-ASSUMPTIONS!$C$18*ASSUMPTIONS!$C$22)*(1+H36)^5*(1+K36)/(I36-K36)/(1+I36)^5)-DCF!$C$12)/ASSUMPTIONS!$C$7</f>
        <v/>
      </c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75">
        <f>_xlfn.NORM.INV(RAND(),AVERAGE(ASSUMPTIONS!$C$38,ASSUMPTIONS!$C$39,ASSUMPTIONS!$C$40,ASSUMPTIONS!$C$41,ASSUMPTIONS!$C$42),ASSUMPTIONS!$C$68)</f>
        <v/>
      </c>
      <c r="I37" s="75">
        <f>MAX(_xlfn.NORM.INV(RAND(),DCF!$C$11,ASSUMPTIONS!$C$69),K37+0.005)</f>
        <v/>
      </c>
      <c r="J37" s="75">
        <f>_xlfn.NORM.INV(RAND(),ASSUMPTIONS!$C$19,ASSUMPTIONS!$C$70)</f>
        <v/>
      </c>
      <c r="K37" s="75">
        <f>_xlfn.NORM.INV(RAND(),ASSUMPTIONS!$C$43,ASSUMPTIONS!$C$71)</f>
        <v/>
      </c>
      <c r="L37" s="76">
        <f>(((ASSUMPTIONS!$C$18*J37*(1-ASSUMPTIONS!$C$20)+ASSUMPTIONS!$C$18*ASSUMPTIONS!$C$21-ASSUMPTIONS!$C$18*ASSUMPTIONS!$C$22)*(1+H37)*(1-((1+H37)/(1+I37))^5)/(I37-H37))+((ASSUMPTIONS!$C$18*J37*(1-ASSUMPTIONS!$C$20)+ASSUMPTIONS!$C$18*ASSUMPTIONS!$C$21-ASSUMPTIONS!$C$18*ASSUMPTIONS!$C$22)*(1+H37)^5*(1+K37)/(I37-K37)/(1+I37)^5)-DCF!$C$12)/ASSUMPTIONS!$C$7</f>
        <v/>
      </c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75">
        <f>_xlfn.NORM.INV(RAND(),AVERAGE(ASSUMPTIONS!$C$38,ASSUMPTIONS!$C$39,ASSUMPTIONS!$C$40,ASSUMPTIONS!$C$41,ASSUMPTIONS!$C$42),ASSUMPTIONS!$C$68)</f>
        <v/>
      </c>
      <c r="I38" s="75">
        <f>MAX(_xlfn.NORM.INV(RAND(),DCF!$C$11,ASSUMPTIONS!$C$69),K38+0.005)</f>
        <v/>
      </c>
      <c r="J38" s="75">
        <f>_xlfn.NORM.INV(RAND(),ASSUMPTIONS!$C$19,ASSUMPTIONS!$C$70)</f>
        <v/>
      </c>
      <c r="K38" s="75">
        <f>_xlfn.NORM.INV(RAND(),ASSUMPTIONS!$C$43,ASSUMPTIONS!$C$71)</f>
        <v/>
      </c>
      <c r="L38" s="76">
        <f>(((ASSUMPTIONS!$C$18*J38*(1-ASSUMPTIONS!$C$20)+ASSUMPTIONS!$C$18*ASSUMPTIONS!$C$21-ASSUMPTIONS!$C$18*ASSUMPTIONS!$C$22)*(1+H38)*(1-((1+H38)/(1+I38))^5)/(I38-H38))+((ASSUMPTIONS!$C$18*J38*(1-ASSUMPTIONS!$C$20)+ASSUMPTIONS!$C$18*ASSUMPTIONS!$C$21-ASSUMPTIONS!$C$18*ASSUMPTIONS!$C$22)*(1+H38)^5*(1+K38)/(I38-K38)/(1+I38)^5)-DCF!$C$12)/ASSUMPTIONS!$C$7</f>
        <v/>
      </c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75">
        <f>_xlfn.NORM.INV(RAND(),AVERAGE(ASSUMPTIONS!$C$38,ASSUMPTIONS!$C$39,ASSUMPTIONS!$C$40,ASSUMPTIONS!$C$41,ASSUMPTIONS!$C$42),ASSUMPTIONS!$C$68)</f>
        <v/>
      </c>
      <c r="I39" s="75">
        <f>MAX(_xlfn.NORM.INV(RAND(),DCF!$C$11,ASSUMPTIONS!$C$69),K39+0.005)</f>
        <v/>
      </c>
      <c r="J39" s="75">
        <f>_xlfn.NORM.INV(RAND(),ASSUMPTIONS!$C$19,ASSUMPTIONS!$C$70)</f>
        <v/>
      </c>
      <c r="K39" s="75">
        <f>_xlfn.NORM.INV(RAND(),ASSUMPTIONS!$C$43,ASSUMPTIONS!$C$71)</f>
        <v/>
      </c>
      <c r="L39" s="76">
        <f>(((ASSUMPTIONS!$C$18*J39*(1-ASSUMPTIONS!$C$20)+ASSUMPTIONS!$C$18*ASSUMPTIONS!$C$21-ASSUMPTIONS!$C$18*ASSUMPTIONS!$C$22)*(1+H39)*(1-((1+H39)/(1+I39))^5)/(I39-H39))+((ASSUMPTIONS!$C$18*J39*(1-ASSUMPTIONS!$C$20)+ASSUMPTIONS!$C$18*ASSUMPTIONS!$C$21-ASSUMPTIONS!$C$18*ASSUMPTIONS!$C$22)*(1+H39)^5*(1+K39)/(I39-K39)/(1+I39)^5)-DCF!$C$12)/ASSUMPTIONS!$C$7</f>
        <v/>
      </c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75">
        <f>_xlfn.NORM.INV(RAND(),AVERAGE(ASSUMPTIONS!$C$38,ASSUMPTIONS!$C$39,ASSUMPTIONS!$C$40,ASSUMPTIONS!$C$41,ASSUMPTIONS!$C$42),ASSUMPTIONS!$C$68)</f>
        <v/>
      </c>
      <c r="I40" s="75">
        <f>MAX(_xlfn.NORM.INV(RAND(),DCF!$C$11,ASSUMPTIONS!$C$69),K40+0.005)</f>
        <v/>
      </c>
      <c r="J40" s="75">
        <f>_xlfn.NORM.INV(RAND(),ASSUMPTIONS!$C$19,ASSUMPTIONS!$C$70)</f>
        <v/>
      </c>
      <c r="K40" s="75">
        <f>_xlfn.NORM.INV(RAND(),ASSUMPTIONS!$C$43,ASSUMPTIONS!$C$71)</f>
        <v/>
      </c>
      <c r="L40" s="76">
        <f>(((ASSUMPTIONS!$C$18*J40*(1-ASSUMPTIONS!$C$20)+ASSUMPTIONS!$C$18*ASSUMPTIONS!$C$21-ASSUMPTIONS!$C$18*ASSUMPTIONS!$C$22)*(1+H40)*(1-((1+H40)/(1+I40))^5)/(I40-H40))+((ASSUMPTIONS!$C$18*J40*(1-ASSUMPTIONS!$C$20)+ASSUMPTIONS!$C$18*ASSUMPTIONS!$C$21-ASSUMPTIONS!$C$18*ASSUMPTIONS!$C$22)*(1+H40)^5*(1+K40)/(I40-K40)/(1+I40)^5)-DCF!$C$12)/ASSUMPTIONS!$C$7</f>
        <v/>
      </c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75">
        <f>_xlfn.NORM.INV(RAND(),AVERAGE(ASSUMPTIONS!$C$38,ASSUMPTIONS!$C$39,ASSUMPTIONS!$C$40,ASSUMPTIONS!$C$41,ASSUMPTIONS!$C$42),ASSUMPTIONS!$C$68)</f>
        <v/>
      </c>
      <c r="I41" s="75">
        <f>MAX(_xlfn.NORM.INV(RAND(),DCF!$C$11,ASSUMPTIONS!$C$69),K41+0.005)</f>
        <v/>
      </c>
      <c r="J41" s="75">
        <f>_xlfn.NORM.INV(RAND(),ASSUMPTIONS!$C$19,ASSUMPTIONS!$C$70)</f>
        <v/>
      </c>
      <c r="K41" s="75">
        <f>_xlfn.NORM.INV(RAND(),ASSUMPTIONS!$C$43,ASSUMPTIONS!$C$71)</f>
        <v/>
      </c>
      <c r="L41" s="76">
        <f>(((ASSUMPTIONS!$C$18*J41*(1-ASSUMPTIONS!$C$20)+ASSUMPTIONS!$C$18*ASSUMPTIONS!$C$21-ASSUMPTIONS!$C$18*ASSUMPTIONS!$C$22)*(1+H41)*(1-((1+H41)/(1+I41))^5)/(I41-H41))+((ASSUMPTIONS!$C$18*J41*(1-ASSUMPTIONS!$C$20)+ASSUMPTIONS!$C$18*ASSUMPTIONS!$C$21-ASSUMPTIONS!$C$18*ASSUMPTIONS!$C$22)*(1+H41)^5*(1+K41)/(I41-K41)/(1+I41)^5)-DCF!$C$12)/ASSUMPTIONS!$C$7</f>
        <v/>
      </c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75">
        <f>_xlfn.NORM.INV(RAND(),AVERAGE(ASSUMPTIONS!$C$38,ASSUMPTIONS!$C$39,ASSUMPTIONS!$C$40,ASSUMPTIONS!$C$41,ASSUMPTIONS!$C$42),ASSUMPTIONS!$C$68)</f>
        <v/>
      </c>
      <c r="I42" s="75">
        <f>MAX(_xlfn.NORM.INV(RAND(),DCF!$C$11,ASSUMPTIONS!$C$69),K42+0.005)</f>
        <v/>
      </c>
      <c r="J42" s="75">
        <f>_xlfn.NORM.INV(RAND(),ASSUMPTIONS!$C$19,ASSUMPTIONS!$C$70)</f>
        <v/>
      </c>
      <c r="K42" s="75">
        <f>_xlfn.NORM.INV(RAND(),ASSUMPTIONS!$C$43,ASSUMPTIONS!$C$71)</f>
        <v/>
      </c>
      <c r="L42" s="76">
        <f>(((ASSUMPTIONS!$C$18*J42*(1-ASSUMPTIONS!$C$20)+ASSUMPTIONS!$C$18*ASSUMPTIONS!$C$21-ASSUMPTIONS!$C$18*ASSUMPTIONS!$C$22)*(1+H42)*(1-((1+H42)/(1+I42))^5)/(I42-H42))+((ASSUMPTIONS!$C$18*J42*(1-ASSUMPTIONS!$C$20)+ASSUMPTIONS!$C$18*ASSUMPTIONS!$C$21-ASSUMPTIONS!$C$18*ASSUMPTIONS!$C$22)*(1+H42)^5*(1+K42)/(I42-K42)/(1+I42)^5)-DCF!$C$12)/ASSUMPTIONS!$C$7</f>
        <v/>
      </c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75">
        <f>_xlfn.NORM.INV(RAND(),AVERAGE(ASSUMPTIONS!$C$38,ASSUMPTIONS!$C$39,ASSUMPTIONS!$C$40,ASSUMPTIONS!$C$41,ASSUMPTIONS!$C$42),ASSUMPTIONS!$C$68)</f>
        <v/>
      </c>
      <c r="I43" s="75">
        <f>MAX(_xlfn.NORM.INV(RAND(),DCF!$C$11,ASSUMPTIONS!$C$69),K43+0.005)</f>
        <v/>
      </c>
      <c r="J43" s="75">
        <f>_xlfn.NORM.INV(RAND(),ASSUMPTIONS!$C$19,ASSUMPTIONS!$C$70)</f>
        <v/>
      </c>
      <c r="K43" s="75">
        <f>_xlfn.NORM.INV(RAND(),ASSUMPTIONS!$C$43,ASSUMPTIONS!$C$71)</f>
        <v/>
      </c>
      <c r="L43" s="76">
        <f>(((ASSUMPTIONS!$C$18*J43*(1-ASSUMPTIONS!$C$20)+ASSUMPTIONS!$C$18*ASSUMPTIONS!$C$21-ASSUMPTIONS!$C$18*ASSUMPTIONS!$C$22)*(1+H43)*(1-((1+H43)/(1+I43))^5)/(I43-H43))+((ASSUMPTIONS!$C$18*J43*(1-ASSUMPTIONS!$C$20)+ASSUMPTIONS!$C$18*ASSUMPTIONS!$C$21-ASSUMPTIONS!$C$18*ASSUMPTIONS!$C$22)*(1+H43)^5*(1+K43)/(I43-K43)/(1+I43)^5)-DCF!$C$12)/ASSUMPTIONS!$C$7</f>
        <v/>
      </c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75">
        <f>_xlfn.NORM.INV(RAND(),AVERAGE(ASSUMPTIONS!$C$38,ASSUMPTIONS!$C$39,ASSUMPTIONS!$C$40,ASSUMPTIONS!$C$41,ASSUMPTIONS!$C$42),ASSUMPTIONS!$C$68)</f>
        <v/>
      </c>
      <c r="I44" s="75">
        <f>MAX(_xlfn.NORM.INV(RAND(),DCF!$C$11,ASSUMPTIONS!$C$69),K44+0.005)</f>
        <v/>
      </c>
      <c r="J44" s="75">
        <f>_xlfn.NORM.INV(RAND(),ASSUMPTIONS!$C$19,ASSUMPTIONS!$C$70)</f>
        <v/>
      </c>
      <c r="K44" s="75">
        <f>_xlfn.NORM.INV(RAND(),ASSUMPTIONS!$C$43,ASSUMPTIONS!$C$71)</f>
        <v/>
      </c>
      <c r="L44" s="76">
        <f>(((ASSUMPTIONS!$C$18*J44*(1-ASSUMPTIONS!$C$20)+ASSUMPTIONS!$C$18*ASSUMPTIONS!$C$21-ASSUMPTIONS!$C$18*ASSUMPTIONS!$C$22)*(1+H44)*(1-((1+H44)/(1+I44))^5)/(I44-H44))+((ASSUMPTIONS!$C$18*J44*(1-ASSUMPTIONS!$C$20)+ASSUMPTIONS!$C$18*ASSUMPTIONS!$C$21-ASSUMPTIONS!$C$18*ASSUMPTIONS!$C$22)*(1+H44)^5*(1+K44)/(I44-K44)/(1+I44)^5)-DCF!$C$12)/ASSUMPTIONS!$C$7</f>
        <v/>
      </c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75">
        <f>_xlfn.NORM.INV(RAND(),AVERAGE(ASSUMPTIONS!$C$38,ASSUMPTIONS!$C$39,ASSUMPTIONS!$C$40,ASSUMPTIONS!$C$41,ASSUMPTIONS!$C$42),ASSUMPTIONS!$C$68)</f>
        <v/>
      </c>
      <c r="I45" s="75">
        <f>MAX(_xlfn.NORM.INV(RAND(),DCF!$C$11,ASSUMPTIONS!$C$69),K45+0.005)</f>
        <v/>
      </c>
      <c r="J45" s="75">
        <f>_xlfn.NORM.INV(RAND(),ASSUMPTIONS!$C$19,ASSUMPTIONS!$C$70)</f>
        <v/>
      </c>
      <c r="K45" s="75">
        <f>_xlfn.NORM.INV(RAND(),ASSUMPTIONS!$C$43,ASSUMPTIONS!$C$71)</f>
        <v/>
      </c>
      <c r="L45" s="76">
        <f>(((ASSUMPTIONS!$C$18*J45*(1-ASSUMPTIONS!$C$20)+ASSUMPTIONS!$C$18*ASSUMPTIONS!$C$21-ASSUMPTIONS!$C$18*ASSUMPTIONS!$C$22)*(1+H45)*(1-((1+H45)/(1+I45))^5)/(I45-H45))+((ASSUMPTIONS!$C$18*J45*(1-ASSUMPTIONS!$C$20)+ASSUMPTIONS!$C$18*ASSUMPTIONS!$C$21-ASSUMPTIONS!$C$18*ASSUMPTIONS!$C$22)*(1+H45)^5*(1+K45)/(I45-K45)/(1+I45)^5)-DCF!$C$12)/ASSUMPTIONS!$C$7</f>
        <v/>
      </c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75">
        <f>_xlfn.NORM.INV(RAND(),AVERAGE(ASSUMPTIONS!$C$38,ASSUMPTIONS!$C$39,ASSUMPTIONS!$C$40,ASSUMPTIONS!$C$41,ASSUMPTIONS!$C$42),ASSUMPTIONS!$C$68)</f>
        <v/>
      </c>
      <c r="I46" s="75">
        <f>MAX(_xlfn.NORM.INV(RAND(),DCF!$C$11,ASSUMPTIONS!$C$69),K46+0.005)</f>
        <v/>
      </c>
      <c r="J46" s="75">
        <f>_xlfn.NORM.INV(RAND(),ASSUMPTIONS!$C$19,ASSUMPTIONS!$C$70)</f>
        <v/>
      </c>
      <c r="K46" s="75">
        <f>_xlfn.NORM.INV(RAND(),ASSUMPTIONS!$C$43,ASSUMPTIONS!$C$71)</f>
        <v/>
      </c>
      <c r="L46" s="76">
        <f>(((ASSUMPTIONS!$C$18*J46*(1-ASSUMPTIONS!$C$20)+ASSUMPTIONS!$C$18*ASSUMPTIONS!$C$21-ASSUMPTIONS!$C$18*ASSUMPTIONS!$C$22)*(1+H46)*(1-((1+H46)/(1+I46))^5)/(I46-H46))+((ASSUMPTIONS!$C$18*J46*(1-ASSUMPTIONS!$C$20)+ASSUMPTIONS!$C$18*ASSUMPTIONS!$C$21-ASSUMPTIONS!$C$18*ASSUMPTIONS!$C$22)*(1+H46)^5*(1+K46)/(I46-K46)/(1+I46)^5)-DCF!$C$12)/ASSUMPTIONS!$C$7</f>
        <v/>
      </c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75">
        <f>_xlfn.NORM.INV(RAND(),AVERAGE(ASSUMPTIONS!$C$38,ASSUMPTIONS!$C$39,ASSUMPTIONS!$C$40,ASSUMPTIONS!$C$41,ASSUMPTIONS!$C$42),ASSUMPTIONS!$C$68)</f>
        <v/>
      </c>
      <c r="I47" s="75">
        <f>MAX(_xlfn.NORM.INV(RAND(),DCF!$C$11,ASSUMPTIONS!$C$69),K47+0.005)</f>
        <v/>
      </c>
      <c r="J47" s="75">
        <f>_xlfn.NORM.INV(RAND(),ASSUMPTIONS!$C$19,ASSUMPTIONS!$C$70)</f>
        <v/>
      </c>
      <c r="K47" s="75">
        <f>_xlfn.NORM.INV(RAND(),ASSUMPTIONS!$C$43,ASSUMPTIONS!$C$71)</f>
        <v/>
      </c>
      <c r="L47" s="76">
        <f>(((ASSUMPTIONS!$C$18*J47*(1-ASSUMPTIONS!$C$20)+ASSUMPTIONS!$C$18*ASSUMPTIONS!$C$21-ASSUMPTIONS!$C$18*ASSUMPTIONS!$C$22)*(1+H47)*(1-((1+H47)/(1+I47))^5)/(I47-H47))+((ASSUMPTIONS!$C$18*J47*(1-ASSUMPTIONS!$C$20)+ASSUMPTIONS!$C$18*ASSUMPTIONS!$C$21-ASSUMPTIONS!$C$18*ASSUMPTIONS!$C$22)*(1+H47)^5*(1+K47)/(I47-K47)/(1+I47)^5)-DCF!$C$12)/ASSUMPTIONS!$C$7</f>
        <v/>
      </c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75">
        <f>_xlfn.NORM.INV(RAND(),AVERAGE(ASSUMPTIONS!$C$38,ASSUMPTIONS!$C$39,ASSUMPTIONS!$C$40,ASSUMPTIONS!$C$41,ASSUMPTIONS!$C$42),ASSUMPTIONS!$C$68)</f>
        <v/>
      </c>
      <c r="I48" s="75">
        <f>MAX(_xlfn.NORM.INV(RAND(),DCF!$C$11,ASSUMPTIONS!$C$69),K48+0.005)</f>
        <v/>
      </c>
      <c r="J48" s="75">
        <f>_xlfn.NORM.INV(RAND(),ASSUMPTIONS!$C$19,ASSUMPTIONS!$C$70)</f>
        <v/>
      </c>
      <c r="K48" s="75">
        <f>_xlfn.NORM.INV(RAND(),ASSUMPTIONS!$C$43,ASSUMPTIONS!$C$71)</f>
        <v/>
      </c>
      <c r="L48" s="76">
        <f>(((ASSUMPTIONS!$C$18*J48*(1-ASSUMPTIONS!$C$20)+ASSUMPTIONS!$C$18*ASSUMPTIONS!$C$21-ASSUMPTIONS!$C$18*ASSUMPTIONS!$C$22)*(1+H48)*(1-((1+H48)/(1+I48))^5)/(I48-H48))+((ASSUMPTIONS!$C$18*J48*(1-ASSUMPTIONS!$C$20)+ASSUMPTIONS!$C$18*ASSUMPTIONS!$C$21-ASSUMPTIONS!$C$18*ASSUMPTIONS!$C$22)*(1+H48)^5*(1+K48)/(I48-K48)/(1+I48)^5)-DCF!$C$12)/ASSUMPTIONS!$C$7</f>
        <v/>
      </c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75">
        <f>_xlfn.NORM.INV(RAND(),AVERAGE(ASSUMPTIONS!$C$38,ASSUMPTIONS!$C$39,ASSUMPTIONS!$C$40,ASSUMPTIONS!$C$41,ASSUMPTIONS!$C$42),ASSUMPTIONS!$C$68)</f>
        <v/>
      </c>
      <c r="I49" s="75">
        <f>MAX(_xlfn.NORM.INV(RAND(),DCF!$C$11,ASSUMPTIONS!$C$69),K49+0.005)</f>
        <v/>
      </c>
      <c r="J49" s="75">
        <f>_xlfn.NORM.INV(RAND(),ASSUMPTIONS!$C$19,ASSUMPTIONS!$C$70)</f>
        <v/>
      </c>
      <c r="K49" s="75">
        <f>_xlfn.NORM.INV(RAND(),ASSUMPTIONS!$C$43,ASSUMPTIONS!$C$71)</f>
        <v/>
      </c>
      <c r="L49" s="76">
        <f>(((ASSUMPTIONS!$C$18*J49*(1-ASSUMPTIONS!$C$20)+ASSUMPTIONS!$C$18*ASSUMPTIONS!$C$21-ASSUMPTIONS!$C$18*ASSUMPTIONS!$C$22)*(1+H49)*(1-((1+H49)/(1+I49))^5)/(I49-H49))+((ASSUMPTIONS!$C$18*J49*(1-ASSUMPTIONS!$C$20)+ASSUMPTIONS!$C$18*ASSUMPTIONS!$C$21-ASSUMPTIONS!$C$18*ASSUMPTIONS!$C$22)*(1+H49)^5*(1+K49)/(I49-K49)/(1+I49)^5)-DCF!$C$12)/ASSUMPTIONS!$C$7</f>
        <v/>
      </c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75">
        <f>_xlfn.NORM.INV(RAND(),AVERAGE(ASSUMPTIONS!$C$38,ASSUMPTIONS!$C$39,ASSUMPTIONS!$C$40,ASSUMPTIONS!$C$41,ASSUMPTIONS!$C$42),ASSUMPTIONS!$C$68)</f>
        <v/>
      </c>
      <c r="I50" s="75">
        <f>MAX(_xlfn.NORM.INV(RAND(),DCF!$C$11,ASSUMPTIONS!$C$69),K50+0.005)</f>
        <v/>
      </c>
      <c r="J50" s="75">
        <f>_xlfn.NORM.INV(RAND(),ASSUMPTIONS!$C$19,ASSUMPTIONS!$C$70)</f>
        <v/>
      </c>
      <c r="K50" s="75">
        <f>_xlfn.NORM.INV(RAND(),ASSUMPTIONS!$C$43,ASSUMPTIONS!$C$71)</f>
        <v/>
      </c>
      <c r="L50" s="76">
        <f>(((ASSUMPTIONS!$C$18*J50*(1-ASSUMPTIONS!$C$20)+ASSUMPTIONS!$C$18*ASSUMPTIONS!$C$21-ASSUMPTIONS!$C$18*ASSUMPTIONS!$C$22)*(1+H50)*(1-((1+H50)/(1+I50))^5)/(I50-H50))+((ASSUMPTIONS!$C$18*J50*(1-ASSUMPTIONS!$C$20)+ASSUMPTIONS!$C$18*ASSUMPTIONS!$C$21-ASSUMPTIONS!$C$18*ASSUMPTIONS!$C$22)*(1+H50)^5*(1+K50)/(I50-K50)/(1+I50)^5)-DCF!$C$12)/ASSUMPTIONS!$C$7</f>
        <v/>
      </c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75">
        <f>_xlfn.NORM.INV(RAND(),AVERAGE(ASSUMPTIONS!$C$38,ASSUMPTIONS!$C$39,ASSUMPTIONS!$C$40,ASSUMPTIONS!$C$41,ASSUMPTIONS!$C$42),ASSUMPTIONS!$C$68)</f>
        <v/>
      </c>
      <c r="I51" s="75">
        <f>MAX(_xlfn.NORM.INV(RAND(),DCF!$C$11,ASSUMPTIONS!$C$69),K51+0.005)</f>
        <v/>
      </c>
      <c r="J51" s="75">
        <f>_xlfn.NORM.INV(RAND(),ASSUMPTIONS!$C$19,ASSUMPTIONS!$C$70)</f>
        <v/>
      </c>
      <c r="K51" s="75">
        <f>_xlfn.NORM.INV(RAND(),ASSUMPTIONS!$C$43,ASSUMPTIONS!$C$71)</f>
        <v/>
      </c>
      <c r="L51" s="76">
        <f>(((ASSUMPTIONS!$C$18*J51*(1-ASSUMPTIONS!$C$20)+ASSUMPTIONS!$C$18*ASSUMPTIONS!$C$21-ASSUMPTIONS!$C$18*ASSUMPTIONS!$C$22)*(1+H51)*(1-((1+H51)/(1+I51))^5)/(I51-H51))+((ASSUMPTIONS!$C$18*J51*(1-ASSUMPTIONS!$C$20)+ASSUMPTIONS!$C$18*ASSUMPTIONS!$C$21-ASSUMPTIONS!$C$18*ASSUMPTIONS!$C$22)*(1+H51)^5*(1+K51)/(I51-K51)/(1+I51)^5)-DCF!$C$12)/ASSUMPTIONS!$C$7</f>
        <v/>
      </c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75">
        <f>_xlfn.NORM.INV(RAND(),AVERAGE(ASSUMPTIONS!$C$38,ASSUMPTIONS!$C$39,ASSUMPTIONS!$C$40,ASSUMPTIONS!$C$41,ASSUMPTIONS!$C$42),ASSUMPTIONS!$C$68)</f>
        <v/>
      </c>
      <c r="I52" s="75">
        <f>MAX(_xlfn.NORM.INV(RAND(),DCF!$C$11,ASSUMPTIONS!$C$69),K52+0.005)</f>
        <v/>
      </c>
      <c r="J52" s="75">
        <f>_xlfn.NORM.INV(RAND(),ASSUMPTIONS!$C$19,ASSUMPTIONS!$C$70)</f>
        <v/>
      </c>
      <c r="K52" s="75">
        <f>_xlfn.NORM.INV(RAND(),ASSUMPTIONS!$C$43,ASSUMPTIONS!$C$71)</f>
        <v/>
      </c>
      <c r="L52" s="76">
        <f>(((ASSUMPTIONS!$C$18*J52*(1-ASSUMPTIONS!$C$20)+ASSUMPTIONS!$C$18*ASSUMPTIONS!$C$21-ASSUMPTIONS!$C$18*ASSUMPTIONS!$C$22)*(1+H52)*(1-((1+H52)/(1+I52))^5)/(I52-H52))+((ASSUMPTIONS!$C$18*J52*(1-ASSUMPTIONS!$C$20)+ASSUMPTIONS!$C$18*ASSUMPTIONS!$C$21-ASSUMPTIONS!$C$18*ASSUMPTIONS!$C$22)*(1+H52)^5*(1+K52)/(I52-K52)/(1+I52)^5)-DCF!$C$12)/ASSUMPTIONS!$C$7</f>
        <v/>
      </c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75">
        <f>_xlfn.NORM.INV(RAND(),AVERAGE(ASSUMPTIONS!$C$38,ASSUMPTIONS!$C$39,ASSUMPTIONS!$C$40,ASSUMPTIONS!$C$41,ASSUMPTIONS!$C$42),ASSUMPTIONS!$C$68)</f>
        <v/>
      </c>
      <c r="I53" s="75">
        <f>MAX(_xlfn.NORM.INV(RAND(),DCF!$C$11,ASSUMPTIONS!$C$69),K53+0.005)</f>
        <v/>
      </c>
      <c r="J53" s="75">
        <f>_xlfn.NORM.INV(RAND(),ASSUMPTIONS!$C$19,ASSUMPTIONS!$C$70)</f>
        <v/>
      </c>
      <c r="K53" s="75">
        <f>_xlfn.NORM.INV(RAND(),ASSUMPTIONS!$C$43,ASSUMPTIONS!$C$71)</f>
        <v/>
      </c>
      <c r="L53" s="76">
        <f>(((ASSUMPTIONS!$C$18*J53*(1-ASSUMPTIONS!$C$20)+ASSUMPTIONS!$C$18*ASSUMPTIONS!$C$21-ASSUMPTIONS!$C$18*ASSUMPTIONS!$C$22)*(1+H53)*(1-((1+H53)/(1+I53))^5)/(I53-H53))+((ASSUMPTIONS!$C$18*J53*(1-ASSUMPTIONS!$C$20)+ASSUMPTIONS!$C$18*ASSUMPTIONS!$C$21-ASSUMPTIONS!$C$18*ASSUMPTIONS!$C$22)*(1+H53)^5*(1+K53)/(I53-K53)/(1+I53)^5)-DCF!$C$12)/ASSUMPTIONS!$C$7</f>
        <v/>
      </c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75">
        <f>_xlfn.NORM.INV(RAND(),AVERAGE(ASSUMPTIONS!$C$38,ASSUMPTIONS!$C$39,ASSUMPTIONS!$C$40,ASSUMPTIONS!$C$41,ASSUMPTIONS!$C$42),ASSUMPTIONS!$C$68)</f>
        <v/>
      </c>
      <c r="I54" s="75">
        <f>MAX(_xlfn.NORM.INV(RAND(),DCF!$C$11,ASSUMPTIONS!$C$69),K54+0.005)</f>
        <v/>
      </c>
      <c r="J54" s="75">
        <f>_xlfn.NORM.INV(RAND(),ASSUMPTIONS!$C$19,ASSUMPTIONS!$C$70)</f>
        <v/>
      </c>
      <c r="K54" s="75">
        <f>_xlfn.NORM.INV(RAND(),ASSUMPTIONS!$C$43,ASSUMPTIONS!$C$71)</f>
        <v/>
      </c>
      <c r="L54" s="76">
        <f>(((ASSUMPTIONS!$C$18*J54*(1-ASSUMPTIONS!$C$20)+ASSUMPTIONS!$C$18*ASSUMPTIONS!$C$21-ASSUMPTIONS!$C$18*ASSUMPTIONS!$C$22)*(1+H54)*(1-((1+H54)/(1+I54))^5)/(I54-H54))+((ASSUMPTIONS!$C$18*J54*(1-ASSUMPTIONS!$C$20)+ASSUMPTIONS!$C$18*ASSUMPTIONS!$C$21-ASSUMPTIONS!$C$18*ASSUMPTIONS!$C$22)*(1+H54)^5*(1+K54)/(I54-K54)/(1+I54)^5)-DCF!$C$12)/ASSUMPTIONS!$C$7</f>
        <v/>
      </c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75">
        <f>_xlfn.NORM.INV(RAND(),AVERAGE(ASSUMPTIONS!$C$38,ASSUMPTIONS!$C$39,ASSUMPTIONS!$C$40,ASSUMPTIONS!$C$41,ASSUMPTIONS!$C$42),ASSUMPTIONS!$C$68)</f>
        <v/>
      </c>
      <c r="I55" s="75">
        <f>MAX(_xlfn.NORM.INV(RAND(),DCF!$C$11,ASSUMPTIONS!$C$69),K55+0.005)</f>
        <v/>
      </c>
      <c r="J55" s="75">
        <f>_xlfn.NORM.INV(RAND(),ASSUMPTIONS!$C$19,ASSUMPTIONS!$C$70)</f>
        <v/>
      </c>
      <c r="K55" s="75">
        <f>_xlfn.NORM.INV(RAND(),ASSUMPTIONS!$C$43,ASSUMPTIONS!$C$71)</f>
        <v/>
      </c>
      <c r="L55" s="76">
        <f>(((ASSUMPTIONS!$C$18*J55*(1-ASSUMPTIONS!$C$20)+ASSUMPTIONS!$C$18*ASSUMPTIONS!$C$21-ASSUMPTIONS!$C$18*ASSUMPTIONS!$C$22)*(1+H55)*(1-((1+H55)/(1+I55))^5)/(I55-H55))+((ASSUMPTIONS!$C$18*J55*(1-ASSUMPTIONS!$C$20)+ASSUMPTIONS!$C$18*ASSUMPTIONS!$C$21-ASSUMPTIONS!$C$18*ASSUMPTIONS!$C$22)*(1+H55)^5*(1+K55)/(I55-K55)/(1+I55)^5)-DCF!$C$12)/ASSUMPTIONS!$C$7</f>
        <v/>
      </c>
      <c r="M55" s="4" t="n"/>
      <c r="N55" s="4" t="n"/>
      <c r="O55" s="4" t="n"/>
      <c r="P55" s="4" t="n"/>
      <c r="Q55" s="4" t="n"/>
      <c r="R55" s="4" t="n"/>
      <c r="S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75">
        <f>_xlfn.NORM.INV(RAND(),AVERAGE(ASSUMPTIONS!$C$38,ASSUMPTIONS!$C$39,ASSUMPTIONS!$C$40,ASSUMPTIONS!$C$41,ASSUMPTIONS!$C$42),ASSUMPTIONS!$C$68)</f>
        <v/>
      </c>
      <c r="I56" s="75">
        <f>MAX(_xlfn.NORM.INV(RAND(),DCF!$C$11,ASSUMPTIONS!$C$69),K56+0.005)</f>
        <v/>
      </c>
      <c r="J56" s="75">
        <f>_xlfn.NORM.INV(RAND(),ASSUMPTIONS!$C$19,ASSUMPTIONS!$C$70)</f>
        <v/>
      </c>
      <c r="K56" s="75">
        <f>_xlfn.NORM.INV(RAND(),ASSUMPTIONS!$C$43,ASSUMPTIONS!$C$71)</f>
        <v/>
      </c>
      <c r="L56" s="76">
        <f>(((ASSUMPTIONS!$C$18*J56*(1-ASSUMPTIONS!$C$20)+ASSUMPTIONS!$C$18*ASSUMPTIONS!$C$21-ASSUMPTIONS!$C$18*ASSUMPTIONS!$C$22)*(1+H56)*(1-((1+H56)/(1+I56))^5)/(I56-H56))+((ASSUMPTIONS!$C$18*J56*(1-ASSUMPTIONS!$C$20)+ASSUMPTIONS!$C$18*ASSUMPTIONS!$C$21-ASSUMPTIONS!$C$18*ASSUMPTIONS!$C$22)*(1+H56)^5*(1+K56)/(I56-K56)/(1+I56)^5)-DCF!$C$12)/ASSUMPTIONS!$C$7</f>
        <v/>
      </c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75">
        <f>_xlfn.NORM.INV(RAND(),AVERAGE(ASSUMPTIONS!$C$38,ASSUMPTIONS!$C$39,ASSUMPTIONS!$C$40,ASSUMPTIONS!$C$41,ASSUMPTIONS!$C$42),ASSUMPTIONS!$C$68)</f>
        <v/>
      </c>
      <c r="I57" s="75">
        <f>MAX(_xlfn.NORM.INV(RAND(),DCF!$C$11,ASSUMPTIONS!$C$69),K57+0.005)</f>
        <v/>
      </c>
      <c r="J57" s="75">
        <f>_xlfn.NORM.INV(RAND(),ASSUMPTIONS!$C$19,ASSUMPTIONS!$C$70)</f>
        <v/>
      </c>
      <c r="K57" s="75">
        <f>_xlfn.NORM.INV(RAND(),ASSUMPTIONS!$C$43,ASSUMPTIONS!$C$71)</f>
        <v/>
      </c>
      <c r="L57" s="76">
        <f>(((ASSUMPTIONS!$C$18*J57*(1-ASSUMPTIONS!$C$20)+ASSUMPTIONS!$C$18*ASSUMPTIONS!$C$21-ASSUMPTIONS!$C$18*ASSUMPTIONS!$C$22)*(1+H57)*(1-((1+H57)/(1+I57))^5)/(I57-H57))+((ASSUMPTIONS!$C$18*J57*(1-ASSUMPTIONS!$C$20)+ASSUMPTIONS!$C$18*ASSUMPTIONS!$C$21-ASSUMPTIONS!$C$18*ASSUMPTIONS!$C$22)*(1+H57)^5*(1+K57)/(I57-K57)/(1+I57)^5)-DCF!$C$12)/ASSUMPTIONS!$C$7</f>
        <v/>
      </c>
      <c r="M57" s="4" t="n"/>
      <c r="N57" s="4" t="n"/>
      <c r="O57" s="4" t="n"/>
      <c r="P57" s="4" t="n"/>
      <c r="Q57" s="4" t="n"/>
      <c r="R57" s="4" t="n"/>
      <c r="S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75">
        <f>_xlfn.NORM.INV(RAND(),AVERAGE(ASSUMPTIONS!$C$38,ASSUMPTIONS!$C$39,ASSUMPTIONS!$C$40,ASSUMPTIONS!$C$41,ASSUMPTIONS!$C$42),ASSUMPTIONS!$C$68)</f>
        <v/>
      </c>
      <c r="I58" s="75">
        <f>MAX(_xlfn.NORM.INV(RAND(),DCF!$C$11,ASSUMPTIONS!$C$69),K58+0.005)</f>
        <v/>
      </c>
      <c r="J58" s="75">
        <f>_xlfn.NORM.INV(RAND(),ASSUMPTIONS!$C$19,ASSUMPTIONS!$C$70)</f>
        <v/>
      </c>
      <c r="K58" s="75">
        <f>_xlfn.NORM.INV(RAND(),ASSUMPTIONS!$C$43,ASSUMPTIONS!$C$71)</f>
        <v/>
      </c>
      <c r="L58" s="76">
        <f>(((ASSUMPTIONS!$C$18*J58*(1-ASSUMPTIONS!$C$20)+ASSUMPTIONS!$C$18*ASSUMPTIONS!$C$21-ASSUMPTIONS!$C$18*ASSUMPTIONS!$C$22)*(1+H58)*(1-((1+H58)/(1+I58))^5)/(I58-H58))+((ASSUMPTIONS!$C$18*J58*(1-ASSUMPTIONS!$C$20)+ASSUMPTIONS!$C$18*ASSUMPTIONS!$C$21-ASSUMPTIONS!$C$18*ASSUMPTIONS!$C$22)*(1+H58)^5*(1+K58)/(I58-K58)/(1+I58)^5)-DCF!$C$12)/ASSUMPTIONS!$C$7</f>
        <v/>
      </c>
      <c r="M58" s="4" t="n"/>
      <c r="N58" s="4" t="n"/>
      <c r="O58" s="4" t="n"/>
      <c r="P58" s="4" t="n"/>
      <c r="Q58" s="4" t="n"/>
      <c r="R58" s="4" t="n"/>
      <c r="S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75">
        <f>_xlfn.NORM.INV(RAND(),AVERAGE(ASSUMPTIONS!$C$38,ASSUMPTIONS!$C$39,ASSUMPTIONS!$C$40,ASSUMPTIONS!$C$41,ASSUMPTIONS!$C$42),ASSUMPTIONS!$C$68)</f>
        <v/>
      </c>
      <c r="I59" s="75">
        <f>MAX(_xlfn.NORM.INV(RAND(),DCF!$C$11,ASSUMPTIONS!$C$69),K59+0.005)</f>
        <v/>
      </c>
      <c r="J59" s="75">
        <f>_xlfn.NORM.INV(RAND(),ASSUMPTIONS!$C$19,ASSUMPTIONS!$C$70)</f>
        <v/>
      </c>
      <c r="K59" s="75">
        <f>_xlfn.NORM.INV(RAND(),ASSUMPTIONS!$C$43,ASSUMPTIONS!$C$71)</f>
        <v/>
      </c>
      <c r="L59" s="76">
        <f>(((ASSUMPTIONS!$C$18*J59*(1-ASSUMPTIONS!$C$20)+ASSUMPTIONS!$C$18*ASSUMPTIONS!$C$21-ASSUMPTIONS!$C$18*ASSUMPTIONS!$C$22)*(1+H59)*(1-((1+H59)/(1+I59))^5)/(I59-H59))+((ASSUMPTIONS!$C$18*J59*(1-ASSUMPTIONS!$C$20)+ASSUMPTIONS!$C$18*ASSUMPTIONS!$C$21-ASSUMPTIONS!$C$18*ASSUMPTIONS!$C$22)*(1+H59)^5*(1+K59)/(I59-K59)/(1+I59)^5)-DCF!$C$12)/ASSUMPTIONS!$C$7</f>
        <v/>
      </c>
      <c r="M59" s="4" t="n"/>
      <c r="N59" s="4" t="n"/>
      <c r="O59" s="4" t="n"/>
      <c r="P59" s="4" t="n"/>
      <c r="Q59" s="4" t="n"/>
      <c r="R59" s="4" t="n"/>
      <c r="S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75">
        <f>_xlfn.NORM.INV(RAND(),AVERAGE(ASSUMPTIONS!$C$38,ASSUMPTIONS!$C$39,ASSUMPTIONS!$C$40,ASSUMPTIONS!$C$41,ASSUMPTIONS!$C$42),ASSUMPTIONS!$C$68)</f>
        <v/>
      </c>
      <c r="I60" s="75">
        <f>MAX(_xlfn.NORM.INV(RAND(),DCF!$C$11,ASSUMPTIONS!$C$69),K60+0.005)</f>
        <v/>
      </c>
      <c r="J60" s="75">
        <f>_xlfn.NORM.INV(RAND(),ASSUMPTIONS!$C$19,ASSUMPTIONS!$C$70)</f>
        <v/>
      </c>
      <c r="K60" s="75">
        <f>_xlfn.NORM.INV(RAND(),ASSUMPTIONS!$C$43,ASSUMPTIONS!$C$71)</f>
        <v/>
      </c>
      <c r="L60" s="76">
        <f>(((ASSUMPTIONS!$C$18*J60*(1-ASSUMPTIONS!$C$20)+ASSUMPTIONS!$C$18*ASSUMPTIONS!$C$21-ASSUMPTIONS!$C$18*ASSUMPTIONS!$C$22)*(1+H60)*(1-((1+H60)/(1+I60))^5)/(I60-H60))+((ASSUMPTIONS!$C$18*J60*(1-ASSUMPTIONS!$C$20)+ASSUMPTIONS!$C$18*ASSUMPTIONS!$C$21-ASSUMPTIONS!$C$18*ASSUMPTIONS!$C$22)*(1+H60)^5*(1+K60)/(I60-K60)/(1+I60)^5)-DCF!$C$12)/ASSUMPTIONS!$C$7</f>
        <v/>
      </c>
      <c r="M60" s="4" t="n"/>
      <c r="N60" s="4" t="n"/>
      <c r="O60" s="4" t="n"/>
      <c r="P60" s="4" t="n"/>
      <c r="Q60" s="4" t="n"/>
      <c r="R60" s="4" t="n"/>
      <c r="S60" s="4" t="n"/>
    </row>
    <row r="61">
      <c r="H61" s="83">
        <f>_xlfn.NORM.INV(RAND(),AVERAGE(ASSUMPTIONS!$C$38,ASSUMPTIONS!$C$39,ASSUMPTIONS!$C$40,ASSUMPTIONS!$C$41,ASSUMPTIONS!$C$42),ASSUMPTIONS!$C$68)</f>
        <v/>
      </c>
      <c r="I61" s="83">
        <f>MAX(_xlfn.NORM.INV(RAND(),DCF!$C$11,ASSUMPTIONS!$C$69),K61+0.005)</f>
        <v/>
      </c>
      <c r="J61" s="83">
        <f>_xlfn.NORM.INV(RAND(),ASSUMPTIONS!$C$19,ASSUMPTIONS!$C$70)</f>
        <v/>
      </c>
      <c r="K61" s="83">
        <f>_xlfn.NORM.INV(RAND(),ASSUMPTIONS!$C$43,ASSUMPTIONS!$C$71)</f>
        <v/>
      </c>
      <c r="L61" s="84">
        <f>(((ASSUMPTIONS!$C$18*J61*(1-ASSUMPTIONS!$C$20)+ASSUMPTIONS!$C$18*ASSUMPTIONS!$C$21-ASSUMPTIONS!$C$18*ASSUMPTIONS!$C$22)*(1+H61)*(1-((1+H61)/(1+I61))^5)/(I61-H61))+((ASSUMPTIONS!$C$18*J61*(1-ASSUMPTIONS!$C$20)+ASSUMPTIONS!$C$18*ASSUMPTIONS!$C$21-ASSUMPTIONS!$C$18*ASSUMPTIONS!$C$22)*(1+H61)^5*(1+K61)/(I61-K61)/(1+I61)^5)-DCF!$C$12)/ASSUMPTIONS!$C$7</f>
        <v/>
      </c>
    </row>
    <row r="62">
      <c r="H62" s="83">
        <f>_xlfn.NORM.INV(RAND(),AVERAGE(ASSUMPTIONS!$C$38,ASSUMPTIONS!$C$39,ASSUMPTIONS!$C$40,ASSUMPTIONS!$C$41,ASSUMPTIONS!$C$42),ASSUMPTIONS!$C$68)</f>
        <v/>
      </c>
      <c r="I62" s="83">
        <f>MAX(_xlfn.NORM.INV(RAND(),DCF!$C$11,ASSUMPTIONS!$C$69),K62+0.005)</f>
        <v/>
      </c>
      <c r="J62" s="83">
        <f>_xlfn.NORM.INV(RAND(),ASSUMPTIONS!$C$19,ASSUMPTIONS!$C$70)</f>
        <v/>
      </c>
      <c r="K62" s="83">
        <f>_xlfn.NORM.INV(RAND(),ASSUMPTIONS!$C$43,ASSUMPTIONS!$C$71)</f>
        <v/>
      </c>
      <c r="L62" s="84">
        <f>(((ASSUMPTIONS!$C$18*J62*(1-ASSUMPTIONS!$C$20)+ASSUMPTIONS!$C$18*ASSUMPTIONS!$C$21-ASSUMPTIONS!$C$18*ASSUMPTIONS!$C$22)*(1+H62)*(1-((1+H62)/(1+I62))^5)/(I62-H62))+((ASSUMPTIONS!$C$18*J62*(1-ASSUMPTIONS!$C$20)+ASSUMPTIONS!$C$18*ASSUMPTIONS!$C$21-ASSUMPTIONS!$C$18*ASSUMPTIONS!$C$22)*(1+H62)^5*(1+K62)/(I62-K62)/(1+I62)^5)-DCF!$C$12)/ASSUMPTIONS!$C$7</f>
        <v/>
      </c>
    </row>
    <row r="63">
      <c r="H63" s="83">
        <f>_xlfn.NORM.INV(RAND(),AVERAGE(ASSUMPTIONS!$C$38,ASSUMPTIONS!$C$39,ASSUMPTIONS!$C$40,ASSUMPTIONS!$C$41,ASSUMPTIONS!$C$42),ASSUMPTIONS!$C$68)</f>
        <v/>
      </c>
      <c r="I63" s="83">
        <f>MAX(_xlfn.NORM.INV(RAND(),DCF!$C$11,ASSUMPTIONS!$C$69),K63+0.005)</f>
        <v/>
      </c>
      <c r="J63" s="83">
        <f>_xlfn.NORM.INV(RAND(),ASSUMPTIONS!$C$19,ASSUMPTIONS!$C$70)</f>
        <v/>
      </c>
      <c r="K63" s="83">
        <f>_xlfn.NORM.INV(RAND(),ASSUMPTIONS!$C$43,ASSUMPTIONS!$C$71)</f>
        <v/>
      </c>
      <c r="L63" s="84">
        <f>(((ASSUMPTIONS!$C$18*J63*(1-ASSUMPTIONS!$C$20)+ASSUMPTIONS!$C$18*ASSUMPTIONS!$C$21-ASSUMPTIONS!$C$18*ASSUMPTIONS!$C$22)*(1+H63)*(1-((1+H63)/(1+I63))^5)/(I63-H63))+((ASSUMPTIONS!$C$18*J63*(1-ASSUMPTIONS!$C$20)+ASSUMPTIONS!$C$18*ASSUMPTIONS!$C$21-ASSUMPTIONS!$C$18*ASSUMPTIONS!$C$22)*(1+H63)^5*(1+K63)/(I63-K63)/(1+I63)^5)-DCF!$C$12)/ASSUMPTIONS!$C$7</f>
        <v/>
      </c>
    </row>
    <row r="64">
      <c r="H64" s="83">
        <f>_xlfn.NORM.INV(RAND(),AVERAGE(ASSUMPTIONS!$C$38,ASSUMPTIONS!$C$39,ASSUMPTIONS!$C$40,ASSUMPTIONS!$C$41,ASSUMPTIONS!$C$42),ASSUMPTIONS!$C$68)</f>
        <v/>
      </c>
      <c r="I64" s="83">
        <f>MAX(_xlfn.NORM.INV(RAND(),DCF!$C$11,ASSUMPTIONS!$C$69),K64+0.005)</f>
        <v/>
      </c>
      <c r="J64" s="83">
        <f>_xlfn.NORM.INV(RAND(),ASSUMPTIONS!$C$19,ASSUMPTIONS!$C$70)</f>
        <v/>
      </c>
      <c r="K64" s="83">
        <f>_xlfn.NORM.INV(RAND(),ASSUMPTIONS!$C$43,ASSUMPTIONS!$C$71)</f>
        <v/>
      </c>
      <c r="L64" s="84">
        <f>(((ASSUMPTIONS!$C$18*J64*(1-ASSUMPTIONS!$C$20)+ASSUMPTIONS!$C$18*ASSUMPTIONS!$C$21-ASSUMPTIONS!$C$18*ASSUMPTIONS!$C$22)*(1+H64)*(1-((1+H64)/(1+I64))^5)/(I64-H64))+((ASSUMPTIONS!$C$18*J64*(1-ASSUMPTIONS!$C$20)+ASSUMPTIONS!$C$18*ASSUMPTIONS!$C$21-ASSUMPTIONS!$C$18*ASSUMPTIONS!$C$22)*(1+H64)^5*(1+K64)/(I64-K64)/(1+I64)^5)-DCF!$C$12)/ASSUMPTIONS!$C$7</f>
        <v/>
      </c>
    </row>
    <row r="65">
      <c r="H65" s="83">
        <f>_xlfn.NORM.INV(RAND(),AVERAGE(ASSUMPTIONS!$C$38,ASSUMPTIONS!$C$39,ASSUMPTIONS!$C$40,ASSUMPTIONS!$C$41,ASSUMPTIONS!$C$42),ASSUMPTIONS!$C$68)</f>
        <v/>
      </c>
      <c r="I65" s="83">
        <f>MAX(_xlfn.NORM.INV(RAND(),DCF!$C$11,ASSUMPTIONS!$C$69),K65+0.005)</f>
        <v/>
      </c>
      <c r="J65" s="83">
        <f>_xlfn.NORM.INV(RAND(),ASSUMPTIONS!$C$19,ASSUMPTIONS!$C$70)</f>
        <v/>
      </c>
      <c r="K65" s="83">
        <f>_xlfn.NORM.INV(RAND(),ASSUMPTIONS!$C$43,ASSUMPTIONS!$C$71)</f>
        <v/>
      </c>
      <c r="L65" s="84">
        <f>(((ASSUMPTIONS!$C$18*J65*(1-ASSUMPTIONS!$C$20)+ASSUMPTIONS!$C$18*ASSUMPTIONS!$C$21-ASSUMPTIONS!$C$18*ASSUMPTIONS!$C$22)*(1+H65)*(1-((1+H65)/(1+I65))^5)/(I65-H65))+((ASSUMPTIONS!$C$18*J65*(1-ASSUMPTIONS!$C$20)+ASSUMPTIONS!$C$18*ASSUMPTIONS!$C$21-ASSUMPTIONS!$C$18*ASSUMPTIONS!$C$22)*(1+H65)^5*(1+K65)/(I65-K65)/(1+I65)^5)-DCF!$C$12)/ASSUMPTIONS!$C$7</f>
        <v/>
      </c>
    </row>
    <row r="66">
      <c r="H66" s="83">
        <f>_xlfn.NORM.INV(RAND(),AVERAGE(ASSUMPTIONS!$C$38,ASSUMPTIONS!$C$39,ASSUMPTIONS!$C$40,ASSUMPTIONS!$C$41,ASSUMPTIONS!$C$42),ASSUMPTIONS!$C$68)</f>
        <v/>
      </c>
      <c r="I66" s="83">
        <f>MAX(_xlfn.NORM.INV(RAND(),DCF!$C$11,ASSUMPTIONS!$C$69),K66+0.005)</f>
        <v/>
      </c>
      <c r="J66" s="83">
        <f>_xlfn.NORM.INV(RAND(),ASSUMPTIONS!$C$19,ASSUMPTIONS!$C$70)</f>
        <v/>
      </c>
      <c r="K66" s="83">
        <f>_xlfn.NORM.INV(RAND(),ASSUMPTIONS!$C$43,ASSUMPTIONS!$C$71)</f>
        <v/>
      </c>
      <c r="L66" s="84">
        <f>(((ASSUMPTIONS!$C$18*J66*(1-ASSUMPTIONS!$C$20)+ASSUMPTIONS!$C$18*ASSUMPTIONS!$C$21-ASSUMPTIONS!$C$18*ASSUMPTIONS!$C$22)*(1+H66)*(1-((1+H66)/(1+I66))^5)/(I66-H66))+((ASSUMPTIONS!$C$18*J66*(1-ASSUMPTIONS!$C$20)+ASSUMPTIONS!$C$18*ASSUMPTIONS!$C$21-ASSUMPTIONS!$C$18*ASSUMPTIONS!$C$22)*(1+H66)^5*(1+K66)/(I66-K66)/(1+I66)^5)-DCF!$C$12)/ASSUMPTIONS!$C$7</f>
        <v/>
      </c>
    </row>
    <row r="67">
      <c r="H67" s="83">
        <f>_xlfn.NORM.INV(RAND(),AVERAGE(ASSUMPTIONS!$C$38,ASSUMPTIONS!$C$39,ASSUMPTIONS!$C$40,ASSUMPTIONS!$C$41,ASSUMPTIONS!$C$42),ASSUMPTIONS!$C$68)</f>
        <v/>
      </c>
      <c r="I67" s="83">
        <f>MAX(_xlfn.NORM.INV(RAND(),DCF!$C$11,ASSUMPTIONS!$C$69),K67+0.005)</f>
        <v/>
      </c>
      <c r="J67" s="83">
        <f>_xlfn.NORM.INV(RAND(),ASSUMPTIONS!$C$19,ASSUMPTIONS!$C$70)</f>
        <v/>
      </c>
      <c r="K67" s="83">
        <f>_xlfn.NORM.INV(RAND(),ASSUMPTIONS!$C$43,ASSUMPTIONS!$C$71)</f>
        <v/>
      </c>
      <c r="L67" s="84">
        <f>(((ASSUMPTIONS!$C$18*J67*(1-ASSUMPTIONS!$C$20)+ASSUMPTIONS!$C$18*ASSUMPTIONS!$C$21-ASSUMPTIONS!$C$18*ASSUMPTIONS!$C$22)*(1+H67)*(1-((1+H67)/(1+I67))^5)/(I67-H67))+((ASSUMPTIONS!$C$18*J67*(1-ASSUMPTIONS!$C$20)+ASSUMPTIONS!$C$18*ASSUMPTIONS!$C$21-ASSUMPTIONS!$C$18*ASSUMPTIONS!$C$22)*(1+H67)^5*(1+K67)/(I67-K67)/(1+I67)^5)-DCF!$C$12)/ASSUMPTIONS!$C$7</f>
        <v/>
      </c>
    </row>
    <row r="68">
      <c r="H68" s="83">
        <f>_xlfn.NORM.INV(RAND(),AVERAGE(ASSUMPTIONS!$C$38,ASSUMPTIONS!$C$39,ASSUMPTIONS!$C$40,ASSUMPTIONS!$C$41,ASSUMPTIONS!$C$42),ASSUMPTIONS!$C$68)</f>
        <v/>
      </c>
      <c r="I68" s="83">
        <f>MAX(_xlfn.NORM.INV(RAND(),DCF!$C$11,ASSUMPTIONS!$C$69),K68+0.005)</f>
        <v/>
      </c>
      <c r="J68" s="83">
        <f>_xlfn.NORM.INV(RAND(),ASSUMPTIONS!$C$19,ASSUMPTIONS!$C$70)</f>
        <v/>
      </c>
      <c r="K68" s="83">
        <f>_xlfn.NORM.INV(RAND(),ASSUMPTIONS!$C$43,ASSUMPTIONS!$C$71)</f>
        <v/>
      </c>
      <c r="L68" s="84">
        <f>(((ASSUMPTIONS!$C$18*J68*(1-ASSUMPTIONS!$C$20)+ASSUMPTIONS!$C$18*ASSUMPTIONS!$C$21-ASSUMPTIONS!$C$18*ASSUMPTIONS!$C$22)*(1+H68)*(1-((1+H68)/(1+I68))^5)/(I68-H68))+((ASSUMPTIONS!$C$18*J68*(1-ASSUMPTIONS!$C$20)+ASSUMPTIONS!$C$18*ASSUMPTIONS!$C$21-ASSUMPTIONS!$C$18*ASSUMPTIONS!$C$22)*(1+H68)^5*(1+K68)/(I68-K68)/(1+I68)^5)-DCF!$C$12)/ASSUMPTIONS!$C$7</f>
        <v/>
      </c>
    </row>
    <row r="69">
      <c r="H69" s="83">
        <f>_xlfn.NORM.INV(RAND(),AVERAGE(ASSUMPTIONS!$C$38,ASSUMPTIONS!$C$39,ASSUMPTIONS!$C$40,ASSUMPTIONS!$C$41,ASSUMPTIONS!$C$42),ASSUMPTIONS!$C$68)</f>
        <v/>
      </c>
      <c r="I69" s="83">
        <f>MAX(_xlfn.NORM.INV(RAND(),DCF!$C$11,ASSUMPTIONS!$C$69),K69+0.005)</f>
        <v/>
      </c>
      <c r="J69" s="83">
        <f>_xlfn.NORM.INV(RAND(),ASSUMPTIONS!$C$19,ASSUMPTIONS!$C$70)</f>
        <v/>
      </c>
      <c r="K69" s="83">
        <f>_xlfn.NORM.INV(RAND(),ASSUMPTIONS!$C$43,ASSUMPTIONS!$C$71)</f>
        <v/>
      </c>
      <c r="L69" s="84">
        <f>(((ASSUMPTIONS!$C$18*J69*(1-ASSUMPTIONS!$C$20)+ASSUMPTIONS!$C$18*ASSUMPTIONS!$C$21-ASSUMPTIONS!$C$18*ASSUMPTIONS!$C$22)*(1+H69)*(1-((1+H69)/(1+I69))^5)/(I69-H69))+((ASSUMPTIONS!$C$18*J69*(1-ASSUMPTIONS!$C$20)+ASSUMPTIONS!$C$18*ASSUMPTIONS!$C$21-ASSUMPTIONS!$C$18*ASSUMPTIONS!$C$22)*(1+H69)^5*(1+K69)/(I69-K69)/(1+I69)^5)-DCF!$C$12)/ASSUMPTIONS!$C$7</f>
        <v/>
      </c>
    </row>
    <row r="70">
      <c r="H70" s="83">
        <f>_xlfn.NORM.INV(RAND(),AVERAGE(ASSUMPTIONS!$C$38,ASSUMPTIONS!$C$39,ASSUMPTIONS!$C$40,ASSUMPTIONS!$C$41,ASSUMPTIONS!$C$42),ASSUMPTIONS!$C$68)</f>
        <v/>
      </c>
      <c r="I70" s="83">
        <f>MAX(_xlfn.NORM.INV(RAND(),DCF!$C$11,ASSUMPTIONS!$C$69),K70+0.005)</f>
        <v/>
      </c>
      <c r="J70" s="83">
        <f>_xlfn.NORM.INV(RAND(),ASSUMPTIONS!$C$19,ASSUMPTIONS!$C$70)</f>
        <v/>
      </c>
      <c r="K70" s="83">
        <f>_xlfn.NORM.INV(RAND(),ASSUMPTIONS!$C$43,ASSUMPTIONS!$C$71)</f>
        <v/>
      </c>
      <c r="L70" s="84">
        <f>(((ASSUMPTIONS!$C$18*J70*(1-ASSUMPTIONS!$C$20)+ASSUMPTIONS!$C$18*ASSUMPTIONS!$C$21-ASSUMPTIONS!$C$18*ASSUMPTIONS!$C$22)*(1+H70)*(1-((1+H70)/(1+I70))^5)/(I70-H70))+((ASSUMPTIONS!$C$18*J70*(1-ASSUMPTIONS!$C$20)+ASSUMPTIONS!$C$18*ASSUMPTIONS!$C$21-ASSUMPTIONS!$C$18*ASSUMPTIONS!$C$22)*(1+H70)^5*(1+K70)/(I70-K70)/(1+I70)^5)-DCF!$C$12)/ASSUMPTIONS!$C$7</f>
        <v/>
      </c>
    </row>
    <row r="71">
      <c r="H71" s="83">
        <f>_xlfn.NORM.INV(RAND(),AVERAGE(ASSUMPTIONS!$C$38,ASSUMPTIONS!$C$39,ASSUMPTIONS!$C$40,ASSUMPTIONS!$C$41,ASSUMPTIONS!$C$42),ASSUMPTIONS!$C$68)</f>
        <v/>
      </c>
      <c r="I71" s="83">
        <f>MAX(_xlfn.NORM.INV(RAND(),DCF!$C$11,ASSUMPTIONS!$C$69),K71+0.005)</f>
        <v/>
      </c>
      <c r="J71" s="83">
        <f>_xlfn.NORM.INV(RAND(),ASSUMPTIONS!$C$19,ASSUMPTIONS!$C$70)</f>
        <v/>
      </c>
      <c r="K71" s="83">
        <f>_xlfn.NORM.INV(RAND(),ASSUMPTIONS!$C$43,ASSUMPTIONS!$C$71)</f>
        <v/>
      </c>
      <c r="L71" s="84">
        <f>(((ASSUMPTIONS!$C$18*J71*(1-ASSUMPTIONS!$C$20)+ASSUMPTIONS!$C$18*ASSUMPTIONS!$C$21-ASSUMPTIONS!$C$18*ASSUMPTIONS!$C$22)*(1+H71)*(1-((1+H71)/(1+I71))^5)/(I71-H71))+((ASSUMPTIONS!$C$18*J71*(1-ASSUMPTIONS!$C$20)+ASSUMPTIONS!$C$18*ASSUMPTIONS!$C$21-ASSUMPTIONS!$C$18*ASSUMPTIONS!$C$22)*(1+H71)^5*(1+K71)/(I71-K71)/(1+I71)^5)-DCF!$C$12)/ASSUMPTIONS!$C$7</f>
        <v/>
      </c>
    </row>
    <row r="72">
      <c r="H72" s="83">
        <f>_xlfn.NORM.INV(RAND(),AVERAGE(ASSUMPTIONS!$C$38,ASSUMPTIONS!$C$39,ASSUMPTIONS!$C$40,ASSUMPTIONS!$C$41,ASSUMPTIONS!$C$42),ASSUMPTIONS!$C$68)</f>
        <v/>
      </c>
      <c r="I72" s="83">
        <f>MAX(_xlfn.NORM.INV(RAND(),DCF!$C$11,ASSUMPTIONS!$C$69),K72+0.005)</f>
        <v/>
      </c>
      <c r="J72" s="83">
        <f>_xlfn.NORM.INV(RAND(),ASSUMPTIONS!$C$19,ASSUMPTIONS!$C$70)</f>
        <v/>
      </c>
      <c r="K72" s="83">
        <f>_xlfn.NORM.INV(RAND(),ASSUMPTIONS!$C$43,ASSUMPTIONS!$C$71)</f>
        <v/>
      </c>
      <c r="L72" s="84">
        <f>(((ASSUMPTIONS!$C$18*J72*(1-ASSUMPTIONS!$C$20)+ASSUMPTIONS!$C$18*ASSUMPTIONS!$C$21-ASSUMPTIONS!$C$18*ASSUMPTIONS!$C$22)*(1+H72)*(1-((1+H72)/(1+I72))^5)/(I72-H72))+((ASSUMPTIONS!$C$18*J72*(1-ASSUMPTIONS!$C$20)+ASSUMPTIONS!$C$18*ASSUMPTIONS!$C$21-ASSUMPTIONS!$C$18*ASSUMPTIONS!$C$22)*(1+H72)^5*(1+K72)/(I72-K72)/(1+I72)^5)-DCF!$C$12)/ASSUMPTIONS!$C$7</f>
        <v/>
      </c>
    </row>
    <row r="73">
      <c r="H73" s="83">
        <f>_xlfn.NORM.INV(RAND(),AVERAGE(ASSUMPTIONS!$C$38,ASSUMPTIONS!$C$39,ASSUMPTIONS!$C$40,ASSUMPTIONS!$C$41,ASSUMPTIONS!$C$42),ASSUMPTIONS!$C$68)</f>
        <v/>
      </c>
      <c r="I73" s="83">
        <f>MAX(_xlfn.NORM.INV(RAND(),DCF!$C$11,ASSUMPTIONS!$C$69),K73+0.005)</f>
        <v/>
      </c>
      <c r="J73" s="83">
        <f>_xlfn.NORM.INV(RAND(),ASSUMPTIONS!$C$19,ASSUMPTIONS!$C$70)</f>
        <v/>
      </c>
      <c r="K73" s="83">
        <f>_xlfn.NORM.INV(RAND(),ASSUMPTIONS!$C$43,ASSUMPTIONS!$C$71)</f>
        <v/>
      </c>
      <c r="L73" s="84">
        <f>(((ASSUMPTIONS!$C$18*J73*(1-ASSUMPTIONS!$C$20)+ASSUMPTIONS!$C$18*ASSUMPTIONS!$C$21-ASSUMPTIONS!$C$18*ASSUMPTIONS!$C$22)*(1+H73)*(1-((1+H73)/(1+I73))^5)/(I73-H73))+((ASSUMPTIONS!$C$18*J73*(1-ASSUMPTIONS!$C$20)+ASSUMPTIONS!$C$18*ASSUMPTIONS!$C$21-ASSUMPTIONS!$C$18*ASSUMPTIONS!$C$22)*(1+H73)^5*(1+K73)/(I73-K73)/(1+I73)^5)-DCF!$C$12)/ASSUMPTIONS!$C$7</f>
        <v/>
      </c>
    </row>
    <row r="74">
      <c r="H74" s="83">
        <f>_xlfn.NORM.INV(RAND(),AVERAGE(ASSUMPTIONS!$C$38,ASSUMPTIONS!$C$39,ASSUMPTIONS!$C$40,ASSUMPTIONS!$C$41,ASSUMPTIONS!$C$42),ASSUMPTIONS!$C$68)</f>
        <v/>
      </c>
      <c r="I74" s="83">
        <f>MAX(_xlfn.NORM.INV(RAND(),DCF!$C$11,ASSUMPTIONS!$C$69),K74+0.005)</f>
        <v/>
      </c>
      <c r="J74" s="83">
        <f>_xlfn.NORM.INV(RAND(),ASSUMPTIONS!$C$19,ASSUMPTIONS!$C$70)</f>
        <v/>
      </c>
      <c r="K74" s="83">
        <f>_xlfn.NORM.INV(RAND(),ASSUMPTIONS!$C$43,ASSUMPTIONS!$C$71)</f>
        <v/>
      </c>
      <c r="L74" s="84">
        <f>(((ASSUMPTIONS!$C$18*J74*(1-ASSUMPTIONS!$C$20)+ASSUMPTIONS!$C$18*ASSUMPTIONS!$C$21-ASSUMPTIONS!$C$18*ASSUMPTIONS!$C$22)*(1+H74)*(1-((1+H74)/(1+I74))^5)/(I74-H74))+((ASSUMPTIONS!$C$18*J74*(1-ASSUMPTIONS!$C$20)+ASSUMPTIONS!$C$18*ASSUMPTIONS!$C$21-ASSUMPTIONS!$C$18*ASSUMPTIONS!$C$22)*(1+H74)^5*(1+K74)/(I74-K74)/(1+I74)^5)-DCF!$C$12)/ASSUMPTIONS!$C$7</f>
        <v/>
      </c>
    </row>
    <row r="75">
      <c r="H75" s="83">
        <f>_xlfn.NORM.INV(RAND(),AVERAGE(ASSUMPTIONS!$C$38,ASSUMPTIONS!$C$39,ASSUMPTIONS!$C$40,ASSUMPTIONS!$C$41,ASSUMPTIONS!$C$42),ASSUMPTIONS!$C$68)</f>
        <v/>
      </c>
      <c r="I75" s="83">
        <f>MAX(_xlfn.NORM.INV(RAND(),DCF!$C$11,ASSUMPTIONS!$C$69),K75+0.005)</f>
        <v/>
      </c>
      <c r="J75" s="83">
        <f>_xlfn.NORM.INV(RAND(),ASSUMPTIONS!$C$19,ASSUMPTIONS!$C$70)</f>
        <v/>
      </c>
      <c r="K75" s="83">
        <f>_xlfn.NORM.INV(RAND(),ASSUMPTIONS!$C$43,ASSUMPTIONS!$C$71)</f>
        <v/>
      </c>
      <c r="L75" s="84">
        <f>(((ASSUMPTIONS!$C$18*J75*(1-ASSUMPTIONS!$C$20)+ASSUMPTIONS!$C$18*ASSUMPTIONS!$C$21-ASSUMPTIONS!$C$18*ASSUMPTIONS!$C$22)*(1+H75)*(1-((1+H75)/(1+I75))^5)/(I75-H75))+((ASSUMPTIONS!$C$18*J75*(1-ASSUMPTIONS!$C$20)+ASSUMPTIONS!$C$18*ASSUMPTIONS!$C$21-ASSUMPTIONS!$C$18*ASSUMPTIONS!$C$22)*(1+H75)^5*(1+K75)/(I75-K75)/(1+I75)^5)-DCF!$C$12)/ASSUMPTIONS!$C$7</f>
        <v/>
      </c>
    </row>
    <row r="76">
      <c r="H76" s="83">
        <f>_xlfn.NORM.INV(RAND(),AVERAGE(ASSUMPTIONS!$C$38,ASSUMPTIONS!$C$39,ASSUMPTIONS!$C$40,ASSUMPTIONS!$C$41,ASSUMPTIONS!$C$42),ASSUMPTIONS!$C$68)</f>
        <v/>
      </c>
      <c r="I76" s="83">
        <f>MAX(_xlfn.NORM.INV(RAND(),DCF!$C$11,ASSUMPTIONS!$C$69),K76+0.005)</f>
        <v/>
      </c>
      <c r="J76" s="83">
        <f>_xlfn.NORM.INV(RAND(),ASSUMPTIONS!$C$19,ASSUMPTIONS!$C$70)</f>
        <v/>
      </c>
      <c r="K76" s="83">
        <f>_xlfn.NORM.INV(RAND(),ASSUMPTIONS!$C$43,ASSUMPTIONS!$C$71)</f>
        <v/>
      </c>
      <c r="L76" s="84">
        <f>(((ASSUMPTIONS!$C$18*J76*(1-ASSUMPTIONS!$C$20)+ASSUMPTIONS!$C$18*ASSUMPTIONS!$C$21-ASSUMPTIONS!$C$18*ASSUMPTIONS!$C$22)*(1+H76)*(1-((1+H76)/(1+I76))^5)/(I76-H76))+((ASSUMPTIONS!$C$18*J76*(1-ASSUMPTIONS!$C$20)+ASSUMPTIONS!$C$18*ASSUMPTIONS!$C$21-ASSUMPTIONS!$C$18*ASSUMPTIONS!$C$22)*(1+H76)^5*(1+K76)/(I76-K76)/(1+I76)^5)-DCF!$C$12)/ASSUMPTIONS!$C$7</f>
        <v/>
      </c>
    </row>
    <row r="77">
      <c r="H77" s="83">
        <f>_xlfn.NORM.INV(RAND(),AVERAGE(ASSUMPTIONS!$C$38,ASSUMPTIONS!$C$39,ASSUMPTIONS!$C$40,ASSUMPTIONS!$C$41,ASSUMPTIONS!$C$42),ASSUMPTIONS!$C$68)</f>
        <v/>
      </c>
      <c r="I77" s="83">
        <f>MAX(_xlfn.NORM.INV(RAND(),DCF!$C$11,ASSUMPTIONS!$C$69),K77+0.005)</f>
        <v/>
      </c>
      <c r="J77" s="83">
        <f>_xlfn.NORM.INV(RAND(),ASSUMPTIONS!$C$19,ASSUMPTIONS!$C$70)</f>
        <v/>
      </c>
      <c r="K77" s="83">
        <f>_xlfn.NORM.INV(RAND(),ASSUMPTIONS!$C$43,ASSUMPTIONS!$C$71)</f>
        <v/>
      </c>
      <c r="L77" s="84">
        <f>(((ASSUMPTIONS!$C$18*J77*(1-ASSUMPTIONS!$C$20)+ASSUMPTIONS!$C$18*ASSUMPTIONS!$C$21-ASSUMPTIONS!$C$18*ASSUMPTIONS!$C$22)*(1+H77)*(1-((1+H77)/(1+I77))^5)/(I77-H77))+((ASSUMPTIONS!$C$18*J77*(1-ASSUMPTIONS!$C$20)+ASSUMPTIONS!$C$18*ASSUMPTIONS!$C$21-ASSUMPTIONS!$C$18*ASSUMPTIONS!$C$22)*(1+H77)^5*(1+K77)/(I77-K77)/(1+I77)^5)-DCF!$C$12)/ASSUMPTIONS!$C$7</f>
        <v/>
      </c>
    </row>
    <row r="78">
      <c r="H78" s="83">
        <f>_xlfn.NORM.INV(RAND(),AVERAGE(ASSUMPTIONS!$C$38,ASSUMPTIONS!$C$39,ASSUMPTIONS!$C$40,ASSUMPTIONS!$C$41,ASSUMPTIONS!$C$42),ASSUMPTIONS!$C$68)</f>
        <v/>
      </c>
      <c r="I78" s="83">
        <f>MAX(_xlfn.NORM.INV(RAND(),DCF!$C$11,ASSUMPTIONS!$C$69),K78+0.005)</f>
        <v/>
      </c>
      <c r="J78" s="83">
        <f>_xlfn.NORM.INV(RAND(),ASSUMPTIONS!$C$19,ASSUMPTIONS!$C$70)</f>
        <v/>
      </c>
      <c r="K78" s="83">
        <f>_xlfn.NORM.INV(RAND(),ASSUMPTIONS!$C$43,ASSUMPTIONS!$C$71)</f>
        <v/>
      </c>
      <c r="L78" s="84">
        <f>(((ASSUMPTIONS!$C$18*J78*(1-ASSUMPTIONS!$C$20)+ASSUMPTIONS!$C$18*ASSUMPTIONS!$C$21-ASSUMPTIONS!$C$18*ASSUMPTIONS!$C$22)*(1+H78)*(1-((1+H78)/(1+I78))^5)/(I78-H78))+((ASSUMPTIONS!$C$18*J78*(1-ASSUMPTIONS!$C$20)+ASSUMPTIONS!$C$18*ASSUMPTIONS!$C$21-ASSUMPTIONS!$C$18*ASSUMPTIONS!$C$22)*(1+H78)^5*(1+K78)/(I78-K78)/(1+I78)^5)-DCF!$C$12)/ASSUMPTIONS!$C$7</f>
        <v/>
      </c>
    </row>
    <row r="79">
      <c r="H79" s="83">
        <f>_xlfn.NORM.INV(RAND(),AVERAGE(ASSUMPTIONS!$C$38,ASSUMPTIONS!$C$39,ASSUMPTIONS!$C$40,ASSUMPTIONS!$C$41,ASSUMPTIONS!$C$42),ASSUMPTIONS!$C$68)</f>
        <v/>
      </c>
      <c r="I79" s="83">
        <f>MAX(_xlfn.NORM.INV(RAND(),DCF!$C$11,ASSUMPTIONS!$C$69),K79+0.005)</f>
        <v/>
      </c>
      <c r="J79" s="83">
        <f>_xlfn.NORM.INV(RAND(),ASSUMPTIONS!$C$19,ASSUMPTIONS!$C$70)</f>
        <v/>
      </c>
      <c r="K79" s="83">
        <f>_xlfn.NORM.INV(RAND(),ASSUMPTIONS!$C$43,ASSUMPTIONS!$C$71)</f>
        <v/>
      </c>
      <c r="L79" s="84">
        <f>(((ASSUMPTIONS!$C$18*J79*(1-ASSUMPTIONS!$C$20)+ASSUMPTIONS!$C$18*ASSUMPTIONS!$C$21-ASSUMPTIONS!$C$18*ASSUMPTIONS!$C$22)*(1+H79)*(1-((1+H79)/(1+I79))^5)/(I79-H79))+((ASSUMPTIONS!$C$18*J79*(1-ASSUMPTIONS!$C$20)+ASSUMPTIONS!$C$18*ASSUMPTIONS!$C$21-ASSUMPTIONS!$C$18*ASSUMPTIONS!$C$22)*(1+H79)^5*(1+K79)/(I79-K79)/(1+I79)^5)-DCF!$C$12)/ASSUMPTIONS!$C$7</f>
        <v/>
      </c>
    </row>
    <row r="80">
      <c r="H80" s="83">
        <f>_xlfn.NORM.INV(RAND(),AVERAGE(ASSUMPTIONS!$C$38,ASSUMPTIONS!$C$39,ASSUMPTIONS!$C$40,ASSUMPTIONS!$C$41,ASSUMPTIONS!$C$42),ASSUMPTIONS!$C$68)</f>
        <v/>
      </c>
      <c r="I80" s="83">
        <f>MAX(_xlfn.NORM.INV(RAND(),DCF!$C$11,ASSUMPTIONS!$C$69),K80+0.005)</f>
        <v/>
      </c>
      <c r="J80" s="83">
        <f>_xlfn.NORM.INV(RAND(),ASSUMPTIONS!$C$19,ASSUMPTIONS!$C$70)</f>
        <v/>
      </c>
      <c r="K80" s="83">
        <f>_xlfn.NORM.INV(RAND(),ASSUMPTIONS!$C$43,ASSUMPTIONS!$C$71)</f>
        <v/>
      </c>
      <c r="L80" s="84">
        <f>(((ASSUMPTIONS!$C$18*J80*(1-ASSUMPTIONS!$C$20)+ASSUMPTIONS!$C$18*ASSUMPTIONS!$C$21-ASSUMPTIONS!$C$18*ASSUMPTIONS!$C$22)*(1+H80)*(1-((1+H80)/(1+I80))^5)/(I80-H80))+((ASSUMPTIONS!$C$18*J80*(1-ASSUMPTIONS!$C$20)+ASSUMPTIONS!$C$18*ASSUMPTIONS!$C$21-ASSUMPTIONS!$C$18*ASSUMPTIONS!$C$22)*(1+H80)^5*(1+K80)/(I80-K80)/(1+I80)^5)-DCF!$C$12)/ASSUMPTIONS!$C$7</f>
        <v/>
      </c>
    </row>
    <row r="81">
      <c r="H81" s="83">
        <f>_xlfn.NORM.INV(RAND(),AVERAGE(ASSUMPTIONS!$C$38,ASSUMPTIONS!$C$39,ASSUMPTIONS!$C$40,ASSUMPTIONS!$C$41,ASSUMPTIONS!$C$42),ASSUMPTIONS!$C$68)</f>
        <v/>
      </c>
      <c r="I81" s="83">
        <f>MAX(_xlfn.NORM.INV(RAND(),DCF!$C$11,ASSUMPTIONS!$C$69),K81+0.005)</f>
        <v/>
      </c>
      <c r="J81" s="83">
        <f>_xlfn.NORM.INV(RAND(),ASSUMPTIONS!$C$19,ASSUMPTIONS!$C$70)</f>
        <v/>
      </c>
      <c r="K81" s="83">
        <f>_xlfn.NORM.INV(RAND(),ASSUMPTIONS!$C$43,ASSUMPTIONS!$C$71)</f>
        <v/>
      </c>
      <c r="L81" s="84">
        <f>(((ASSUMPTIONS!$C$18*J81*(1-ASSUMPTIONS!$C$20)+ASSUMPTIONS!$C$18*ASSUMPTIONS!$C$21-ASSUMPTIONS!$C$18*ASSUMPTIONS!$C$22)*(1+H81)*(1-((1+H81)/(1+I81))^5)/(I81-H81))+((ASSUMPTIONS!$C$18*J81*(1-ASSUMPTIONS!$C$20)+ASSUMPTIONS!$C$18*ASSUMPTIONS!$C$21-ASSUMPTIONS!$C$18*ASSUMPTIONS!$C$22)*(1+H81)^5*(1+K81)/(I81-K81)/(1+I81)^5)-DCF!$C$12)/ASSUMPTIONS!$C$7</f>
        <v/>
      </c>
    </row>
    <row r="82">
      <c r="H82" s="83">
        <f>_xlfn.NORM.INV(RAND(),AVERAGE(ASSUMPTIONS!$C$38,ASSUMPTIONS!$C$39,ASSUMPTIONS!$C$40,ASSUMPTIONS!$C$41,ASSUMPTIONS!$C$42),ASSUMPTIONS!$C$68)</f>
        <v/>
      </c>
      <c r="I82" s="83">
        <f>MAX(_xlfn.NORM.INV(RAND(),DCF!$C$11,ASSUMPTIONS!$C$69),K82+0.005)</f>
        <v/>
      </c>
      <c r="J82" s="83">
        <f>_xlfn.NORM.INV(RAND(),ASSUMPTIONS!$C$19,ASSUMPTIONS!$C$70)</f>
        <v/>
      </c>
      <c r="K82" s="83">
        <f>_xlfn.NORM.INV(RAND(),ASSUMPTIONS!$C$43,ASSUMPTIONS!$C$71)</f>
        <v/>
      </c>
      <c r="L82" s="84">
        <f>(((ASSUMPTIONS!$C$18*J82*(1-ASSUMPTIONS!$C$20)+ASSUMPTIONS!$C$18*ASSUMPTIONS!$C$21-ASSUMPTIONS!$C$18*ASSUMPTIONS!$C$22)*(1+H82)*(1-((1+H82)/(1+I82))^5)/(I82-H82))+((ASSUMPTIONS!$C$18*J82*(1-ASSUMPTIONS!$C$20)+ASSUMPTIONS!$C$18*ASSUMPTIONS!$C$21-ASSUMPTIONS!$C$18*ASSUMPTIONS!$C$22)*(1+H82)^5*(1+K82)/(I82-K82)/(1+I82)^5)-DCF!$C$12)/ASSUMPTIONS!$C$7</f>
        <v/>
      </c>
    </row>
    <row r="83">
      <c r="H83" s="83">
        <f>_xlfn.NORM.INV(RAND(),AVERAGE(ASSUMPTIONS!$C$38,ASSUMPTIONS!$C$39,ASSUMPTIONS!$C$40,ASSUMPTIONS!$C$41,ASSUMPTIONS!$C$42),ASSUMPTIONS!$C$68)</f>
        <v/>
      </c>
      <c r="I83" s="83">
        <f>MAX(_xlfn.NORM.INV(RAND(),DCF!$C$11,ASSUMPTIONS!$C$69),K83+0.005)</f>
        <v/>
      </c>
      <c r="J83" s="83">
        <f>_xlfn.NORM.INV(RAND(),ASSUMPTIONS!$C$19,ASSUMPTIONS!$C$70)</f>
        <v/>
      </c>
      <c r="K83" s="83">
        <f>_xlfn.NORM.INV(RAND(),ASSUMPTIONS!$C$43,ASSUMPTIONS!$C$71)</f>
        <v/>
      </c>
      <c r="L83" s="84">
        <f>(((ASSUMPTIONS!$C$18*J83*(1-ASSUMPTIONS!$C$20)+ASSUMPTIONS!$C$18*ASSUMPTIONS!$C$21-ASSUMPTIONS!$C$18*ASSUMPTIONS!$C$22)*(1+H83)*(1-((1+H83)/(1+I83))^5)/(I83-H83))+((ASSUMPTIONS!$C$18*J83*(1-ASSUMPTIONS!$C$20)+ASSUMPTIONS!$C$18*ASSUMPTIONS!$C$21-ASSUMPTIONS!$C$18*ASSUMPTIONS!$C$22)*(1+H83)^5*(1+K83)/(I83-K83)/(1+I83)^5)-DCF!$C$12)/ASSUMPTIONS!$C$7</f>
        <v/>
      </c>
    </row>
    <row r="84">
      <c r="H84" s="83">
        <f>_xlfn.NORM.INV(RAND(),AVERAGE(ASSUMPTIONS!$C$38,ASSUMPTIONS!$C$39,ASSUMPTIONS!$C$40,ASSUMPTIONS!$C$41,ASSUMPTIONS!$C$42),ASSUMPTIONS!$C$68)</f>
        <v/>
      </c>
      <c r="I84" s="83">
        <f>MAX(_xlfn.NORM.INV(RAND(),DCF!$C$11,ASSUMPTIONS!$C$69),K84+0.005)</f>
        <v/>
      </c>
      <c r="J84" s="83">
        <f>_xlfn.NORM.INV(RAND(),ASSUMPTIONS!$C$19,ASSUMPTIONS!$C$70)</f>
        <v/>
      </c>
      <c r="K84" s="83">
        <f>_xlfn.NORM.INV(RAND(),ASSUMPTIONS!$C$43,ASSUMPTIONS!$C$71)</f>
        <v/>
      </c>
      <c r="L84" s="84">
        <f>(((ASSUMPTIONS!$C$18*J84*(1-ASSUMPTIONS!$C$20)+ASSUMPTIONS!$C$18*ASSUMPTIONS!$C$21-ASSUMPTIONS!$C$18*ASSUMPTIONS!$C$22)*(1+H84)*(1-((1+H84)/(1+I84))^5)/(I84-H84))+((ASSUMPTIONS!$C$18*J84*(1-ASSUMPTIONS!$C$20)+ASSUMPTIONS!$C$18*ASSUMPTIONS!$C$21-ASSUMPTIONS!$C$18*ASSUMPTIONS!$C$22)*(1+H84)^5*(1+K84)/(I84-K84)/(1+I84)^5)-DCF!$C$12)/ASSUMPTIONS!$C$7</f>
        <v/>
      </c>
    </row>
    <row r="85">
      <c r="H85" s="83">
        <f>_xlfn.NORM.INV(RAND(),AVERAGE(ASSUMPTIONS!$C$38,ASSUMPTIONS!$C$39,ASSUMPTIONS!$C$40,ASSUMPTIONS!$C$41,ASSUMPTIONS!$C$42),ASSUMPTIONS!$C$68)</f>
        <v/>
      </c>
      <c r="I85" s="83">
        <f>MAX(_xlfn.NORM.INV(RAND(),DCF!$C$11,ASSUMPTIONS!$C$69),K85+0.005)</f>
        <v/>
      </c>
      <c r="J85" s="83">
        <f>_xlfn.NORM.INV(RAND(),ASSUMPTIONS!$C$19,ASSUMPTIONS!$C$70)</f>
        <v/>
      </c>
      <c r="K85" s="83">
        <f>_xlfn.NORM.INV(RAND(),ASSUMPTIONS!$C$43,ASSUMPTIONS!$C$71)</f>
        <v/>
      </c>
      <c r="L85" s="84">
        <f>(((ASSUMPTIONS!$C$18*J85*(1-ASSUMPTIONS!$C$20)+ASSUMPTIONS!$C$18*ASSUMPTIONS!$C$21-ASSUMPTIONS!$C$18*ASSUMPTIONS!$C$22)*(1+H85)*(1-((1+H85)/(1+I85))^5)/(I85-H85))+((ASSUMPTIONS!$C$18*J85*(1-ASSUMPTIONS!$C$20)+ASSUMPTIONS!$C$18*ASSUMPTIONS!$C$21-ASSUMPTIONS!$C$18*ASSUMPTIONS!$C$22)*(1+H85)^5*(1+K85)/(I85-K85)/(1+I85)^5)-DCF!$C$12)/ASSUMPTIONS!$C$7</f>
        <v/>
      </c>
    </row>
    <row r="86">
      <c r="H86" s="83">
        <f>_xlfn.NORM.INV(RAND(),AVERAGE(ASSUMPTIONS!$C$38,ASSUMPTIONS!$C$39,ASSUMPTIONS!$C$40,ASSUMPTIONS!$C$41,ASSUMPTIONS!$C$42),ASSUMPTIONS!$C$68)</f>
        <v/>
      </c>
      <c r="I86" s="83">
        <f>MAX(_xlfn.NORM.INV(RAND(),DCF!$C$11,ASSUMPTIONS!$C$69),K86+0.005)</f>
        <v/>
      </c>
      <c r="J86" s="83">
        <f>_xlfn.NORM.INV(RAND(),ASSUMPTIONS!$C$19,ASSUMPTIONS!$C$70)</f>
        <v/>
      </c>
      <c r="K86" s="83">
        <f>_xlfn.NORM.INV(RAND(),ASSUMPTIONS!$C$43,ASSUMPTIONS!$C$71)</f>
        <v/>
      </c>
      <c r="L86" s="84">
        <f>(((ASSUMPTIONS!$C$18*J86*(1-ASSUMPTIONS!$C$20)+ASSUMPTIONS!$C$18*ASSUMPTIONS!$C$21-ASSUMPTIONS!$C$18*ASSUMPTIONS!$C$22)*(1+H86)*(1-((1+H86)/(1+I86))^5)/(I86-H86))+((ASSUMPTIONS!$C$18*J86*(1-ASSUMPTIONS!$C$20)+ASSUMPTIONS!$C$18*ASSUMPTIONS!$C$21-ASSUMPTIONS!$C$18*ASSUMPTIONS!$C$22)*(1+H86)^5*(1+K86)/(I86-K86)/(1+I86)^5)-DCF!$C$12)/ASSUMPTIONS!$C$7</f>
        <v/>
      </c>
    </row>
    <row r="87">
      <c r="H87" s="83">
        <f>_xlfn.NORM.INV(RAND(),AVERAGE(ASSUMPTIONS!$C$38,ASSUMPTIONS!$C$39,ASSUMPTIONS!$C$40,ASSUMPTIONS!$C$41,ASSUMPTIONS!$C$42),ASSUMPTIONS!$C$68)</f>
        <v/>
      </c>
      <c r="I87" s="83">
        <f>MAX(_xlfn.NORM.INV(RAND(),DCF!$C$11,ASSUMPTIONS!$C$69),K87+0.005)</f>
        <v/>
      </c>
      <c r="J87" s="83">
        <f>_xlfn.NORM.INV(RAND(),ASSUMPTIONS!$C$19,ASSUMPTIONS!$C$70)</f>
        <v/>
      </c>
      <c r="K87" s="83">
        <f>_xlfn.NORM.INV(RAND(),ASSUMPTIONS!$C$43,ASSUMPTIONS!$C$71)</f>
        <v/>
      </c>
      <c r="L87" s="84">
        <f>(((ASSUMPTIONS!$C$18*J87*(1-ASSUMPTIONS!$C$20)+ASSUMPTIONS!$C$18*ASSUMPTIONS!$C$21-ASSUMPTIONS!$C$18*ASSUMPTIONS!$C$22)*(1+H87)*(1-((1+H87)/(1+I87))^5)/(I87-H87))+((ASSUMPTIONS!$C$18*J87*(1-ASSUMPTIONS!$C$20)+ASSUMPTIONS!$C$18*ASSUMPTIONS!$C$21-ASSUMPTIONS!$C$18*ASSUMPTIONS!$C$22)*(1+H87)^5*(1+K87)/(I87-K87)/(1+I87)^5)-DCF!$C$12)/ASSUMPTIONS!$C$7</f>
        <v/>
      </c>
    </row>
    <row r="88">
      <c r="H88" s="83">
        <f>_xlfn.NORM.INV(RAND(),AVERAGE(ASSUMPTIONS!$C$38,ASSUMPTIONS!$C$39,ASSUMPTIONS!$C$40,ASSUMPTIONS!$C$41,ASSUMPTIONS!$C$42),ASSUMPTIONS!$C$68)</f>
        <v/>
      </c>
      <c r="I88" s="83">
        <f>MAX(_xlfn.NORM.INV(RAND(),DCF!$C$11,ASSUMPTIONS!$C$69),K88+0.005)</f>
        <v/>
      </c>
      <c r="J88" s="83">
        <f>_xlfn.NORM.INV(RAND(),ASSUMPTIONS!$C$19,ASSUMPTIONS!$C$70)</f>
        <v/>
      </c>
      <c r="K88" s="83">
        <f>_xlfn.NORM.INV(RAND(),ASSUMPTIONS!$C$43,ASSUMPTIONS!$C$71)</f>
        <v/>
      </c>
      <c r="L88" s="84">
        <f>(((ASSUMPTIONS!$C$18*J88*(1-ASSUMPTIONS!$C$20)+ASSUMPTIONS!$C$18*ASSUMPTIONS!$C$21-ASSUMPTIONS!$C$18*ASSUMPTIONS!$C$22)*(1+H88)*(1-((1+H88)/(1+I88))^5)/(I88-H88))+((ASSUMPTIONS!$C$18*J88*(1-ASSUMPTIONS!$C$20)+ASSUMPTIONS!$C$18*ASSUMPTIONS!$C$21-ASSUMPTIONS!$C$18*ASSUMPTIONS!$C$22)*(1+H88)^5*(1+K88)/(I88-K88)/(1+I88)^5)-DCF!$C$12)/ASSUMPTIONS!$C$7</f>
        <v/>
      </c>
    </row>
    <row r="89">
      <c r="H89" s="83">
        <f>_xlfn.NORM.INV(RAND(),AVERAGE(ASSUMPTIONS!$C$38,ASSUMPTIONS!$C$39,ASSUMPTIONS!$C$40,ASSUMPTIONS!$C$41,ASSUMPTIONS!$C$42),ASSUMPTIONS!$C$68)</f>
        <v/>
      </c>
      <c r="I89" s="83">
        <f>MAX(_xlfn.NORM.INV(RAND(),DCF!$C$11,ASSUMPTIONS!$C$69),K89+0.005)</f>
        <v/>
      </c>
      <c r="J89" s="83">
        <f>_xlfn.NORM.INV(RAND(),ASSUMPTIONS!$C$19,ASSUMPTIONS!$C$70)</f>
        <v/>
      </c>
      <c r="K89" s="83">
        <f>_xlfn.NORM.INV(RAND(),ASSUMPTIONS!$C$43,ASSUMPTIONS!$C$71)</f>
        <v/>
      </c>
      <c r="L89" s="84">
        <f>(((ASSUMPTIONS!$C$18*J89*(1-ASSUMPTIONS!$C$20)+ASSUMPTIONS!$C$18*ASSUMPTIONS!$C$21-ASSUMPTIONS!$C$18*ASSUMPTIONS!$C$22)*(1+H89)*(1-((1+H89)/(1+I89))^5)/(I89-H89))+((ASSUMPTIONS!$C$18*J89*(1-ASSUMPTIONS!$C$20)+ASSUMPTIONS!$C$18*ASSUMPTIONS!$C$21-ASSUMPTIONS!$C$18*ASSUMPTIONS!$C$22)*(1+H89)^5*(1+K89)/(I89-K89)/(1+I89)^5)-DCF!$C$12)/ASSUMPTIONS!$C$7</f>
        <v/>
      </c>
    </row>
    <row r="90">
      <c r="H90" s="83">
        <f>_xlfn.NORM.INV(RAND(),AVERAGE(ASSUMPTIONS!$C$38,ASSUMPTIONS!$C$39,ASSUMPTIONS!$C$40,ASSUMPTIONS!$C$41,ASSUMPTIONS!$C$42),ASSUMPTIONS!$C$68)</f>
        <v/>
      </c>
      <c r="I90" s="83">
        <f>MAX(_xlfn.NORM.INV(RAND(),DCF!$C$11,ASSUMPTIONS!$C$69),K90+0.005)</f>
        <v/>
      </c>
      <c r="J90" s="83">
        <f>_xlfn.NORM.INV(RAND(),ASSUMPTIONS!$C$19,ASSUMPTIONS!$C$70)</f>
        <v/>
      </c>
      <c r="K90" s="83">
        <f>_xlfn.NORM.INV(RAND(),ASSUMPTIONS!$C$43,ASSUMPTIONS!$C$71)</f>
        <v/>
      </c>
      <c r="L90" s="84">
        <f>(((ASSUMPTIONS!$C$18*J90*(1-ASSUMPTIONS!$C$20)+ASSUMPTIONS!$C$18*ASSUMPTIONS!$C$21-ASSUMPTIONS!$C$18*ASSUMPTIONS!$C$22)*(1+H90)*(1-((1+H90)/(1+I90))^5)/(I90-H90))+((ASSUMPTIONS!$C$18*J90*(1-ASSUMPTIONS!$C$20)+ASSUMPTIONS!$C$18*ASSUMPTIONS!$C$21-ASSUMPTIONS!$C$18*ASSUMPTIONS!$C$22)*(1+H90)^5*(1+K90)/(I90-K90)/(1+I90)^5)-DCF!$C$12)/ASSUMPTIONS!$C$7</f>
        <v/>
      </c>
    </row>
    <row r="91">
      <c r="H91" s="83">
        <f>_xlfn.NORM.INV(RAND(),AVERAGE(ASSUMPTIONS!$C$38,ASSUMPTIONS!$C$39,ASSUMPTIONS!$C$40,ASSUMPTIONS!$C$41,ASSUMPTIONS!$C$42),ASSUMPTIONS!$C$68)</f>
        <v/>
      </c>
      <c r="I91" s="83">
        <f>MAX(_xlfn.NORM.INV(RAND(),DCF!$C$11,ASSUMPTIONS!$C$69),K91+0.005)</f>
        <v/>
      </c>
      <c r="J91" s="83">
        <f>_xlfn.NORM.INV(RAND(),ASSUMPTIONS!$C$19,ASSUMPTIONS!$C$70)</f>
        <v/>
      </c>
      <c r="K91" s="83">
        <f>_xlfn.NORM.INV(RAND(),ASSUMPTIONS!$C$43,ASSUMPTIONS!$C$71)</f>
        <v/>
      </c>
      <c r="L91" s="84">
        <f>(((ASSUMPTIONS!$C$18*J91*(1-ASSUMPTIONS!$C$20)+ASSUMPTIONS!$C$18*ASSUMPTIONS!$C$21-ASSUMPTIONS!$C$18*ASSUMPTIONS!$C$22)*(1+H91)*(1-((1+H91)/(1+I91))^5)/(I91-H91))+((ASSUMPTIONS!$C$18*J91*(1-ASSUMPTIONS!$C$20)+ASSUMPTIONS!$C$18*ASSUMPTIONS!$C$21-ASSUMPTIONS!$C$18*ASSUMPTIONS!$C$22)*(1+H91)^5*(1+K91)/(I91-K91)/(1+I91)^5)-DCF!$C$12)/ASSUMPTIONS!$C$7</f>
        <v/>
      </c>
    </row>
    <row r="92">
      <c r="H92" s="83">
        <f>_xlfn.NORM.INV(RAND(),AVERAGE(ASSUMPTIONS!$C$38,ASSUMPTIONS!$C$39,ASSUMPTIONS!$C$40,ASSUMPTIONS!$C$41,ASSUMPTIONS!$C$42),ASSUMPTIONS!$C$68)</f>
        <v/>
      </c>
      <c r="I92" s="83">
        <f>MAX(_xlfn.NORM.INV(RAND(),DCF!$C$11,ASSUMPTIONS!$C$69),K92+0.005)</f>
        <v/>
      </c>
      <c r="J92" s="83">
        <f>_xlfn.NORM.INV(RAND(),ASSUMPTIONS!$C$19,ASSUMPTIONS!$C$70)</f>
        <v/>
      </c>
      <c r="K92" s="83">
        <f>_xlfn.NORM.INV(RAND(),ASSUMPTIONS!$C$43,ASSUMPTIONS!$C$71)</f>
        <v/>
      </c>
      <c r="L92" s="84">
        <f>(((ASSUMPTIONS!$C$18*J92*(1-ASSUMPTIONS!$C$20)+ASSUMPTIONS!$C$18*ASSUMPTIONS!$C$21-ASSUMPTIONS!$C$18*ASSUMPTIONS!$C$22)*(1+H92)*(1-((1+H92)/(1+I92))^5)/(I92-H92))+((ASSUMPTIONS!$C$18*J92*(1-ASSUMPTIONS!$C$20)+ASSUMPTIONS!$C$18*ASSUMPTIONS!$C$21-ASSUMPTIONS!$C$18*ASSUMPTIONS!$C$22)*(1+H92)^5*(1+K92)/(I92-K92)/(1+I92)^5)-DCF!$C$12)/ASSUMPTIONS!$C$7</f>
        <v/>
      </c>
    </row>
    <row r="93">
      <c r="H93" s="83">
        <f>_xlfn.NORM.INV(RAND(),AVERAGE(ASSUMPTIONS!$C$38,ASSUMPTIONS!$C$39,ASSUMPTIONS!$C$40,ASSUMPTIONS!$C$41,ASSUMPTIONS!$C$42),ASSUMPTIONS!$C$68)</f>
        <v/>
      </c>
      <c r="I93" s="83">
        <f>MAX(_xlfn.NORM.INV(RAND(),DCF!$C$11,ASSUMPTIONS!$C$69),K93+0.005)</f>
        <v/>
      </c>
      <c r="J93" s="83">
        <f>_xlfn.NORM.INV(RAND(),ASSUMPTIONS!$C$19,ASSUMPTIONS!$C$70)</f>
        <v/>
      </c>
      <c r="K93" s="83">
        <f>_xlfn.NORM.INV(RAND(),ASSUMPTIONS!$C$43,ASSUMPTIONS!$C$71)</f>
        <v/>
      </c>
      <c r="L93" s="84">
        <f>(((ASSUMPTIONS!$C$18*J93*(1-ASSUMPTIONS!$C$20)+ASSUMPTIONS!$C$18*ASSUMPTIONS!$C$21-ASSUMPTIONS!$C$18*ASSUMPTIONS!$C$22)*(1+H93)*(1-((1+H93)/(1+I93))^5)/(I93-H93))+((ASSUMPTIONS!$C$18*J93*(1-ASSUMPTIONS!$C$20)+ASSUMPTIONS!$C$18*ASSUMPTIONS!$C$21-ASSUMPTIONS!$C$18*ASSUMPTIONS!$C$22)*(1+H93)^5*(1+K93)/(I93-K93)/(1+I93)^5)-DCF!$C$12)/ASSUMPTIONS!$C$7</f>
        <v/>
      </c>
    </row>
    <row r="94">
      <c r="H94" s="83">
        <f>_xlfn.NORM.INV(RAND(),AVERAGE(ASSUMPTIONS!$C$38,ASSUMPTIONS!$C$39,ASSUMPTIONS!$C$40,ASSUMPTIONS!$C$41,ASSUMPTIONS!$C$42),ASSUMPTIONS!$C$68)</f>
        <v/>
      </c>
      <c r="I94" s="83">
        <f>MAX(_xlfn.NORM.INV(RAND(),DCF!$C$11,ASSUMPTIONS!$C$69),K94+0.005)</f>
        <v/>
      </c>
      <c r="J94" s="83">
        <f>_xlfn.NORM.INV(RAND(),ASSUMPTIONS!$C$19,ASSUMPTIONS!$C$70)</f>
        <v/>
      </c>
      <c r="K94" s="83">
        <f>_xlfn.NORM.INV(RAND(),ASSUMPTIONS!$C$43,ASSUMPTIONS!$C$71)</f>
        <v/>
      </c>
      <c r="L94" s="84">
        <f>(((ASSUMPTIONS!$C$18*J94*(1-ASSUMPTIONS!$C$20)+ASSUMPTIONS!$C$18*ASSUMPTIONS!$C$21-ASSUMPTIONS!$C$18*ASSUMPTIONS!$C$22)*(1+H94)*(1-((1+H94)/(1+I94))^5)/(I94-H94))+((ASSUMPTIONS!$C$18*J94*(1-ASSUMPTIONS!$C$20)+ASSUMPTIONS!$C$18*ASSUMPTIONS!$C$21-ASSUMPTIONS!$C$18*ASSUMPTIONS!$C$22)*(1+H94)^5*(1+K94)/(I94-K94)/(1+I94)^5)-DCF!$C$12)/ASSUMPTIONS!$C$7</f>
        <v/>
      </c>
    </row>
    <row r="95">
      <c r="H95" s="83">
        <f>_xlfn.NORM.INV(RAND(),AVERAGE(ASSUMPTIONS!$C$38,ASSUMPTIONS!$C$39,ASSUMPTIONS!$C$40,ASSUMPTIONS!$C$41,ASSUMPTIONS!$C$42),ASSUMPTIONS!$C$68)</f>
        <v/>
      </c>
      <c r="I95" s="83">
        <f>MAX(_xlfn.NORM.INV(RAND(),DCF!$C$11,ASSUMPTIONS!$C$69),K95+0.005)</f>
        <v/>
      </c>
      <c r="J95" s="83">
        <f>_xlfn.NORM.INV(RAND(),ASSUMPTIONS!$C$19,ASSUMPTIONS!$C$70)</f>
        <v/>
      </c>
      <c r="K95" s="83">
        <f>_xlfn.NORM.INV(RAND(),ASSUMPTIONS!$C$43,ASSUMPTIONS!$C$71)</f>
        <v/>
      </c>
      <c r="L95" s="84">
        <f>(((ASSUMPTIONS!$C$18*J95*(1-ASSUMPTIONS!$C$20)+ASSUMPTIONS!$C$18*ASSUMPTIONS!$C$21-ASSUMPTIONS!$C$18*ASSUMPTIONS!$C$22)*(1+H95)*(1-((1+H95)/(1+I95))^5)/(I95-H95))+((ASSUMPTIONS!$C$18*J95*(1-ASSUMPTIONS!$C$20)+ASSUMPTIONS!$C$18*ASSUMPTIONS!$C$21-ASSUMPTIONS!$C$18*ASSUMPTIONS!$C$22)*(1+H95)^5*(1+K95)/(I95-K95)/(1+I95)^5)-DCF!$C$12)/ASSUMPTIONS!$C$7</f>
        <v/>
      </c>
    </row>
    <row r="96">
      <c r="H96" s="83">
        <f>_xlfn.NORM.INV(RAND(),AVERAGE(ASSUMPTIONS!$C$38,ASSUMPTIONS!$C$39,ASSUMPTIONS!$C$40,ASSUMPTIONS!$C$41,ASSUMPTIONS!$C$42),ASSUMPTIONS!$C$68)</f>
        <v/>
      </c>
      <c r="I96" s="83">
        <f>MAX(_xlfn.NORM.INV(RAND(),DCF!$C$11,ASSUMPTIONS!$C$69),K96+0.005)</f>
        <v/>
      </c>
      <c r="J96" s="83">
        <f>_xlfn.NORM.INV(RAND(),ASSUMPTIONS!$C$19,ASSUMPTIONS!$C$70)</f>
        <v/>
      </c>
      <c r="K96" s="83">
        <f>_xlfn.NORM.INV(RAND(),ASSUMPTIONS!$C$43,ASSUMPTIONS!$C$71)</f>
        <v/>
      </c>
      <c r="L96" s="84">
        <f>(((ASSUMPTIONS!$C$18*J96*(1-ASSUMPTIONS!$C$20)+ASSUMPTIONS!$C$18*ASSUMPTIONS!$C$21-ASSUMPTIONS!$C$18*ASSUMPTIONS!$C$22)*(1+H96)*(1-((1+H96)/(1+I96))^5)/(I96-H96))+((ASSUMPTIONS!$C$18*J96*(1-ASSUMPTIONS!$C$20)+ASSUMPTIONS!$C$18*ASSUMPTIONS!$C$21-ASSUMPTIONS!$C$18*ASSUMPTIONS!$C$22)*(1+H96)^5*(1+K96)/(I96-K96)/(1+I96)^5)-DCF!$C$12)/ASSUMPTIONS!$C$7</f>
        <v/>
      </c>
    </row>
    <row r="97">
      <c r="H97" s="83">
        <f>_xlfn.NORM.INV(RAND(),AVERAGE(ASSUMPTIONS!$C$38,ASSUMPTIONS!$C$39,ASSUMPTIONS!$C$40,ASSUMPTIONS!$C$41,ASSUMPTIONS!$C$42),ASSUMPTIONS!$C$68)</f>
        <v/>
      </c>
      <c r="I97" s="83">
        <f>MAX(_xlfn.NORM.INV(RAND(),DCF!$C$11,ASSUMPTIONS!$C$69),K97+0.005)</f>
        <v/>
      </c>
      <c r="J97" s="83">
        <f>_xlfn.NORM.INV(RAND(),ASSUMPTIONS!$C$19,ASSUMPTIONS!$C$70)</f>
        <v/>
      </c>
      <c r="K97" s="83">
        <f>_xlfn.NORM.INV(RAND(),ASSUMPTIONS!$C$43,ASSUMPTIONS!$C$71)</f>
        <v/>
      </c>
      <c r="L97" s="84">
        <f>(((ASSUMPTIONS!$C$18*J97*(1-ASSUMPTIONS!$C$20)+ASSUMPTIONS!$C$18*ASSUMPTIONS!$C$21-ASSUMPTIONS!$C$18*ASSUMPTIONS!$C$22)*(1+H97)*(1-((1+H97)/(1+I97))^5)/(I97-H97))+((ASSUMPTIONS!$C$18*J97*(1-ASSUMPTIONS!$C$20)+ASSUMPTIONS!$C$18*ASSUMPTIONS!$C$21-ASSUMPTIONS!$C$18*ASSUMPTIONS!$C$22)*(1+H97)^5*(1+K97)/(I97-K97)/(1+I97)^5)-DCF!$C$12)/ASSUMPTIONS!$C$7</f>
        <v/>
      </c>
    </row>
    <row r="98">
      <c r="H98" s="83">
        <f>_xlfn.NORM.INV(RAND(),AVERAGE(ASSUMPTIONS!$C$38,ASSUMPTIONS!$C$39,ASSUMPTIONS!$C$40,ASSUMPTIONS!$C$41,ASSUMPTIONS!$C$42),ASSUMPTIONS!$C$68)</f>
        <v/>
      </c>
      <c r="I98" s="83">
        <f>MAX(_xlfn.NORM.INV(RAND(),DCF!$C$11,ASSUMPTIONS!$C$69),K98+0.005)</f>
        <v/>
      </c>
      <c r="J98" s="83">
        <f>_xlfn.NORM.INV(RAND(),ASSUMPTIONS!$C$19,ASSUMPTIONS!$C$70)</f>
        <v/>
      </c>
      <c r="K98" s="83">
        <f>_xlfn.NORM.INV(RAND(),ASSUMPTIONS!$C$43,ASSUMPTIONS!$C$71)</f>
        <v/>
      </c>
      <c r="L98" s="84">
        <f>(((ASSUMPTIONS!$C$18*J98*(1-ASSUMPTIONS!$C$20)+ASSUMPTIONS!$C$18*ASSUMPTIONS!$C$21-ASSUMPTIONS!$C$18*ASSUMPTIONS!$C$22)*(1+H98)*(1-((1+H98)/(1+I98))^5)/(I98-H98))+((ASSUMPTIONS!$C$18*J98*(1-ASSUMPTIONS!$C$20)+ASSUMPTIONS!$C$18*ASSUMPTIONS!$C$21-ASSUMPTIONS!$C$18*ASSUMPTIONS!$C$22)*(1+H98)^5*(1+K98)/(I98-K98)/(1+I98)^5)-DCF!$C$12)/ASSUMPTIONS!$C$7</f>
        <v/>
      </c>
    </row>
    <row r="99">
      <c r="H99" s="83">
        <f>_xlfn.NORM.INV(RAND(),AVERAGE(ASSUMPTIONS!$C$38,ASSUMPTIONS!$C$39,ASSUMPTIONS!$C$40,ASSUMPTIONS!$C$41,ASSUMPTIONS!$C$42),ASSUMPTIONS!$C$68)</f>
        <v/>
      </c>
      <c r="I99" s="83">
        <f>MAX(_xlfn.NORM.INV(RAND(),DCF!$C$11,ASSUMPTIONS!$C$69),K99+0.005)</f>
        <v/>
      </c>
      <c r="J99" s="83">
        <f>_xlfn.NORM.INV(RAND(),ASSUMPTIONS!$C$19,ASSUMPTIONS!$C$70)</f>
        <v/>
      </c>
      <c r="K99" s="83">
        <f>_xlfn.NORM.INV(RAND(),ASSUMPTIONS!$C$43,ASSUMPTIONS!$C$71)</f>
        <v/>
      </c>
      <c r="L99" s="84">
        <f>(((ASSUMPTIONS!$C$18*J99*(1-ASSUMPTIONS!$C$20)+ASSUMPTIONS!$C$18*ASSUMPTIONS!$C$21-ASSUMPTIONS!$C$18*ASSUMPTIONS!$C$22)*(1+H99)*(1-((1+H99)/(1+I99))^5)/(I99-H99))+((ASSUMPTIONS!$C$18*J99*(1-ASSUMPTIONS!$C$20)+ASSUMPTIONS!$C$18*ASSUMPTIONS!$C$21-ASSUMPTIONS!$C$18*ASSUMPTIONS!$C$22)*(1+H99)^5*(1+K99)/(I99-K99)/(1+I99)^5)-DCF!$C$12)/ASSUMPTIONS!$C$7</f>
        <v/>
      </c>
    </row>
    <row r="100">
      <c r="H100" s="83">
        <f>_xlfn.NORM.INV(RAND(),AVERAGE(ASSUMPTIONS!$C$38,ASSUMPTIONS!$C$39,ASSUMPTIONS!$C$40,ASSUMPTIONS!$C$41,ASSUMPTIONS!$C$42),ASSUMPTIONS!$C$68)</f>
        <v/>
      </c>
      <c r="I100" s="83">
        <f>MAX(_xlfn.NORM.INV(RAND(),DCF!$C$11,ASSUMPTIONS!$C$69),K100+0.005)</f>
        <v/>
      </c>
      <c r="J100" s="83">
        <f>_xlfn.NORM.INV(RAND(),ASSUMPTIONS!$C$19,ASSUMPTIONS!$C$70)</f>
        <v/>
      </c>
      <c r="K100" s="83">
        <f>_xlfn.NORM.INV(RAND(),ASSUMPTIONS!$C$43,ASSUMPTIONS!$C$71)</f>
        <v/>
      </c>
      <c r="L100" s="84">
        <f>(((ASSUMPTIONS!$C$18*J100*(1-ASSUMPTIONS!$C$20)+ASSUMPTIONS!$C$18*ASSUMPTIONS!$C$21-ASSUMPTIONS!$C$18*ASSUMPTIONS!$C$22)*(1+H100)*(1-((1+H100)/(1+I100))^5)/(I100-H100))+((ASSUMPTIONS!$C$18*J100*(1-ASSUMPTIONS!$C$20)+ASSUMPTIONS!$C$18*ASSUMPTIONS!$C$21-ASSUMPTIONS!$C$18*ASSUMPTIONS!$C$22)*(1+H100)^5*(1+K100)/(I100-K100)/(1+I100)^5)-DCF!$C$12)/ASSUMPTIONS!$C$7</f>
        <v/>
      </c>
    </row>
    <row r="101">
      <c r="H101" s="83">
        <f>_xlfn.NORM.INV(RAND(),AVERAGE(ASSUMPTIONS!$C$38,ASSUMPTIONS!$C$39,ASSUMPTIONS!$C$40,ASSUMPTIONS!$C$41,ASSUMPTIONS!$C$42),ASSUMPTIONS!$C$68)</f>
        <v/>
      </c>
      <c r="I101" s="83">
        <f>MAX(_xlfn.NORM.INV(RAND(),DCF!$C$11,ASSUMPTIONS!$C$69),K101+0.005)</f>
        <v/>
      </c>
      <c r="J101" s="83">
        <f>_xlfn.NORM.INV(RAND(),ASSUMPTIONS!$C$19,ASSUMPTIONS!$C$70)</f>
        <v/>
      </c>
      <c r="K101" s="83">
        <f>_xlfn.NORM.INV(RAND(),ASSUMPTIONS!$C$43,ASSUMPTIONS!$C$71)</f>
        <v/>
      </c>
      <c r="L101" s="84">
        <f>(((ASSUMPTIONS!$C$18*J101*(1-ASSUMPTIONS!$C$20)+ASSUMPTIONS!$C$18*ASSUMPTIONS!$C$21-ASSUMPTIONS!$C$18*ASSUMPTIONS!$C$22)*(1+H101)*(1-((1+H101)/(1+I101))^5)/(I101-H101))+((ASSUMPTIONS!$C$18*J101*(1-ASSUMPTIONS!$C$20)+ASSUMPTIONS!$C$18*ASSUMPTIONS!$C$21-ASSUMPTIONS!$C$18*ASSUMPTIONS!$C$22)*(1+H101)^5*(1+K101)/(I101-K101)/(1+I101)^5)-DCF!$C$12)/ASSUMPTIONS!$C$7</f>
        <v/>
      </c>
    </row>
    <row r="102">
      <c r="H102" s="83">
        <f>_xlfn.NORM.INV(RAND(),AVERAGE(ASSUMPTIONS!$C$38,ASSUMPTIONS!$C$39,ASSUMPTIONS!$C$40,ASSUMPTIONS!$C$41,ASSUMPTIONS!$C$42),ASSUMPTIONS!$C$68)</f>
        <v/>
      </c>
      <c r="I102" s="83">
        <f>MAX(_xlfn.NORM.INV(RAND(),DCF!$C$11,ASSUMPTIONS!$C$69),K102+0.005)</f>
        <v/>
      </c>
      <c r="J102" s="83">
        <f>_xlfn.NORM.INV(RAND(),ASSUMPTIONS!$C$19,ASSUMPTIONS!$C$70)</f>
        <v/>
      </c>
      <c r="K102" s="83">
        <f>_xlfn.NORM.INV(RAND(),ASSUMPTIONS!$C$43,ASSUMPTIONS!$C$71)</f>
        <v/>
      </c>
      <c r="L102" s="84">
        <f>(((ASSUMPTIONS!$C$18*J102*(1-ASSUMPTIONS!$C$20)+ASSUMPTIONS!$C$18*ASSUMPTIONS!$C$21-ASSUMPTIONS!$C$18*ASSUMPTIONS!$C$22)*(1+H102)*(1-((1+H102)/(1+I102))^5)/(I102-H102))+((ASSUMPTIONS!$C$18*J102*(1-ASSUMPTIONS!$C$20)+ASSUMPTIONS!$C$18*ASSUMPTIONS!$C$21-ASSUMPTIONS!$C$18*ASSUMPTIONS!$C$22)*(1+H102)^5*(1+K102)/(I102-K102)/(1+I102)^5)-DCF!$C$12)/ASSUMPTIONS!$C$7</f>
        <v/>
      </c>
    </row>
    <row r="103">
      <c r="H103" s="83">
        <f>_xlfn.NORM.INV(RAND(),AVERAGE(ASSUMPTIONS!$C$38,ASSUMPTIONS!$C$39,ASSUMPTIONS!$C$40,ASSUMPTIONS!$C$41,ASSUMPTIONS!$C$42),ASSUMPTIONS!$C$68)</f>
        <v/>
      </c>
      <c r="I103" s="83">
        <f>MAX(_xlfn.NORM.INV(RAND(),DCF!$C$11,ASSUMPTIONS!$C$69),K103+0.005)</f>
        <v/>
      </c>
      <c r="J103" s="83">
        <f>_xlfn.NORM.INV(RAND(),ASSUMPTIONS!$C$19,ASSUMPTIONS!$C$70)</f>
        <v/>
      </c>
      <c r="K103" s="83">
        <f>_xlfn.NORM.INV(RAND(),ASSUMPTIONS!$C$43,ASSUMPTIONS!$C$71)</f>
        <v/>
      </c>
      <c r="L103" s="84">
        <f>(((ASSUMPTIONS!$C$18*J103*(1-ASSUMPTIONS!$C$20)+ASSUMPTIONS!$C$18*ASSUMPTIONS!$C$21-ASSUMPTIONS!$C$18*ASSUMPTIONS!$C$22)*(1+H103)*(1-((1+H103)/(1+I103))^5)/(I103-H103))+((ASSUMPTIONS!$C$18*J103*(1-ASSUMPTIONS!$C$20)+ASSUMPTIONS!$C$18*ASSUMPTIONS!$C$21-ASSUMPTIONS!$C$18*ASSUMPTIONS!$C$22)*(1+H103)^5*(1+K103)/(I103-K103)/(1+I103)^5)-DCF!$C$12)/ASSUMPTIONS!$C$7</f>
        <v/>
      </c>
    </row>
    <row r="104">
      <c r="H104" s="83">
        <f>_xlfn.NORM.INV(RAND(),AVERAGE(ASSUMPTIONS!$C$38,ASSUMPTIONS!$C$39,ASSUMPTIONS!$C$40,ASSUMPTIONS!$C$41,ASSUMPTIONS!$C$42),ASSUMPTIONS!$C$68)</f>
        <v/>
      </c>
      <c r="I104" s="83">
        <f>MAX(_xlfn.NORM.INV(RAND(),DCF!$C$11,ASSUMPTIONS!$C$69),K104+0.005)</f>
        <v/>
      </c>
      <c r="J104" s="83">
        <f>_xlfn.NORM.INV(RAND(),ASSUMPTIONS!$C$19,ASSUMPTIONS!$C$70)</f>
        <v/>
      </c>
      <c r="K104" s="83">
        <f>_xlfn.NORM.INV(RAND(),ASSUMPTIONS!$C$43,ASSUMPTIONS!$C$71)</f>
        <v/>
      </c>
      <c r="L104" s="84">
        <f>(((ASSUMPTIONS!$C$18*J104*(1-ASSUMPTIONS!$C$20)+ASSUMPTIONS!$C$18*ASSUMPTIONS!$C$21-ASSUMPTIONS!$C$18*ASSUMPTIONS!$C$22)*(1+H104)*(1-((1+H104)/(1+I104))^5)/(I104-H104))+((ASSUMPTIONS!$C$18*J104*(1-ASSUMPTIONS!$C$20)+ASSUMPTIONS!$C$18*ASSUMPTIONS!$C$21-ASSUMPTIONS!$C$18*ASSUMPTIONS!$C$22)*(1+H104)^5*(1+K104)/(I104-K104)/(1+I104)^5)-DCF!$C$12)/ASSUMPTIONS!$C$7</f>
        <v/>
      </c>
    </row>
    <row r="105">
      <c r="H105" s="83">
        <f>_xlfn.NORM.INV(RAND(),AVERAGE(ASSUMPTIONS!$C$38,ASSUMPTIONS!$C$39,ASSUMPTIONS!$C$40,ASSUMPTIONS!$C$41,ASSUMPTIONS!$C$42),ASSUMPTIONS!$C$68)</f>
        <v/>
      </c>
      <c r="I105" s="83">
        <f>MAX(_xlfn.NORM.INV(RAND(),DCF!$C$11,ASSUMPTIONS!$C$69),K105+0.005)</f>
        <v/>
      </c>
      <c r="J105" s="83">
        <f>_xlfn.NORM.INV(RAND(),ASSUMPTIONS!$C$19,ASSUMPTIONS!$C$70)</f>
        <v/>
      </c>
      <c r="K105" s="83">
        <f>_xlfn.NORM.INV(RAND(),ASSUMPTIONS!$C$43,ASSUMPTIONS!$C$71)</f>
        <v/>
      </c>
      <c r="L105" s="84">
        <f>(((ASSUMPTIONS!$C$18*J105*(1-ASSUMPTIONS!$C$20)+ASSUMPTIONS!$C$18*ASSUMPTIONS!$C$21-ASSUMPTIONS!$C$18*ASSUMPTIONS!$C$22)*(1+H105)*(1-((1+H105)/(1+I105))^5)/(I105-H105))+((ASSUMPTIONS!$C$18*J105*(1-ASSUMPTIONS!$C$20)+ASSUMPTIONS!$C$18*ASSUMPTIONS!$C$21-ASSUMPTIONS!$C$18*ASSUMPTIONS!$C$22)*(1+H105)^5*(1+K105)/(I105-K105)/(1+I105)^5)-DCF!$C$12)/ASSUMPTIONS!$C$7</f>
        <v/>
      </c>
    </row>
    <row r="106">
      <c r="H106" s="83">
        <f>_xlfn.NORM.INV(RAND(),AVERAGE(ASSUMPTIONS!$C$38,ASSUMPTIONS!$C$39,ASSUMPTIONS!$C$40,ASSUMPTIONS!$C$41,ASSUMPTIONS!$C$42),ASSUMPTIONS!$C$68)</f>
        <v/>
      </c>
      <c r="I106" s="83">
        <f>MAX(_xlfn.NORM.INV(RAND(),DCF!$C$11,ASSUMPTIONS!$C$69),K106+0.005)</f>
        <v/>
      </c>
      <c r="J106" s="83">
        <f>_xlfn.NORM.INV(RAND(),ASSUMPTIONS!$C$19,ASSUMPTIONS!$C$70)</f>
        <v/>
      </c>
      <c r="K106" s="83">
        <f>_xlfn.NORM.INV(RAND(),ASSUMPTIONS!$C$43,ASSUMPTIONS!$C$71)</f>
        <v/>
      </c>
      <c r="L106" s="84">
        <f>(((ASSUMPTIONS!$C$18*J106*(1-ASSUMPTIONS!$C$20)+ASSUMPTIONS!$C$18*ASSUMPTIONS!$C$21-ASSUMPTIONS!$C$18*ASSUMPTIONS!$C$22)*(1+H106)*(1-((1+H106)/(1+I106))^5)/(I106-H106))+((ASSUMPTIONS!$C$18*J106*(1-ASSUMPTIONS!$C$20)+ASSUMPTIONS!$C$18*ASSUMPTIONS!$C$21-ASSUMPTIONS!$C$18*ASSUMPTIONS!$C$22)*(1+H106)^5*(1+K106)/(I106-K106)/(1+I106)^5)-DCF!$C$12)/ASSUMPTIONS!$C$7</f>
        <v/>
      </c>
    </row>
    <row r="107">
      <c r="H107" s="83">
        <f>_xlfn.NORM.INV(RAND(),AVERAGE(ASSUMPTIONS!$C$38,ASSUMPTIONS!$C$39,ASSUMPTIONS!$C$40,ASSUMPTIONS!$C$41,ASSUMPTIONS!$C$42),ASSUMPTIONS!$C$68)</f>
        <v/>
      </c>
      <c r="I107" s="83">
        <f>MAX(_xlfn.NORM.INV(RAND(),DCF!$C$11,ASSUMPTIONS!$C$69),K107+0.005)</f>
        <v/>
      </c>
      <c r="J107" s="83">
        <f>_xlfn.NORM.INV(RAND(),ASSUMPTIONS!$C$19,ASSUMPTIONS!$C$70)</f>
        <v/>
      </c>
      <c r="K107" s="83">
        <f>_xlfn.NORM.INV(RAND(),ASSUMPTIONS!$C$43,ASSUMPTIONS!$C$71)</f>
        <v/>
      </c>
      <c r="L107" s="84">
        <f>(((ASSUMPTIONS!$C$18*J107*(1-ASSUMPTIONS!$C$20)+ASSUMPTIONS!$C$18*ASSUMPTIONS!$C$21-ASSUMPTIONS!$C$18*ASSUMPTIONS!$C$22)*(1+H107)*(1-((1+H107)/(1+I107))^5)/(I107-H107))+((ASSUMPTIONS!$C$18*J107*(1-ASSUMPTIONS!$C$20)+ASSUMPTIONS!$C$18*ASSUMPTIONS!$C$21-ASSUMPTIONS!$C$18*ASSUMPTIONS!$C$22)*(1+H107)^5*(1+K107)/(I107-K107)/(1+I107)^5)-DCF!$C$12)/ASSUMPTIONS!$C$7</f>
        <v/>
      </c>
    </row>
    <row r="108">
      <c r="H108" s="83">
        <f>_xlfn.NORM.INV(RAND(),AVERAGE(ASSUMPTIONS!$C$38,ASSUMPTIONS!$C$39,ASSUMPTIONS!$C$40,ASSUMPTIONS!$C$41,ASSUMPTIONS!$C$42),ASSUMPTIONS!$C$68)</f>
        <v/>
      </c>
      <c r="I108" s="83">
        <f>MAX(_xlfn.NORM.INV(RAND(),DCF!$C$11,ASSUMPTIONS!$C$69),K108+0.005)</f>
        <v/>
      </c>
      <c r="J108" s="83">
        <f>_xlfn.NORM.INV(RAND(),ASSUMPTIONS!$C$19,ASSUMPTIONS!$C$70)</f>
        <v/>
      </c>
      <c r="K108" s="83">
        <f>_xlfn.NORM.INV(RAND(),ASSUMPTIONS!$C$43,ASSUMPTIONS!$C$71)</f>
        <v/>
      </c>
      <c r="L108" s="84">
        <f>(((ASSUMPTIONS!$C$18*J108*(1-ASSUMPTIONS!$C$20)+ASSUMPTIONS!$C$18*ASSUMPTIONS!$C$21-ASSUMPTIONS!$C$18*ASSUMPTIONS!$C$22)*(1+H108)*(1-((1+H108)/(1+I108))^5)/(I108-H108))+((ASSUMPTIONS!$C$18*J108*(1-ASSUMPTIONS!$C$20)+ASSUMPTIONS!$C$18*ASSUMPTIONS!$C$21-ASSUMPTIONS!$C$18*ASSUMPTIONS!$C$22)*(1+H108)^5*(1+K108)/(I108-K108)/(1+I108)^5)-DCF!$C$12)/ASSUMPTIONS!$C$7</f>
        <v/>
      </c>
    </row>
    <row r="109">
      <c r="H109" s="83">
        <f>_xlfn.NORM.INV(RAND(),AVERAGE(ASSUMPTIONS!$C$38,ASSUMPTIONS!$C$39,ASSUMPTIONS!$C$40,ASSUMPTIONS!$C$41,ASSUMPTIONS!$C$42),ASSUMPTIONS!$C$68)</f>
        <v/>
      </c>
      <c r="I109" s="83">
        <f>MAX(_xlfn.NORM.INV(RAND(),DCF!$C$11,ASSUMPTIONS!$C$69),K109+0.005)</f>
        <v/>
      </c>
      <c r="J109" s="83">
        <f>_xlfn.NORM.INV(RAND(),ASSUMPTIONS!$C$19,ASSUMPTIONS!$C$70)</f>
        <v/>
      </c>
      <c r="K109" s="83">
        <f>_xlfn.NORM.INV(RAND(),ASSUMPTIONS!$C$43,ASSUMPTIONS!$C$71)</f>
        <v/>
      </c>
      <c r="L109" s="84">
        <f>(((ASSUMPTIONS!$C$18*J109*(1-ASSUMPTIONS!$C$20)+ASSUMPTIONS!$C$18*ASSUMPTIONS!$C$21-ASSUMPTIONS!$C$18*ASSUMPTIONS!$C$22)*(1+H109)*(1-((1+H109)/(1+I109))^5)/(I109-H109))+((ASSUMPTIONS!$C$18*J109*(1-ASSUMPTIONS!$C$20)+ASSUMPTIONS!$C$18*ASSUMPTIONS!$C$21-ASSUMPTIONS!$C$18*ASSUMPTIONS!$C$22)*(1+H109)^5*(1+K109)/(I109-K109)/(1+I109)^5)-DCF!$C$12)/ASSUMPTIONS!$C$7</f>
        <v/>
      </c>
    </row>
    <row r="110">
      <c r="H110" s="83">
        <f>_xlfn.NORM.INV(RAND(),AVERAGE(ASSUMPTIONS!$C$38,ASSUMPTIONS!$C$39,ASSUMPTIONS!$C$40,ASSUMPTIONS!$C$41,ASSUMPTIONS!$C$42),ASSUMPTIONS!$C$68)</f>
        <v/>
      </c>
      <c r="I110" s="83">
        <f>MAX(_xlfn.NORM.INV(RAND(),DCF!$C$11,ASSUMPTIONS!$C$69),K110+0.005)</f>
        <v/>
      </c>
      <c r="J110" s="83">
        <f>_xlfn.NORM.INV(RAND(),ASSUMPTIONS!$C$19,ASSUMPTIONS!$C$70)</f>
        <v/>
      </c>
      <c r="K110" s="83">
        <f>_xlfn.NORM.INV(RAND(),ASSUMPTIONS!$C$43,ASSUMPTIONS!$C$71)</f>
        <v/>
      </c>
      <c r="L110" s="84">
        <f>(((ASSUMPTIONS!$C$18*J110*(1-ASSUMPTIONS!$C$20)+ASSUMPTIONS!$C$18*ASSUMPTIONS!$C$21-ASSUMPTIONS!$C$18*ASSUMPTIONS!$C$22)*(1+H110)*(1-((1+H110)/(1+I110))^5)/(I110-H110))+((ASSUMPTIONS!$C$18*J110*(1-ASSUMPTIONS!$C$20)+ASSUMPTIONS!$C$18*ASSUMPTIONS!$C$21-ASSUMPTIONS!$C$18*ASSUMPTIONS!$C$22)*(1+H110)^5*(1+K110)/(I110-K110)/(1+I110)^5)-DCF!$C$12)/ASSUMPTIONS!$C$7</f>
        <v/>
      </c>
    </row>
    <row r="111">
      <c r="H111" s="83">
        <f>_xlfn.NORM.INV(RAND(),AVERAGE(ASSUMPTIONS!$C$38,ASSUMPTIONS!$C$39,ASSUMPTIONS!$C$40,ASSUMPTIONS!$C$41,ASSUMPTIONS!$C$42),ASSUMPTIONS!$C$68)</f>
        <v/>
      </c>
      <c r="I111" s="83">
        <f>MAX(_xlfn.NORM.INV(RAND(),DCF!$C$11,ASSUMPTIONS!$C$69),K111+0.005)</f>
        <v/>
      </c>
      <c r="J111" s="83">
        <f>_xlfn.NORM.INV(RAND(),ASSUMPTIONS!$C$19,ASSUMPTIONS!$C$70)</f>
        <v/>
      </c>
      <c r="K111" s="83">
        <f>_xlfn.NORM.INV(RAND(),ASSUMPTIONS!$C$43,ASSUMPTIONS!$C$71)</f>
        <v/>
      </c>
      <c r="L111" s="84">
        <f>(((ASSUMPTIONS!$C$18*J111*(1-ASSUMPTIONS!$C$20)+ASSUMPTIONS!$C$18*ASSUMPTIONS!$C$21-ASSUMPTIONS!$C$18*ASSUMPTIONS!$C$22)*(1+H111)*(1-((1+H111)/(1+I111))^5)/(I111-H111))+((ASSUMPTIONS!$C$18*J111*(1-ASSUMPTIONS!$C$20)+ASSUMPTIONS!$C$18*ASSUMPTIONS!$C$21-ASSUMPTIONS!$C$18*ASSUMPTIONS!$C$22)*(1+H111)^5*(1+K111)/(I111-K111)/(1+I111)^5)-DCF!$C$12)/ASSUMPTIONS!$C$7</f>
        <v/>
      </c>
    </row>
    <row r="112">
      <c r="H112" s="83">
        <f>_xlfn.NORM.INV(RAND(),AVERAGE(ASSUMPTIONS!$C$38,ASSUMPTIONS!$C$39,ASSUMPTIONS!$C$40,ASSUMPTIONS!$C$41,ASSUMPTIONS!$C$42),ASSUMPTIONS!$C$68)</f>
        <v/>
      </c>
      <c r="I112" s="83">
        <f>MAX(_xlfn.NORM.INV(RAND(),DCF!$C$11,ASSUMPTIONS!$C$69),K112+0.005)</f>
        <v/>
      </c>
      <c r="J112" s="83">
        <f>_xlfn.NORM.INV(RAND(),ASSUMPTIONS!$C$19,ASSUMPTIONS!$C$70)</f>
        <v/>
      </c>
      <c r="K112" s="83">
        <f>_xlfn.NORM.INV(RAND(),ASSUMPTIONS!$C$43,ASSUMPTIONS!$C$71)</f>
        <v/>
      </c>
      <c r="L112" s="84">
        <f>(((ASSUMPTIONS!$C$18*J112*(1-ASSUMPTIONS!$C$20)+ASSUMPTIONS!$C$18*ASSUMPTIONS!$C$21-ASSUMPTIONS!$C$18*ASSUMPTIONS!$C$22)*(1+H112)*(1-((1+H112)/(1+I112))^5)/(I112-H112))+((ASSUMPTIONS!$C$18*J112*(1-ASSUMPTIONS!$C$20)+ASSUMPTIONS!$C$18*ASSUMPTIONS!$C$21-ASSUMPTIONS!$C$18*ASSUMPTIONS!$C$22)*(1+H112)^5*(1+K112)/(I112-K112)/(1+I112)^5)-DCF!$C$12)/ASSUMPTIONS!$C$7</f>
        <v/>
      </c>
    </row>
    <row r="113">
      <c r="H113" s="83">
        <f>_xlfn.NORM.INV(RAND(),AVERAGE(ASSUMPTIONS!$C$38,ASSUMPTIONS!$C$39,ASSUMPTIONS!$C$40,ASSUMPTIONS!$C$41,ASSUMPTIONS!$C$42),ASSUMPTIONS!$C$68)</f>
        <v/>
      </c>
      <c r="I113" s="83">
        <f>MAX(_xlfn.NORM.INV(RAND(),DCF!$C$11,ASSUMPTIONS!$C$69),K113+0.005)</f>
        <v/>
      </c>
      <c r="J113" s="83">
        <f>_xlfn.NORM.INV(RAND(),ASSUMPTIONS!$C$19,ASSUMPTIONS!$C$70)</f>
        <v/>
      </c>
      <c r="K113" s="83">
        <f>_xlfn.NORM.INV(RAND(),ASSUMPTIONS!$C$43,ASSUMPTIONS!$C$71)</f>
        <v/>
      </c>
      <c r="L113" s="84">
        <f>(((ASSUMPTIONS!$C$18*J113*(1-ASSUMPTIONS!$C$20)+ASSUMPTIONS!$C$18*ASSUMPTIONS!$C$21-ASSUMPTIONS!$C$18*ASSUMPTIONS!$C$22)*(1+H113)*(1-((1+H113)/(1+I113))^5)/(I113-H113))+((ASSUMPTIONS!$C$18*J113*(1-ASSUMPTIONS!$C$20)+ASSUMPTIONS!$C$18*ASSUMPTIONS!$C$21-ASSUMPTIONS!$C$18*ASSUMPTIONS!$C$22)*(1+H113)^5*(1+K113)/(I113-K113)/(1+I113)^5)-DCF!$C$12)/ASSUMPTIONS!$C$7</f>
        <v/>
      </c>
    </row>
    <row r="114">
      <c r="H114" s="83">
        <f>_xlfn.NORM.INV(RAND(),AVERAGE(ASSUMPTIONS!$C$38,ASSUMPTIONS!$C$39,ASSUMPTIONS!$C$40,ASSUMPTIONS!$C$41,ASSUMPTIONS!$C$42),ASSUMPTIONS!$C$68)</f>
        <v/>
      </c>
      <c r="I114" s="83">
        <f>MAX(_xlfn.NORM.INV(RAND(),DCF!$C$11,ASSUMPTIONS!$C$69),K114+0.005)</f>
        <v/>
      </c>
      <c r="J114" s="83">
        <f>_xlfn.NORM.INV(RAND(),ASSUMPTIONS!$C$19,ASSUMPTIONS!$C$70)</f>
        <v/>
      </c>
      <c r="K114" s="83">
        <f>_xlfn.NORM.INV(RAND(),ASSUMPTIONS!$C$43,ASSUMPTIONS!$C$71)</f>
        <v/>
      </c>
      <c r="L114" s="84">
        <f>(((ASSUMPTIONS!$C$18*J114*(1-ASSUMPTIONS!$C$20)+ASSUMPTIONS!$C$18*ASSUMPTIONS!$C$21-ASSUMPTIONS!$C$18*ASSUMPTIONS!$C$22)*(1+H114)*(1-((1+H114)/(1+I114))^5)/(I114-H114))+((ASSUMPTIONS!$C$18*J114*(1-ASSUMPTIONS!$C$20)+ASSUMPTIONS!$C$18*ASSUMPTIONS!$C$21-ASSUMPTIONS!$C$18*ASSUMPTIONS!$C$22)*(1+H114)^5*(1+K114)/(I114-K114)/(1+I114)^5)-DCF!$C$12)/ASSUMPTIONS!$C$7</f>
        <v/>
      </c>
    </row>
    <row r="115">
      <c r="H115" s="83">
        <f>_xlfn.NORM.INV(RAND(),AVERAGE(ASSUMPTIONS!$C$38,ASSUMPTIONS!$C$39,ASSUMPTIONS!$C$40,ASSUMPTIONS!$C$41,ASSUMPTIONS!$C$42),ASSUMPTIONS!$C$68)</f>
        <v/>
      </c>
      <c r="I115" s="83">
        <f>MAX(_xlfn.NORM.INV(RAND(),DCF!$C$11,ASSUMPTIONS!$C$69),K115+0.005)</f>
        <v/>
      </c>
      <c r="J115" s="83">
        <f>_xlfn.NORM.INV(RAND(),ASSUMPTIONS!$C$19,ASSUMPTIONS!$C$70)</f>
        <v/>
      </c>
      <c r="K115" s="83">
        <f>_xlfn.NORM.INV(RAND(),ASSUMPTIONS!$C$43,ASSUMPTIONS!$C$71)</f>
        <v/>
      </c>
      <c r="L115" s="84">
        <f>(((ASSUMPTIONS!$C$18*J115*(1-ASSUMPTIONS!$C$20)+ASSUMPTIONS!$C$18*ASSUMPTIONS!$C$21-ASSUMPTIONS!$C$18*ASSUMPTIONS!$C$22)*(1+H115)*(1-((1+H115)/(1+I115))^5)/(I115-H115))+((ASSUMPTIONS!$C$18*J115*(1-ASSUMPTIONS!$C$20)+ASSUMPTIONS!$C$18*ASSUMPTIONS!$C$21-ASSUMPTIONS!$C$18*ASSUMPTIONS!$C$22)*(1+H115)^5*(1+K115)/(I115-K115)/(1+I115)^5)-DCF!$C$12)/ASSUMPTIONS!$C$7</f>
        <v/>
      </c>
    </row>
    <row r="116">
      <c r="H116" s="83">
        <f>_xlfn.NORM.INV(RAND(),AVERAGE(ASSUMPTIONS!$C$38,ASSUMPTIONS!$C$39,ASSUMPTIONS!$C$40,ASSUMPTIONS!$C$41,ASSUMPTIONS!$C$42),ASSUMPTIONS!$C$68)</f>
        <v/>
      </c>
      <c r="I116" s="83">
        <f>MAX(_xlfn.NORM.INV(RAND(),DCF!$C$11,ASSUMPTIONS!$C$69),K116+0.005)</f>
        <v/>
      </c>
      <c r="J116" s="83">
        <f>_xlfn.NORM.INV(RAND(),ASSUMPTIONS!$C$19,ASSUMPTIONS!$C$70)</f>
        <v/>
      </c>
      <c r="K116" s="83">
        <f>_xlfn.NORM.INV(RAND(),ASSUMPTIONS!$C$43,ASSUMPTIONS!$C$71)</f>
        <v/>
      </c>
      <c r="L116" s="84">
        <f>(((ASSUMPTIONS!$C$18*J116*(1-ASSUMPTIONS!$C$20)+ASSUMPTIONS!$C$18*ASSUMPTIONS!$C$21-ASSUMPTIONS!$C$18*ASSUMPTIONS!$C$22)*(1+H116)*(1-((1+H116)/(1+I116))^5)/(I116-H116))+((ASSUMPTIONS!$C$18*J116*(1-ASSUMPTIONS!$C$20)+ASSUMPTIONS!$C$18*ASSUMPTIONS!$C$21-ASSUMPTIONS!$C$18*ASSUMPTIONS!$C$22)*(1+H116)^5*(1+K116)/(I116-K116)/(1+I116)^5)-DCF!$C$12)/ASSUMPTIONS!$C$7</f>
        <v/>
      </c>
    </row>
    <row r="117">
      <c r="H117" s="83">
        <f>_xlfn.NORM.INV(RAND(),AVERAGE(ASSUMPTIONS!$C$38,ASSUMPTIONS!$C$39,ASSUMPTIONS!$C$40,ASSUMPTIONS!$C$41,ASSUMPTIONS!$C$42),ASSUMPTIONS!$C$68)</f>
        <v/>
      </c>
      <c r="I117" s="83">
        <f>MAX(_xlfn.NORM.INV(RAND(),DCF!$C$11,ASSUMPTIONS!$C$69),K117+0.005)</f>
        <v/>
      </c>
      <c r="J117" s="83">
        <f>_xlfn.NORM.INV(RAND(),ASSUMPTIONS!$C$19,ASSUMPTIONS!$C$70)</f>
        <v/>
      </c>
      <c r="K117" s="83">
        <f>_xlfn.NORM.INV(RAND(),ASSUMPTIONS!$C$43,ASSUMPTIONS!$C$71)</f>
        <v/>
      </c>
      <c r="L117" s="84">
        <f>(((ASSUMPTIONS!$C$18*J117*(1-ASSUMPTIONS!$C$20)+ASSUMPTIONS!$C$18*ASSUMPTIONS!$C$21-ASSUMPTIONS!$C$18*ASSUMPTIONS!$C$22)*(1+H117)*(1-((1+H117)/(1+I117))^5)/(I117-H117))+((ASSUMPTIONS!$C$18*J117*(1-ASSUMPTIONS!$C$20)+ASSUMPTIONS!$C$18*ASSUMPTIONS!$C$21-ASSUMPTIONS!$C$18*ASSUMPTIONS!$C$22)*(1+H117)^5*(1+K117)/(I117-K117)/(1+I117)^5)-DCF!$C$12)/ASSUMPTIONS!$C$7</f>
        <v/>
      </c>
    </row>
    <row r="118">
      <c r="H118" s="83">
        <f>_xlfn.NORM.INV(RAND(),AVERAGE(ASSUMPTIONS!$C$38,ASSUMPTIONS!$C$39,ASSUMPTIONS!$C$40,ASSUMPTIONS!$C$41,ASSUMPTIONS!$C$42),ASSUMPTIONS!$C$68)</f>
        <v/>
      </c>
      <c r="I118" s="83">
        <f>MAX(_xlfn.NORM.INV(RAND(),DCF!$C$11,ASSUMPTIONS!$C$69),K118+0.005)</f>
        <v/>
      </c>
      <c r="J118" s="83">
        <f>_xlfn.NORM.INV(RAND(),ASSUMPTIONS!$C$19,ASSUMPTIONS!$C$70)</f>
        <v/>
      </c>
      <c r="K118" s="83">
        <f>_xlfn.NORM.INV(RAND(),ASSUMPTIONS!$C$43,ASSUMPTIONS!$C$71)</f>
        <v/>
      </c>
      <c r="L118" s="84">
        <f>(((ASSUMPTIONS!$C$18*J118*(1-ASSUMPTIONS!$C$20)+ASSUMPTIONS!$C$18*ASSUMPTIONS!$C$21-ASSUMPTIONS!$C$18*ASSUMPTIONS!$C$22)*(1+H118)*(1-((1+H118)/(1+I118))^5)/(I118-H118))+((ASSUMPTIONS!$C$18*J118*(1-ASSUMPTIONS!$C$20)+ASSUMPTIONS!$C$18*ASSUMPTIONS!$C$21-ASSUMPTIONS!$C$18*ASSUMPTIONS!$C$22)*(1+H118)^5*(1+K118)/(I118-K118)/(1+I118)^5)-DCF!$C$12)/ASSUMPTIONS!$C$7</f>
        <v/>
      </c>
    </row>
    <row r="119">
      <c r="H119" s="83">
        <f>_xlfn.NORM.INV(RAND(),AVERAGE(ASSUMPTIONS!$C$38,ASSUMPTIONS!$C$39,ASSUMPTIONS!$C$40,ASSUMPTIONS!$C$41,ASSUMPTIONS!$C$42),ASSUMPTIONS!$C$68)</f>
        <v/>
      </c>
      <c r="I119" s="83">
        <f>MAX(_xlfn.NORM.INV(RAND(),DCF!$C$11,ASSUMPTIONS!$C$69),K119+0.005)</f>
        <v/>
      </c>
      <c r="J119" s="83">
        <f>_xlfn.NORM.INV(RAND(),ASSUMPTIONS!$C$19,ASSUMPTIONS!$C$70)</f>
        <v/>
      </c>
      <c r="K119" s="83">
        <f>_xlfn.NORM.INV(RAND(),ASSUMPTIONS!$C$43,ASSUMPTIONS!$C$71)</f>
        <v/>
      </c>
      <c r="L119" s="84">
        <f>(((ASSUMPTIONS!$C$18*J119*(1-ASSUMPTIONS!$C$20)+ASSUMPTIONS!$C$18*ASSUMPTIONS!$C$21-ASSUMPTIONS!$C$18*ASSUMPTIONS!$C$22)*(1+H119)*(1-((1+H119)/(1+I119))^5)/(I119-H119))+((ASSUMPTIONS!$C$18*J119*(1-ASSUMPTIONS!$C$20)+ASSUMPTIONS!$C$18*ASSUMPTIONS!$C$21-ASSUMPTIONS!$C$18*ASSUMPTIONS!$C$22)*(1+H119)^5*(1+K119)/(I119-K119)/(1+I119)^5)-DCF!$C$12)/ASSUMPTIONS!$C$7</f>
        <v/>
      </c>
    </row>
    <row r="120">
      <c r="H120" s="83">
        <f>_xlfn.NORM.INV(RAND(),AVERAGE(ASSUMPTIONS!$C$38,ASSUMPTIONS!$C$39,ASSUMPTIONS!$C$40,ASSUMPTIONS!$C$41,ASSUMPTIONS!$C$42),ASSUMPTIONS!$C$68)</f>
        <v/>
      </c>
      <c r="I120" s="83">
        <f>MAX(_xlfn.NORM.INV(RAND(),DCF!$C$11,ASSUMPTIONS!$C$69),K120+0.005)</f>
        <v/>
      </c>
      <c r="J120" s="83">
        <f>_xlfn.NORM.INV(RAND(),ASSUMPTIONS!$C$19,ASSUMPTIONS!$C$70)</f>
        <v/>
      </c>
      <c r="K120" s="83">
        <f>_xlfn.NORM.INV(RAND(),ASSUMPTIONS!$C$43,ASSUMPTIONS!$C$71)</f>
        <v/>
      </c>
      <c r="L120" s="84">
        <f>(((ASSUMPTIONS!$C$18*J120*(1-ASSUMPTIONS!$C$20)+ASSUMPTIONS!$C$18*ASSUMPTIONS!$C$21-ASSUMPTIONS!$C$18*ASSUMPTIONS!$C$22)*(1+H120)*(1-((1+H120)/(1+I120))^5)/(I120-H120))+((ASSUMPTIONS!$C$18*J120*(1-ASSUMPTIONS!$C$20)+ASSUMPTIONS!$C$18*ASSUMPTIONS!$C$21-ASSUMPTIONS!$C$18*ASSUMPTIONS!$C$22)*(1+H120)^5*(1+K120)/(I120-K120)/(1+I120)^5)-DCF!$C$12)/ASSUMPTIONS!$C$7</f>
        <v/>
      </c>
    </row>
    <row r="121">
      <c r="H121" s="83">
        <f>_xlfn.NORM.INV(RAND(),AVERAGE(ASSUMPTIONS!$C$38,ASSUMPTIONS!$C$39,ASSUMPTIONS!$C$40,ASSUMPTIONS!$C$41,ASSUMPTIONS!$C$42),ASSUMPTIONS!$C$68)</f>
        <v/>
      </c>
      <c r="I121" s="83">
        <f>MAX(_xlfn.NORM.INV(RAND(),DCF!$C$11,ASSUMPTIONS!$C$69),K121+0.005)</f>
        <v/>
      </c>
      <c r="J121" s="83">
        <f>_xlfn.NORM.INV(RAND(),ASSUMPTIONS!$C$19,ASSUMPTIONS!$C$70)</f>
        <v/>
      </c>
      <c r="K121" s="83">
        <f>_xlfn.NORM.INV(RAND(),ASSUMPTIONS!$C$43,ASSUMPTIONS!$C$71)</f>
        <v/>
      </c>
      <c r="L121" s="84">
        <f>(((ASSUMPTIONS!$C$18*J121*(1-ASSUMPTIONS!$C$20)+ASSUMPTIONS!$C$18*ASSUMPTIONS!$C$21-ASSUMPTIONS!$C$18*ASSUMPTIONS!$C$22)*(1+H121)*(1-((1+H121)/(1+I121))^5)/(I121-H121))+((ASSUMPTIONS!$C$18*J121*(1-ASSUMPTIONS!$C$20)+ASSUMPTIONS!$C$18*ASSUMPTIONS!$C$21-ASSUMPTIONS!$C$18*ASSUMPTIONS!$C$22)*(1+H121)^5*(1+K121)/(I121-K121)/(1+I121)^5)-DCF!$C$12)/ASSUMPTIONS!$C$7</f>
        <v/>
      </c>
    </row>
    <row r="122">
      <c r="H122" s="83">
        <f>_xlfn.NORM.INV(RAND(),AVERAGE(ASSUMPTIONS!$C$38,ASSUMPTIONS!$C$39,ASSUMPTIONS!$C$40,ASSUMPTIONS!$C$41,ASSUMPTIONS!$C$42),ASSUMPTIONS!$C$68)</f>
        <v/>
      </c>
      <c r="I122" s="83">
        <f>MAX(_xlfn.NORM.INV(RAND(),DCF!$C$11,ASSUMPTIONS!$C$69),K122+0.005)</f>
        <v/>
      </c>
      <c r="J122" s="83">
        <f>_xlfn.NORM.INV(RAND(),ASSUMPTIONS!$C$19,ASSUMPTIONS!$C$70)</f>
        <v/>
      </c>
      <c r="K122" s="83">
        <f>_xlfn.NORM.INV(RAND(),ASSUMPTIONS!$C$43,ASSUMPTIONS!$C$71)</f>
        <v/>
      </c>
      <c r="L122" s="84">
        <f>(((ASSUMPTIONS!$C$18*J122*(1-ASSUMPTIONS!$C$20)+ASSUMPTIONS!$C$18*ASSUMPTIONS!$C$21-ASSUMPTIONS!$C$18*ASSUMPTIONS!$C$22)*(1+H122)*(1-((1+H122)/(1+I122))^5)/(I122-H122))+((ASSUMPTIONS!$C$18*J122*(1-ASSUMPTIONS!$C$20)+ASSUMPTIONS!$C$18*ASSUMPTIONS!$C$21-ASSUMPTIONS!$C$18*ASSUMPTIONS!$C$22)*(1+H122)^5*(1+K122)/(I122-K122)/(1+I122)^5)-DCF!$C$12)/ASSUMPTIONS!$C$7</f>
        <v/>
      </c>
    </row>
    <row r="123">
      <c r="H123" s="83">
        <f>_xlfn.NORM.INV(RAND(),AVERAGE(ASSUMPTIONS!$C$38,ASSUMPTIONS!$C$39,ASSUMPTIONS!$C$40,ASSUMPTIONS!$C$41,ASSUMPTIONS!$C$42),ASSUMPTIONS!$C$68)</f>
        <v/>
      </c>
      <c r="I123" s="83">
        <f>MAX(_xlfn.NORM.INV(RAND(),DCF!$C$11,ASSUMPTIONS!$C$69),K123+0.005)</f>
        <v/>
      </c>
      <c r="J123" s="83">
        <f>_xlfn.NORM.INV(RAND(),ASSUMPTIONS!$C$19,ASSUMPTIONS!$C$70)</f>
        <v/>
      </c>
      <c r="K123" s="83">
        <f>_xlfn.NORM.INV(RAND(),ASSUMPTIONS!$C$43,ASSUMPTIONS!$C$71)</f>
        <v/>
      </c>
      <c r="L123" s="84">
        <f>(((ASSUMPTIONS!$C$18*J123*(1-ASSUMPTIONS!$C$20)+ASSUMPTIONS!$C$18*ASSUMPTIONS!$C$21-ASSUMPTIONS!$C$18*ASSUMPTIONS!$C$22)*(1+H123)*(1-((1+H123)/(1+I123))^5)/(I123-H123))+((ASSUMPTIONS!$C$18*J123*(1-ASSUMPTIONS!$C$20)+ASSUMPTIONS!$C$18*ASSUMPTIONS!$C$21-ASSUMPTIONS!$C$18*ASSUMPTIONS!$C$22)*(1+H123)^5*(1+K123)/(I123-K123)/(1+I123)^5)-DCF!$C$12)/ASSUMPTIONS!$C$7</f>
        <v/>
      </c>
    </row>
    <row r="124">
      <c r="H124" s="83">
        <f>_xlfn.NORM.INV(RAND(),AVERAGE(ASSUMPTIONS!$C$38,ASSUMPTIONS!$C$39,ASSUMPTIONS!$C$40,ASSUMPTIONS!$C$41,ASSUMPTIONS!$C$42),ASSUMPTIONS!$C$68)</f>
        <v/>
      </c>
      <c r="I124" s="83">
        <f>MAX(_xlfn.NORM.INV(RAND(),DCF!$C$11,ASSUMPTIONS!$C$69),K124+0.005)</f>
        <v/>
      </c>
      <c r="J124" s="83">
        <f>_xlfn.NORM.INV(RAND(),ASSUMPTIONS!$C$19,ASSUMPTIONS!$C$70)</f>
        <v/>
      </c>
      <c r="K124" s="83">
        <f>_xlfn.NORM.INV(RAND(),ASSUMPTIONS!$C$43,ASSUMPTIONS!$C$71)</f>
        <v/>
      </c>
      <c r="L124" s="84">
        <f>(((ASSUMPTIONS!$C$18*J124*(1-ASSUMPTIONS!$C$20)+ASSUMPTIONS!$C$18*ASSUMPTIONS!$C$21-ASSUMPTIONS!$C$18*ASSUMPTIONS!$C$22)*(1+H124)*(1-((1+H124)/(1+I124))^5)/(I124-H124))+((ASSUMPTIONS!$C$18*J124*(1-ASSUMPTIONS!$C$20)+ASSUMPTIONS!$C$18*ASSUMPTIONS!$C$21-ASSUMPTIONS!$C$18*ASSUMPTIONS!$C$22)*(1+H124)^5*(1+K124)/(I124-K124)/(1+I124)^5)-DCF!$C$12)/ASSUMPTIONS!$C$7</f>
        <v/>
      </c>
    </row>
    <row r="125">
      <c r="H125" s="83">
        <f>_xlfn.NORM.INV(RAND(),AVERAGE(ASSUMPTIONS!$C$38,ASSUMPTIONS!$C$39,ASSUMPTIONS!$C$40,ASSUMPTIONS!$C$41,ASSUMPTIONS!$C$42),ASSUMPTIONS!$C$68)</f>
        <v/>
      </c>
      <c r="I125" s="83">
        <f>MAX(_xlfn.NORM.INV(RAND(),DCF!$C$11,ASSUMPTIONS!$C$69),K125+0.005)</f>
        <v/>
      </c>
      <c r="J125" s="83">
        <f>_xlfn.NORM.INV(RAND(),ASSUMPTIONS!$C$19,ASSUMPTIONS!$C$70)</f>
        <v/>
      </c>
      <c r="K125" s="83">
        <f>_xlfn.NORM.INV(RAND(),ASSUMPTIONS!$C$43,ASSUMPTIONS!$C$71)</f>
        <v/>
      </c>
      <c r="L125" s="84">
        <f>(((ASSUMPTIONS!$C$18*J125*(1-ASSUMPTIONS!$C$20)+ASSUMPTIONS!$C$18*ASSUMPTIONS!$C$21-ASSUMPTIONS!$C$18*ASSUMPTIONS!$C$22)*(1+H125)*(1-((1+H125)/(1+I125))^5)/(I125-H125))+((ASSUMPTIONS!$C$18*J125*(1-ASSUMPTIONS!$C$20)+ASSUMPTIONS!$C$18*ASSUMPTIONS!$C$21-ASSUMPTIONS!$C$18*ASSUMPTIONS!$C$22)*(1+H125)^5*(1+K125)/(I125-K125)/(1+I125)^5)-DCF!$C$12)/ASSUMPTIONS!$C$7</f>
        <v/>
      </c>
    </row>
    <row r="126">
      <c r="H126" s="83">
        <f>_xlfn.NORM.INV(RAND(),AVERAGE(ASSUMPTIONS!$C$38,ASSUMPTIONS!$C$39,ASSUMPTIONS!$C$40,ASSUMPTIONS!$C$41,ASSUMPTIONS!$C$42),ASSUMPTIONS!$C$68)</f>
        <v/>
      </c>
      <c r="I126" s="83">
        <f>MAX(_xlfn.NORM.INV(RAND(),DCF!$C$11,ASSUMPTIONS!$C$69),K126+0.005)</f>
        <v/>
      </c>
      <c r="J126" s="83">
        <f>_xlfn.NORM.INV(RAND(),ASSUMPTIONS!$C$19,ASSUMPTIONS!$C$70)</f>
        <v/>
      </c>
      <c r="K126" s="83">
        <f>_xlfn.NORM.INV(RAND(),ASSUMPTIONS!$C$43,ASSUMPTIONS!$C$71)</f>
        <v/>
      </c>
      <c r="L126" s="84">
        <f>(((ASSUMPTIONS!$C$18*J126*(1-ASSUMPTIONS!$C$20)+ASSUMPTIONS!$C$18*ASSUMPTIONS!$C$21-ASSUMPTIONS!$C$18*ASSUMPTIONS!$C$22)*(1+H126)*(1-((1+H126)/(1+I126))^5)/(I126-H126))+((ASSUMPTIONS!$C$18*J126*(1-ASSUMPTIONS!$C$20)+ASSUMPTIONS!$C$18*ASSUMPTIONS!$C$21-ASSUMPTIONS!$C$18*ASSUMPTIONS!$C$22)*(1+H126)^5*(1+K126)/(I126-K126)/(1+I126)^5)-DCF!$C$12)/ASSUMPTIONS!$C$7</f>
        <v/>
      </c>
    </row>
    <row r="127">
      <c r="H127" s="83">
        <f>_xlfn.NORM.INV(RAND(),AVERAGE(ASSUMPTIONS!$C$38,ASSUMPTIONS!$C$39,ASSUMPTIONS!$C$40,ASSUMPTIONS!$C$41,ASSUMPTIONS!$C$42),ASSUMPTIONS!$C$68)</f>
        <v/>
      </c>
      <c r="I127" s="83">
        <f>MAX(_xlfn.NORM.INV(RAND(),DCF!$C$11,ASSUMPTIONS!$C$69),K127+0.005)</f>
        <v/>
      </c>
      <c r="J127" s="83">
        <f>_xlfn.NORM.INV(RAND(),ASSUMPTIONS!$C$19,ASSUMPTIONS!$C$70)</f>
        <v/>
      </c>
      <c r="K127" s="83">
        <f>_xlfn.NORM.INV(RAND(),ASSUMPTIONS!$C$43,ASSUMPTIONS!$C$71)</f>
        <v/>
      </c>
      <c r="L127" s="84">
        <f>(((ASSUMPTIONS!$C$18*J127*(1-ASSUMPTIONS!$C$20)+ASSUMPTIONS!$C$18*ASSUMPTIONS!$C$21-ASSUMPTIONS!$C$18*ASSUMPTIONS!$C$22)*(1+H127)*(1-((1+H127)/(1+I127))^5)/(I127-H127))+((ASSUMPTIONS!$C$18*J127*(1-ASSUMPTIONS!$C$20)+ASSUMPTIONS!$C$18*ASSUMPTIONS!$C$21-ASSUMPTIONS!$C$18*ASSUMPTIONS!$C$22)*(1+H127)^5*(1+K127)/(I127-K127)/(1+I127)^5)-DCF!$C$12)/ASSUMPTIONS!$C$7</f>
        <v/>
      </c>
    </row>
    <row r="128">
      <c r="H128" s="83">
        <f>_xlfn.NORM.INV(RAND(),AVERAGE(ASSUMPTIONS!$C$38,ASSUMPTIONS!$C$39,ASSUMPTIONS!$C$40,ASSUMPTIONS!$C$41,ASSUMPTIONS!$C$42),ASSUMPTIONS!$C$68)</f>
        <v/>
      </c>
      <c r="I128" s="83">
        <f>MAX(_xlfn.NORM.INV(RAND(),DCF!$C$11,ASSUMPTIONS!$C$69),K128+0.005)</f>
        <v/>
      </c>
      <c r="J128" s="83">
        <f>_xlfn.NORM.INV(RAND(),ASSUMPTIONS!$C$19,ASSUMPTIONS!$C$70)</f>
        <v/>
      </c>
      <c r="K128" s="83">
        <f>_xlfn.NORM.INV(RAND(),ASSUMPTIONS!$C$43,ASSUMPTIONS!$C$71)</f>
        <v/>
      </c>
      <c r="L128" s="84">
        <f>(((ASSUMPTIONS!$C$18*J128*(1-ASSUMPTIONS!$C$20)+ASSUMPTIONS!$C$18*ASSUMPTIONS!$C$21-ASSUMPTIONS!$C$18*ASSUMPTIONS!$C$22)*(1+H128)*(1-((1+H128)/(1+I128))^5)/(I128-H128))+((ASSUMPTIONS!$C$18*J128*(1-ASSUMPTIONS!$C$20)+ASSUMPTIONS!$C$18*ASSUMPTIONS!$C$21-ASSUMPTIONS!$C$18*ASSUMPTIONS!$C$22)*(1+H128)^5*(1+K128)/(I128-K128)/(1+I128)^5)-DCF!$C$12)/ASSUMPTIONS!$C$7</f>
        <v/>
      </c>
    </row>
    <row r="129">
      <c r="H129" s="83">
        <f>_xlfn.NORM.INV(RAND(),AVERAGE(ASSUMPTIONS!$C$38,ASSUMPTIONS!$C$39,ASSUMPTIONS!$C$40,ASSUMPTIONS!$C$41,ASSUMPTIONS!$C$42),ASSUMPTIONS!$C$68)</f>
        <v/>
      </c>
      <c r="I129" s="83">
        <f>MAX(_xlfn.NORM.INV(RAND(),DCF!$C$11,ASSUMPTIONS!$C$69),K129+0.005)</f>
        <v/>
      </c>
      <c r="J129" s="83">
        <f>_xlfn.NORM.INV(RAND(),ASSUMPTIONS!$C$19,ASSUMPTIONS!$C$70)</f>
        <v/>
      </c>
      <c r="K129" s="83">
        <f>_xlfn.NORM.INV(RAND(),ASSUMPTIONS!$C$43,ASSUMPTIONS!$C$71)</f>
        <v/>
      </c>
      <c r="L129" s="84">
        <f>(((ASSUMPTIONS!$C$18*J129*(1-ASSUMPTIONS!$C$20)+ASSUMPTIONS!$C$18*ASSUMPTIONS!$C$21-ASSUMPTIONS!$C$18*ASSUMPTIONS!$C$22)*(1+H129)*(1-((1+H129)/(1+I129))^5)/(I129-H129))+((ASSUMPTIONS!$C$18*J129*(1-ASSUMPTIONS!$C$20)+ASSUMPTIONS!$C$18*ASSUMPTIONS!$C$21-ASSUMPTIONS!$C$18*ASSUMPTIONS!$C$22)*(1+H129)^5*(1+K129)/(I129-K129)/(1+I129)^5)-DCF!$C$12)/ASSUMPTIONS!$C$7</f>
        <v/>
      </c>
    </row>
    <row r="130">
      <c r="H130" s="83">
        <f>_xlfn.NORM.INV(RAND(),AVERAGE(ASSUMPTIONS!$C$38,ASSUMPTIONS!$C$39,ASSUMPTIONS!$C$40,ASSUMPTIONS!$C$41,ASSUMPTIONS!$C$42),ASSUMPTIONS!$C$68)</f>
        <v/>
      </c>
      <c r="I130" s="83">
        <f>MAX(_xlfn.NORM.INV(RAND(),DCF!$C$11,ASSUMPTIONS!$C$69),K130+0.005)</f>
        <v/>
      </c>
      <c r="J130" s="83">
        <f>_xlfn.NORM.INV(RAND(),ASSUMPTIONS!$C$19,ASSUMPTIONS!$C$70)</f>
        <v/>
      </c>
      <c r="K130" s="83">
        <f>_xlfn.NORM.INV(RAND(),ASSUMPTIONS!$C$43,ASSUMPTIONS!$C$71)</f>
        <v/>
      </c>
      <c r="L130" s="84">
        <f>(((ASSUMPTIONS!$C$18*J130*(1-ASSUMPTIONS!$C$20)+ASSUMPTIONS!$C$18*ASSUMPTIONS!$C$21-ASSUMPTIONS!$C$18*ASSUMPTIONS!$C$22)*(1+H130)*(1-((1+H130)/(1+I130))^5)/(I130-H130))+((ASSUMPTIONS!$C$18*J130*(1-ASSUMPTIONS!$C$20)+ASSUMPTIONS!$C$18*ASSUMPTIONS!$C$21-ASSUMPTIONS!$C$18*ASSUMPTIONS!$C$22)*(1+H130)^5*(1+K130)/(I130-K130)/(1+I130)^5)-DCF!$C$12)/ASSUMPTIONS!$C$7</f>
        <v/>
      </c>
    </row>
    <row r="131">
      <c r="H131" s="83">
        <f>_xlfn.NORM.INV(RAND(),AVERAGE(ASSUMPTIONS!$C$38,ASSUMPTIONS!$C$39,ASSUMPTIONS!$C$40,ASSUMPTIONS!$C$41,ASSUMPTIONS!$C$42),ASSUMPTIONS!$C$68)</f>
        <v/>
      </c>
      <c r="I131" s="83">
        <f>MAX(_xlfn.NORM.INV(RAND(),DCF!$C$11,ASSUMPTIONS!$C$69),K131+0.005)</f>
        <v/>
      </c>
      <c r="J131" s="83">
        <f>_xlfn.NORM.INV(RAND(),ASSUMPTIONS!$C$19,ASSUMPTIONS!$C$70)</f>
        <v/>
      </c>
      <c r="K131" s="83">
        <f>_xlfn.NORM.INV(RAND(),ASSUMPTIONS!$C$43,ASSUMPTIONS!$C$71)</f>
        <v/>
      </c>
      <c r="L131" s="84">
        <f>(((ASSUMPTIONS!$C$18*J131*(1-ASSUMPTIONS!$C$20)+ASSUMPTIONS!$C$18*ASSUMPTIONS!$C$21-ASSUMPTIONS!$C$18*ASSUMPTIONS!$C$22)*(1+H131)*(1-((1+H131)/(1+I131))^5)/(I131-H131))+((ASSUMPTIONS!$C$18*J131*(1-ASSUMPTIONS!$C$20)+ASSUMPTIONS!$C$18*ASSUMPTIONS!$C$21-ASSUMPTIONS!$C$18*ASSUMPTIONS!$C$22)*(1+H131)^5*(1+K131)/(I131-K131)/(1+I131)^5)-DCF!$C$12)/ASSUMPTIONS!$C$7</f>
        <v/>
      </c>
    </row>
    <row r="132">
      <c r="H132" s="83">
        <f>_xlfn.NORM.INV(RAND(),AVERAGE(ASSUMPTIONS!$C$38,ASSUMPTIONS!$C$39,ASSUMPTIONS!$C$40,ASSUMPTIONS!$C$41,ASSUMPTIONS!$C$42),ASSUMPTIONS!$C$68)</f>
        <v/>
      </c>
      <c r="I132" s="83">
        <f>MAX(_xlfn.NORM.INV(RAND(),DCF!$C$11,ASSUMPTIONS!$C$69),K132+0.005)</f>
        <v/>
      </c>
      <c r="J132" s="83">
        <f>_xlfn.NORM.INV(RAND(),ASSUMPTIONS!$C$19,ASSUMPTIONS!$C$70)</f>
        <v/>
      </c>
      <c r="K132" s="83">
        <f>_xlfn.NORM.INV(RAND(),ASSUMPTIONS!$C$43,ASSUMPTIONS!$C$71)</f>
        <v/>
      </c>
      <c r="L132" s="84">
        <f>(((ASSUMPTIONS!$C$18*J132*(1-ASSUMPTIONS!$C$20)+ASSUMPTIONS!$C$18*ASSUMPTIONS!$C$21-ASSUMPTIONS!$C$18*ASSUMPTIONS!$C$22)*(1+H132)*(1-((1+H132)/(1+I132))^5)/(I132-H132))+((ASSUMPTIONS!$C$18*J132*(1-ASSUMPTIONS!$C$20)+ASSUMPTIONS!$C$18*ASSUMPTIONS!$C$21-ASSUMPTIONS!$C$18*ASSUMPTIONS!$C$22)*(1+H132)^5*(1+K132)/(I132-K132)/(1+I132)^5)-DCF!$C$12)/ASSUMPTIONS!$C$7</f>
        <v/>
      </c>
    </row>
    <row r="133">
      <c r="H133" s="83">
        <f>_xlfn.NORM.INV(RAND(),AVERAGE(ASSUMPTIONS!$C$38,ASSUMPTIONS!$C$39,ASSUMPTIONS!$C$40,ASSUMPTIONS!$C$41,ASSUMPTIONS!$C$42),ASSUMPTIONS!$C$68)</f>
        <v/>
      </c>
      <c r="I133" s="83">
        <f>MAX(_xlfn.NORM.INV(RAND(),DCF!$C$11,ASSUMPTIONS!$C$69),K133+0.005)</f>
        <v/>
      </c>
      <c r="J133" s="83">
        <f>_xlfn.NORM.INV(RAND(),ASSUMPTIONS!$C$19,ASSUMPTIONS!$C$70)</f>
        <v/>
      </c>
      <c r="K133" s="83">
        <f>_xlfn.NORM.INV(RAND(),ASSUMPTIONS!$C$43,ASSUMPTIONS!$C$71)</f>
        <v/>
      </c>
      <c r="L133" s="84">
        <f>(((ASSUMPTIONS!$C$18*J133*(1-ASSUMPTIONS!$C$20)+ASSUMPTIONS!$C$18*ASSUMPTIONS!$C$21-ASSUMPTIONS!$C$18*ASSUMPTIONS!$C$22)*(1+H133)*(1-((1+H133)/(1+I133))^5)/(I133-H133))+((ASSUMPTIONS!$C$18*J133*(1-ASSUMPTIONS!$C$20)+ASSUMPTIONS!$C$18*ASSUMPTIONS!$C$21-ASSUMPTIONS!$C$18*ASSUMPTIONS!$C$22)*(1+H133)^5*(1+K133)/(I133-K133)/(1+I133)^5)-DCF!$C$12)/ASSUMPTIONS!$C$7</f>
        <v/>
      </c>
    </row>
    <row r="134">
      <c r="H134" s="83">
        <f>_xlfn.NORM.INV(RAND(),AVERAGE(ASSUMPTIONS!$C$38,ASSUMPTIONS!$C$39,ASSUMPTIONS!$C$40,ASSUMPTIONS!$C$41,ASSUMPTIONS!$C$42),ASSUMPTIONS!$C$68)</f>
        <v/>
      </c>
      <c r="I134" s="83">
        <f>MAX(_xlfn.NORM.INV(RAND(),DCF!$C$11,ASSUMPTIONS!$C$69),K134+0.005)</f>
        <v/>
      </c>
      <c r="J134" s="83">
        <f>_xlfn.NORM.INV(RAND(),ASSUMPTIONS!$C$19,ASSUMPTIONS!$C$70)</f>
        <v/>
      </c>
      <c r="K134" s="83">
        <f>_xlfn.NORM.INV(RAND(),ASSUMPTIONS!$C$43,ASSUMPTIONS!$C$71)</f>
        <v/>
      </c>
      <c r="L134" s="84">
        <f>(((ASSUMPTIONS!$C$18*J134*(1-ASSUMPTIONS!$C$20)+ASSUMPTIONS!$C$18*ASSUMPTIONS!$C$21-ASSUMPTIONS!$C$18*ASSUMPTIONS!$C$22)*(1+H134)*(1-((1+H134)/(1+I134))^5)/(I134-H134))+((ASSUMPTIONS!$C$18*J134*(1-ASSUMPTIONS!$C$20)+ASSUMPTIONS!$C$18*ASSUMPTIONS!$C$21-ASSUMPTIONS!$C$18*ASSUMPTIONS!$C$22)*(1+H134)^5*(1+K134)/(I134-K134)/(1+I134)^5)-DCF!$C$12)/ASSUMPTIONS!$C$7</f>
        <v/>
      </c>
    </row>
    <row r="135">
      <c r="H135" s="83">
        <f>_xlfn.NORM.INV(RAND(),AVERAGE(ASSUMPTIONS!$C$38,ASSUMPTIONS!$C$39,ASSUMPTIONS!$C$40,ASSUMPTIONS!$C$41,ASSUMPTIONS!$C$42),ASSUMPTIONS!$C$68)</f>
        <v/>
      </c>
      <c r="I135" s="83">
        <f>MAX(_xlfn.NORM.INV(RAND(),DCF!$C$11,ASSUMPTIONS!$C$69),K135+0.005)</f>
        <v/>
      </c>
      <c r="J135" s="83">
        <f>_xlfn.NORM.INV(RAND(),ASSUMPTIONS!$C$19,ASSUMPTIONS!$C$70)</f>
        <v/>
      </c>
      <c r="K135" s="83">
        <f>_xlfn.NORM.INV(RAND(),ASSUMPTIONS!$C$43,ASSUMPTIONS!$C$71)</f>
        <v/>
      </c>
      <c r="L135" s="84">
        <f>(((ASSUMPTIONS!$C$18*J135*(1-ASSUMPTIONS!$C$20)+ASSUMPTIONS!$C$18*ASSUMPTIONS!$C$21-ASSUMPTIONS!$C$18*ASSUMPTIONS!$C$22)*(1+H135)*(1-((1+H135)/(1+I135))^5)/(I135-H135))+((ASSUMPTIONS!$C$18*J135*(1-ASSUMPTIONS!$C$20)+ASSUMPTIONS!$C$18*ASSUMPTIONS!$C$21-ASSUMPTIONS!$C$18*ASSUMPTIONS!$C$22)*(1+H135)^5*(1+K135)/(I135-K135)/(1+I135)^5)-DCF!$C$12)/ASSUMPTIONS!$C$7</f>
        <v/>
      </c>
    </row>
    <row r="136">
      <c r="H136" s="83">
        <f>_xlfn.NORM.INV(RAND(),AVERAGE(ASSUMPTIONS!$C$38,ASSUMPTIONS!$C$39,ASSUMPTIONS!$C$40,ASSUMPTIONS!$C$41,ASSUMPTIONS!$C$42),ASSUMPTIONS!$C$68)</f>
        <v/>
      </c>
      <c r="I136" s="83">
        <f>MAX(_xlfn.NORM.INV(RAND(),DCF!$C$11,ASSUMPTIONS!$C$69),K136+0.005)</f>
        <v/>
      </c>
      <c r="J136" s="83">
        <f>_xlfn.NORM.INV(RAND(),ASSUMPTIONS!$C$19,ASSUMPTIONS!$C$70)</f>
        <v/>
      </c>
      <c r="K136" s="83">
        <f>_xlfn.NORM.INV(RAND(),ASSUMPTIONS!$C$43,ASSUMPTIONS!$C$71)</f>
        <v/>
      </c>
      <c r="L136" s="84">
        <f>(((ASSUMPTIONS!$C$18*J136*(1-ASSUMPTIONS!$C$20)+ASSUMPTIONS!$C$18*ASSUMPTIONS!$C$21-ASSUMPTIONS!$C$18*ASSUMPTIONS!$C$22)*(1+H136)*(1-((1+H136)/(1+I136))^5)/(I136-H136))+((ASSUMPTIONS!$C$18*J136*(1-ASSUMPTIONS!$C$20)+ASSUMPTIONS!$C$18*ASSUMPTIONS!$C$21-ASSUMPTIONS!$C$18*ASSUMPTIONS!$C$22)*(1+H136)^5*(1+K136)/(I136-K136)/(1+I136)^5)-DCF!$C$12)/ASSUMPTIONS!$C$7</f>
        <v/>
      </c>
    </row>
    <row r="137">
      <c r="H137" s="83">
        <f>_xlfn.NORM.INV(RAND(),AVERAGE(ASSUMPTIONS!$C$38,ASSUMPTIONS!$C$39,ASSUMPTIONS!$C$40,ASSUMPTIONS!$C$41,ASSUMPTIONS!$C$42),ASSUMPTIONS!$C$68)</f>
        <v/>
      </c>
      <c r="I137" s="83">
        <f>MAX(_xlfn.NORM.INV(RAND(),DCF!$C$11,ASSUMPTIONS!$C$69),K137+0.005)</f>
        <v/>
      </c>
      <c r="J137" s="83">
        <f>_xlfn.NORM.INV(RAND(),ASSUMPTIONS!$C$19,ASSUMPTIONS!$C$70)</f>
        <v/>
      </c>
      <c r="K137" s="83">
        <f>_xlfn.NORM.INV(RAND(),ASSUMPTIONS!$C$43,ASSUMPTIONS!$C$71)</f>
        <v/>
      </c>
      <c r="L137" s="84">
        <f>(((ASSUMPTIONS!$C$18*J137*(1-ASSUMPTIONS!$C$20)+ASSUMPTIONS!$C$18*ASSUMPTIONS!$C$21-ASSUMPTIONS!$C$18*ASSUMPTIONS!$C$22)*(1+H137)*(1-((1+H137)/(1+I137))^5)/(I137-H137))+((ASSUMPTIONS!$C$18*J137*(1-ASSUMPTIONS!$C$20)+ASSUMPTIONS!$C$18*ASSUMPTIONS!$C$21-ASSUMPTIONS!$C$18*ASSUMPTIONS!$C$22)*(1+H137)^5*(1+K137)/(I137-K137)/(1+I137)^5)-DCF!$C$12)/ASSUMPTIONS!$C$7</f>
        <v/>
      </c>
    </row>
    <row r="138">
      <c r="H138" s="83">
        <f>_xlfn.NORM.INV(RAND(),AVERAGE(ASSUMPTIONS!$C$38,ASSUMPTIONS!$C$39,ASSUMPTIONS!$C$40,ASSUMPTIONS!$C$41,ASSUMPTIONS!$C$42),ASSUMPTIONS!$C$68)</f>
        <v/>
      </c>
      <c r="I138" s="83">
        <f>MAX(_xlfn.NORM.INV(RAND(),DCF!$C$11,ASSUMPTIONS!$C$69),K138+0.005)</f>
        <v/>
      </c>
      <c r="J138" s="83">
        <f>_xlfn.NORM.INV(RAND(),ASSUMPTIONS!$C$19,ASSUMPTIONS!$C$70)</f>
        <v/>
      </c>
      <c r="K138" s="83">
        <f>_xlfn.NORM.INV(RAND(),ASSUMPTIONS!$C$43,ASSUMPTIONS!$C$71)</f>
        <v/>
      </c>
      <c r="L138" s="84">
        <f>(((ASSUMPTIONS!$C$18*J138*(1-ASSUMPTIONS!$C$20)+ASSUMPTIONS!$C$18*ASSUMPTIONS!$C$21-ASSUMPTIONS!$C$18*ASSUMPTIONS!$C$22)*(1+H138)*(1-((1+H138)/(1+I138))^5)/(I138-H138))+((ASSUMPTIONS!$C$18*J138*(1-ASSUMPTIONS!$C$20)+ASSUMPTIONS!$C$18*ASSUMPTIONS!$C$21-ASSUMPTIONS!$C$18*ASSUMPTIONS!$C$22)*(1+H138)^5*(1+K138)/(I138-K138)/(1+I138)^5)-DCF!$C$12)/ASSUMPTIONS!$C$7</f>
        <v/>
      </c>
    </row>
    <row r="139">
      <c r="H139" s="83">
        <f>_xlfn.NORM.INV(RAND(),AVERAGE(ASSUMPTIONS!$C$38,ASSUMPTIONS!$C$39,ASSUMPTIONS!$C$40,ASSUMPTIONS!$C$41,ASSUMPTIONS!$C$42),ASSUMPTIONS!$C$68)</f>
        <v/>
      </c>
      <c r="I139" s="83">
        <f>MAX(_xlfn.NORM.INV(RAND(),DCF!$C$11,ASSUMPTIONS!$C$69),K139+0.005)</f>
        <v/>
      </c>
      <c r="J139" s="83">
        <f>_xlfn.NORM.INV(RAND(),ASSUMPTIONS!$C$19,ASSUMPTIONS!$C$70)</f>
        <v/>
      </c>
      <c r="K139" s="83">
        <f>_xlfn.NORM.INV(RAND(),ASSUMPTIONS!$C$43,ASSUMPTIONS!$C$71)</f>
        <v/>
      </c>
      <c r="L139" s="84">
        <f>(((ASSUMPTIONS!$C$18*J139*(1-ASSUMPTIONS!$C$20)+ASSUMPTIONS!$C$18*ASSUMPTIONS!$C$21-ASSUMPTIONS!$C$18*ASSUMPTIONS!$C$22)*(1+H139)*(1-((1+H139)/(1+I139))^5)/(I139-H139))+((ASSUMPTIONS!$C$18*J139*(1-ASSUMPTIONS!$C$20)+ASSUMPTIONS!$C$18*ASSUMPTIONS!$C$21-ASSUMPTIONS!$C$18*ASSUMPTIONS!$C$22)*(1+H139)^5*(1+K139)/(I139-K139)/(1+I139)^5)-DCF!$C$12)/ASSUMPTIONS!$C$7</f>
        <v/>
      </c>
    </row>
    <row r="140">
      <c r="H140" s="83">
        <f>_xlfn.NORM.INV(RAND(),AVERAGE(ASSUMPTIONS!$C$38,ASSUMPTIONS!$C$39,ASSUMPTIONS!$C$40,ASSUMPTIONS!$C$41,ASSUMPTIONS!$C$42),ASSUMPTIONS!$C$68)</f>
        <v/>
      </c>
      <c r="I140" s="83">
        <f>MAX(_xlfn.NORM.INV(RAND(),DCF!$C$11,ASSUMPTIONS!$C$69),K140+0.005)</f>
        <v/>
      </c>
      <c r="J140" s="83">
        <f>_xlfn.NORM.INV(RAND(),ASSUMPTIONS!$C$19,ASSUMPTIONS!$C$70)</f>
        <v/>
      </c>
      <c r="K140" s="83">
        <f>_xlfn.NORM.INV(RAND(),ASSUMPTIONS!$C$43,ASSUMPTIONS!$C$71)</f>
        <v/>
      </c>
      <c r="L140" s="84">
        <f>(((ASSUMPTIONS!$C$18*J140*(1-ASSUMPTIONS!$C$20)+ASSUMPTIONS!$C$18*ASSUMPTIONS!$C$21-ASSUMPTIONS!$C$18*ASSUMPTIONS!$C$22)*(1+H140)*(1-((1+H140)/(1+I140))^5)/(I140-H140))+((ASSUMPTIONS!$C$18*J140*(1-ASSUMPTIONS!$C$20)+ASSUMPTIONS!$C$18*ASSUMPTIONS!$C$21-ASSUMPTIONS!$C$18*ASSUMPTIONS!$C$22)*(1+H140)^5*(1+K140)/(I140-K140)/(1+I140)^5)-DCF!$C$12)/ASSUMPTIONS!$C$7</f>
        <v/>
      </c>
    </row>
    <row r="141">
      <c r="H141" s="83">
        <f>_xlfn.NORM.INV(RAND(),AVERAGE(ASSUMPTIONS!$C$38,ASSUMPTIONS!$C$39,ASSUMPTIONS!$C$40,ASSUMPTIONS!$C$41,ASSUMPTIONS!$C$42),ASSUMPTIONS!$C$68)</f>
        <v/>
      </c>
      <c r="I141" s="83">
        <f>MAX(_xlfn.NORM.INV(RAND(),DCF!$C$11,ASSUMPTIONS!$C$69),K141+0.005)</f>
        <v/>
      </c>
      <c r="J141" s="83">
        <f>_xlfn.NORM.INV(RAND(),ASSUMPTIONS!$C$19,ASSUMPTIONS!$C$70)</f>
        <v/>
      </c>
      <c r="K141" s="83">
        <f>_xlfn.NORM.INV(RAND(),ASSUMPTIONS!$C$43,ASSUMPTIONS!$C$71)</f>
        <v/>
      </c>
      <c r="L141" s="84">
        <f>(((ASSUMPTIONS!$C$18*J141*(1-ASSUMPTIONS!$C$20)+ASSUMPTIONS!$C$18*ASSUMPTIONS!$C$21-ASSUMPTIONS!$C$18*ASSUMPTIONS!$C$22)*(1+H141)*(1-((1+H141)/(1+I141))^5)/(I141-H141))+((ASSUMPTIONS!$C$18*J141*(1-ASSUMPTIONS!$C$20)+ASSUMPTIONS!$C$18*ASSUMPTIONS!$C$21-ASSUMPTIONS!$C$18*ASSUMPTIONS!$C$22)*(1+H141)^5*(1+K141)/(I141-K141)/(1+I141)^5)-DCF!$C$12)/ASSUMPTIONS!$C$7</f>
        <v/>
      </c>
    </row>
    <row r="142">
      <c r="H142" s="83">
        <f>_xlfn.NORM.INV(RAND(),AVERAGE(ASSUMPTIONS!$C$38,ASSUMPTIONS!$C$39,ASSUMPTIONS!$C$40,ASSUMPTIONS!$C$41,ASSUMPTIONS!$C$42),ASSUMPTIONS!$C$68)</f>
        <v/>
      </c>
      <c r="I142" s="83">
        <f>MAX(_xlfn.NORM.INV(RAND(),DCF!$C$11,ASSUMPTIONS!$C$69),K142+0.005)</f>
        <v/>
      </c>
      <c r="J142" s="83">
        <f>_xlfn.NORM.INV(RAND(),ASSUMPTIONS!$C$19,ASSUMPTIONS!$C$70)</f>
        <v/>
      </c>
      <c r="K142" s="83">
        <f>_xlfn.NORM.INV(RAND(),ASSUMPTIONS!$C$43,ASSUMPTIONS!$C$71)</f>
        <v/>
      </c>
      <c r="L142" s="84">
        <f>(((ASSUMPTIONS!$C$18*J142*(1-ASSUMPTIONS!$C$20)+ASSUMPTIONS!$C$18*ASSUMPTIONS!$C$21-ASSUMPTIONS!$C$18*ASSUMPTIONS!$C$22)*(1+H142)*(1-((1+H142)/(1+I142))^5)/(I142-H142))+((ASSUMPTIONS!$C$18*J142*(1-ASSUMPTIONS!$C$20)+ASSUMPTIONS!$C$18*ASSUMPTIONS!$C$21-ASSUMPTIONS!$C$18*ASSUMPTIONS!$C$22)*(1+H142)^5*(1+K142)/(I142-K142)/(1+I142)^5)-DCF!$C$12)/ASSUMPTIONS!$C$7</f>
        <v/>
      </c>
    </row>
    <row r="143">
      <c r="H143" s="83">
        <f>_xlfn.NORM.INV(RAND(),AVERAGE(ASSUMPTIONS!$C$38,ASSUMPTIONS!$C$39,ASSUMPTIONS!$C$40,ASSUMPTIONS!$C$41,ASSUMPTIONS!$C$42),ASSUMPTIONS!$C$68)</f>
        <v/>
      </c>
      <c r="I143" s="83">
        <f>MAX(_xlfn.NORM.INV(RAND(),DCF!$C$11,ASSUMPTIONS!$C$69),K143+0.005)</f>
        <v/>
      </c>
      <c r="J143" s="83">
        <f>_xlfn.NORM.INV(RAND(),ASSUMPTIONS!$C$19,ASSUMPTIONS!$C$70)</f>
        <v/>
      </c>
      <c r="K143" s="83">
        <f>_xlfn.NORM.INV(RAND(),ASSUMPTIONS!$C$43,ASSUMPTIONS!$C$71)</f>
        <v/>
      </c>
      <c r="L143" s="84">
        <f>(((ASSUMPTIONS!$C$18*J143*(1-ASSUMPTIONS!$C$20)+ASSUMPTIONS!$C$18*ASSUMPTIONS!$C$21-ASSUMPTIONS!$C$18*ASSUMPTIONS!$C$22)*(1+H143)*(1-((1+H143)/(1+I143))^5)/(I143-H143))+((ASSUMPTIONS!$C$18*J143*(1-ASSUMPTIONS!$C$20)+ASSUMPTIONS!$C$18*ASSUMPTIONS!$C$21-ASSUMPTIONS!$C$18*ASSUMPTIONS!$C$22)*(1+H143)^5*(1+K143)/(I143-K143)/(1+I143)^5)-DCF!$C$12)/ASSUMPTIONS!$C$7</f>
        <v/>
      </c>
    </row>
    <row r="144">
      <c r="H144" s="83">
        <f>_xlfn.NORM.INV(RAND(),AVERAGE(ASSUMPTIONS!$C$38,ASSUMPTIONS!$C$39,ASSUMPTIONS!$C$40,ASSUMPTIONS!$C$41,ASSUMPTIONS!$C$42),ASSUMPTIONS!$C$68)</f>
        <v/>
      </c>
      <c r="I144" s="83">
        <f>MAX(_xlfn.NORM.INV(RAND(),DCF!$C$11,ASSUMPTIONS!$C$69),K144+0.005)</f>
        <v/>
      </c>
      <c r="J144" s="83">
        <f>_xlfn.NORM.INV(RAND(),ASSUMPTIONS!$C$19,ASSUMPTIONS!$C$70)</f>
        <v/>
      </c>
      <c r="K144" s="83">
        <f>_xlfn.NORM.INV(RAND(),ASSUMPTIONS!$C$43,ASSUMPTIONS!$C$71)</f>
        <v/>
      </c>
      <c r="L144" s="84">
        <f>(((ASSUMPTIONS!$C$18*J144*(1-ASSUMPTIONS!$C$20)+ASSUMPTIONS!$C$18*ASSUMPTIONS!$C$21-ASSUMPTIONS!$C$18*ASSUMPTIONS!$C$22)*(1+H144)*(1-((1+H144)/(1+I144))^5)/(I144-H144))+((ASSUMPTIONS!$C$18*J144*(1-ASSUMPTIONS!$C$20)+ASSUMPTIONS!$C$18*ASSUMPTIONS!$C$21-ASSUMPTIONS!$C$18*ASSUMPTIONS!$C$22)*(1+H144)^5*(1+K144)/(I144-K144)/(1+I144)^5)-DCF!$C$12)/ASSUMPTIONS!$C$7</f>
        <v/>
      </c>
    </row>
    <row r="145">
      <c r="H145" s="83">
        <f>_xlfn.NORM.INV(RAND(),AVERAGE(ASSUMPTIONS!$C$38,ASSUMPTIONS!$C$39,ASSUMPTIONS!$C$40,ASSUMPTIONS!$C$41,ASSUMPTIONS!$C$42),ASSUMPTIONS!$C$68)</f>
        <v/>
      </c>
      <c r="I145" s="83">
        <f>MAX(_xlfn.NORM.INV(RAND(),DCF!$C$11,ASSUMPTIONS!$C$69),K145+0.005)</f>
        <v/>
      </c>
      <c r="J145" s="83">
        <f>_xlfn.NORM.INV(RAND(),ASSUMPTIONS!$C$19,ASSUMPTIONS!$C$70)</f>
        <v/>
      </c>
      <c r="K145" s="83">
        <f>_xlfn.NORM.INV(RAND(),ASSUMPTIONS!$C$43,ASSUMPTIONS!$C$71)</f>
        <v/>
      </c>
      <c r="L145" s="84">
        <f>(((ASSUMPTIONS!$C$18*J145*(1-ASSUMPTIONS!$C$20)+ASSUMPTIONS!$C$18*ASSUMPTIONS!$C$21-ASSUMPTIONS!$C$18*ASSUMPTIONS!$C$22)*(1+H145)*(1-((1+H145)/(1+I145))^5)/(I145-H145))+((ASSUMPTIONS!$C$18*J145*(1-ASSUMPTIONS!$C$20)+ASSUMPTIONS!$C$18*ASSUMPTIONS!$C$21-ASSUMPTIONS!$C$18*ASSUMPTIONS!$C$22)*(1+H145)^5*(1+K145)/(I145-K145)/(1+I145)^5)-DCF!$C$12)/ASSUMPTIONS!$C$7</f>
        <v/>
      </c>
    </row>
    <row r="146">
      <c r="H146" s="83">
        <f>_xlfn.NORM.INV(RAND(),AVERAGE(ASSUMPTIONS!$C$38,ASSUMPTIONS!$C$39,ASSUMPTIONS!$C$40,ASSUMPTIONS!$C$41,ASSUMPTIONS!$C$42),ASSUMPTIONS!$C$68)</f>
        <v/>
      </c>
      <c r="I146" s="83">
        <f>MAX(_xlfn.NORM.INV(RAND(),DCF!$C$11,ASSUMPTIONS!$C$69),K146+0.005)</f>
        <v/>
      </c>
      <c r="J146" s="83">
        <f>_xlfn.NORM.INV(RAND(),ASSUMPTIONS!$C$19,ASSUMPTIONS!$C$70)</f>
        <v/>
      </c>
      <c r="K146" s="83">
        <f>_xlfn.NORM.INV(RAND(),ASSUMPTIONS!$C$43,ASSUMPTIONS!$C$71)</f>
        <v/>
      </c>
      <c r="L146" s="84">
        <f>(((ASSUMPTIONS!$C$18*J146*(1-ASSUMPTIONS!$C$20)+ASSUMPTIONS!$C$18*ASSUMPTIONS!$C$21-ASSUMPTIONS!$C$18*ASSUMPTIONS!$C$22)*(1+H146)*(1-((1+H146)/(1+I146))^5)/(I146-H146))+((ASSUMPTIONS!$C$18*J146*(1-ASSUMPTIONS!$C$20)+ASSUMPTIONS!$C$18*ASSUMPTIONS!$C$21-ASSUMPTIONS!$C$18*ASSUMPTIONS!$C$22)*(1+H146)^5*(1+K146)/(I146-K146)/(1+I146)^5)-DCF!$C$12)/ASSUMPTIONS!$C$7</f>
        <v/>
      </c>
    </row>
    <row r="147">
      <c r="H147" s="83">
        <f>_xlfn.NORM.INV(RAND(),AVERAGE(ASSUMPTIONS!$C$38,ASSUMPTIONS!$C$39,ASSUMPTIONS!$C$40,ASSUMPTIONS!$C$41,ASSUMPTIONS!$C$42),ASSUMPTIONS!$C$68)</f>
        <v/>
      </c>
      <c r="I147" s="83">
        <f>MAX(_xlfn.NORM.INV(RAND(),DCF!$C$11,ASSUMPTIONS!$C$69),K147+0.005)</f>
        <v/>
      </c>
      <c r="J147" s="83">
        <f>_xlfn.NORM.INV(RAND(),ASSUMPTIONS!$C$19,ASSUMPTIONS!$C$70)</f>
        <v/>
      </c>
      <c r="K147" s="83">
        <f>_xlfn.NORM.INV(RAND(),ASSUMPTIONS!$C$43,ASSUMPTIONS!$C$71)</f>
        <v/>
      </c>
      <c r="L147" s="84">
        <f>(((ASSUMPTIONS!$C$18*J147*(1-ASSUMPTIONS!$C$20)+ASSUMPTIONS!$C$18*ASSUMPTIONS!$C$21-ASSUMPTIONS!$C$18*ASSUMPTIONS!$C$22)*(1+H147)*(1-((1+H147)/(1+I147))^5)/(I147-H147))+((ASSUMPTIONS!$C$18*J147*(1-ASSUMPTIONS!$C$20)+ASSUMPTIONS!$C$18*ASSUMPTIONS!$C$21-ASSUMPTIONS!$C$18*ASSUMPTIONS!$C$22)*(1+H147)^5*(1+K147)/(I147-K147)/(1+I147)^5)-DCF!$C$12)/ASSUMPTIONS!$C$7</f>
        <v/>
      </c>
    </row>
    <row r="148">
      <c r="H148" s="83">
        <f>_xlfn.NORM.INV(RAND(),AVERAGE(ASSUMPTIONS!$C$38,ASSUMPTIONS!$C$39,ASSUMPTIONS!$C$40,ASSUMPTIONS!$C$41,ASSUMPTIONS!$C$42),ASSUMPTIONS!$C$68)</f>
        <v/>
      </c>
      <c r="I148" s="83">
        <f>MAX(_xlfn.NORM.INV(RAND(),DCF!$C$11,ASSUMPTIONS!$C$69),K148+0.005)</f>
        <v/>
      </c>
      <c r="J148" s="83">
        <f>_xlfn.NORM.INV(RAND(),ASSUMPTIONS!$C$19,ASSUMPTIONS!$C$70)</f>
        <v/>
      </c>
      <c r="K148" s="83">
        <f>_xlfn.NORM.INV(RAND(),ASSUMPTIONS!$C$43,ASSUMPTIONS!$C$71)</f>
        <v/>
      </c>
      <c r="L148" s="84">
        <f>(((ASSUMPTIONS!$C$18*J148*(1-ASSUMPTIONS!$C$20)+ASSUMPTIONS!$C$18*ASSUMPTIONS!$C$21-ASSUMPTIONS!$C$18*ASSUMPTIONS!$C$22)*(1+H148)*(1-((1+H148)/(1+I148))^5)/(I148-H148))+((ASSUMPTIONS!$C$18*J148*(1-ASSUMPTIONS!$C$20)+ASSUMPTIONS!$C$18*ASSUMPTIONS!$C$21-ASSUMPTIONS!$C$18*ASSUMPTIONS!$C$22)*(1+H148)^5*(1+K148)/(I148-K148)/(1+I148)^5)-DCF!$C$12)/ASSUMPTIONS!$C$7</f>
        <v/>
      </c>
    </row>
    <row r="149">
      <c r="H149" s="83">
        <f>_xlfn.NORM.INV(RAND(),AVERAGE(ASSUMPTIONS!$C$38,ASSUMPTIONS!$C$39,ASSUMPTIONS!$C$40,ASSUMPTIONS!$C$41,ASSUMPTIONS!$C$42),ASSUMPTIONS!$C$68)</f>
        <v/>
      </c>
      <c r="I149" s="83">
        <f>MAX(_xlfn.NORM.INV(RAND(),DCF!$C$11,ASSUMPTIONS!$C$69),K149+0.005)</f>
        <v/>
      </c>
      <c r="J149" s="83">
        <f>_xlfn.NORM.INV(RAND(),ASSUMPTIONS!$C$19,ASSUMPTIONS!$C$70)</f>
        <v/>
      </c>
      <c r="K149" s="83">
        <f>_xlfn.NORM.INV(RAND(),ASSUMPTIONS!$C$43,ASSUMPTIONS!$C$71)</f>
        <v/>
      </c>
      <c r="L149" s="84">
        <f>(((ASSUMPTIONS!$C$18*J149*(1-ASSUMPTIONS!$C$20)+ASSUMPTIONS!$C$18*ASSUMPTIONS!$C$21-ASSUMPTIONS!$C$18*ASSUMPTIONS!$C$22)*(1+H149)*(1-((1+H149)/(1+I149))^5)/(I149-H149))+((ASSUMPTIONS!$C$18*J149*(1-ASSUMPTIONS!$C$20)+ASSUMPTIONS!$C$18*ASSUMPTIONS!$C$21-ASSUMPTIONS!$C$18*ASSUMPTIONS!$C$22)*(1+H149)^5*(1+K149)/(I149-K149)/(1+I149)^5)-DCF!$C$12)/ASSUMPTIONS!$C$7</f>
        <v/>
      </c>
    </row>
    <row r="150">
      <c r="H150" s="83">
        <f>_xlfn.NORM.INV(RAND(),AVERAGE(ASSUMPTIONS!$C$38,ASSUMPTIONS!$C$39,ASSUMPTIONS!$C$40,ASSUMPTIONS!$C$41,ASSUMPTIONS!$C$42),ASSUMPTIONS!$C$68)</f>
        <v/>
      </c>
      <c r="I150" s="83">
        <f>MAX(_xlfn.NORM.INV(RAND(),DCF!$C$11,ASSUMPTIONS!$C$69),K150+0.005)</f>
        <v/>
      </c>
      <c r="J150" s="83">
        <f>_xlfn.NORM.INV(RAND(),ASSUMPTIONS!$C$19,ASSUMPTIONS!$C$70)</f>
        <v/>
      </c>
      <c r="K150" s="83">
        <f>_xlfn.NORM.INV(RAND(),ASSUMPTIONS!$C$43,ASSUMPTIONS!$C$71)</f>
        <v/>
      </c>
      <c r="L150" s="84">
        <f>(((ASSUMPTIONS!$C$18*J150*(1-ASSUMPTIONS!$C$20)+ASSUMPTIONS!$C$18*ASSUMPTIONS!$C$21-ASSUMPTIONS!$C$18*ASSUMPTIONS!$C$22)*(1+H150)*(1-((1+H150)/(1+I150))^5)/(I150-H150))+((ASSUMPTIONS!$C$18*J150*(1-ASSUMPTIONS!$C$20)+ASSUMPTIONS!$C$18*ASSUMPTIONS!$C$21-ASSUMPTIONS!$C$18*ASSUMPTIONS!$C$22)*(1+H150)^5*(1+K150)/(I150-K150)/(1+I150)^5)-DCF!$C$12)/ASSUMPTIONS!$C$7</f>
        <v/>
      </c>
    </row>
    <row r="151">
      <c r="H151" s="83">
        <f>_xlfn.NORM.INV(RAND(),AVERAGE(ASSUMPTIONS!$C$38,ASSUMPTIONS!$C$39,ASSUMPTIONS!$C$40,ASSUMPTIONS!$C$41,ASSUMPTIONS!$C$42),ASSUMPTIONS!$C$68)</f>
        <v/>
      </c>
      <c r="I151" s="83">
        <f>MAX(_xlfn.NORM.INV(RAND(),DCF!$C$11,ASSUMPTIONS!$C$69),K151+0.005)</f>
        <v/>
      </c>
      <c r="J151" s="83">
        <f>_xlfn.NORM.INV(RAND(),ASSUMPTIONS!$C$19,ASSUMPTIONS!$C$70)</f>
        <v/>
      </c>
      <c r="K151" s="83">
        <f>_xlfn.NORM.INV(RAND(),ASSUMPTIONS!$C$43,ASSUMPTIONS!$C$71)</f>
        <v/>
      </c>
      <c r="L151" s="84">
        <f>(((ASSUMPTIONS!$C$18*J151*(1-ASSUMPTIONS!$C$20)+ASSUMPTIONS!$C$18*ASSUMPTIONS!$C$21-ASSUMPTIONS!$C$18*ASSUMPTIONS!$C$22)*(1+H151)*(1-((1+H151)/(1+I151))^5)/(I151-H151))+((ASSUMPTIONS!$C$18*J151*(1-ASSUMPTIONS!$C$20)+ASSUMPTIONS!$C$18*ASSUMPTIONS!$C$21-ASSUMPTIONS!$C$18*ASSUMPTIONS!$C$22)*(1+H151)^5*(1+K151)/(I151-K151)/(1+I151)^5)-DCF!$C$12)/ASSUMPTIONS!$C$7</f>
        <v/>
      </c>
    </row>
    <row r="152">
      <c r="H152" s="83">
        <f>_xlfn.NORM.INV(RAND(),AVERAGE(ASSUMPTIONS!$C$38,ASSUMPTIONS!$C$39,ASSUMPTIONS!$C$40,ASSUMPTIONS!$C$41,ASSUMPTIONS!$C$42),ASSUMPTIONS!$C$68)</f>
        <v/>
      </c>
      <c r="I152" s="83">
        <f>MAX(_xlfn.NORM.INV(RAND(),DCF!$C$11,ASSUMPTIONS!$C$69),K152+0.005)</f>
        <v/>
      </c>
      <c r="J152" s="83">
        <f>_xlfn.NORM.INV(RAND(),ASSUMPTIONS!$C$19,ASSUMPTIONS!$C$70)</f>
        <v/>
      </c>
      <c r="K152" s="83">
        <f>_xlfn.NORM.INV(RAND(),ASSUMPTIONS!$C$43,ASSUMPTIONS!$C$71)</f>
        <v/>
      </c>
      <c r="L152" s="84">
        <f>(((ASSUMPTIONS!$C$18*J152*(1-ASSUMPTIONS!$C$20)+ASSUMPTIONS!$C$18*ASSUMPTIONS!$C$21-ASSUMPTIONS!$C$18*ASSUMPTIONS!$C$22)*(1+H152)*(1-((1+H152)/(1+I152))^5)/(I152-H152))+((ASSUMPTIONS!$C$18*J152*(1-ASSUMPTIONS!$C$20)+ASSUMPTIONS!$C$18*ASSUMPTIONS!$C$21-ASSUMPTIONS!$C$18*ASSUMPTIONS!$C$22)*(1+H152)^5*(1+K152)/(I152-K152)/(1+I152)^5)-DCF!$C$12)/ASSUMPTIONS!$C$7</f>
        <v/>
      </c>
    </row>
    <row r="153">
      <c r="H153" s="83">
        <f>_xlfn.NORM.INV(RAND(),AVERAGE(ASSUMPTIONS!$C$38,ASSUMPTIONS!$C$39,ASSUMPTIONS!$C$40,ASSUMPTIONS!$C$41,ASSUMPTIONS!$C$42),ASSUMPTIONS!$C$68)</f>
        <v/>
      </c>
      <c r="I153" s="83">
        <f>MAX(_xlfn.NORM.INV(RAND(),DCF!$C$11,ASSUMPTIONS!$C$69),K153+0.005)</f>
        <v/>
      </c>
      <c r="J153" s="83">
        <f>_xlfn.NORM.INV(RAND(),ASSUMPTIONS!$C$19,ASSUMPTIONS!$C$70)</f>
        <v/>
      </c>
      <c r="K153" s="83">
        <f>_xlfn.NORM.INV(RAND(),ASSUMPTIONS!$C$43,ASSUMPTIONS!$C$71)</f>
        <v/>
      </c>
      <c r="L153" s="84">
        <f>(((ASSUMPTIONS!$C$18*J153*(1-ASSUMPTIONS!$C$20)+ASSUMPTIONS!$C$18*ASSUMPTIONS!$C$21-ASSUMPTIONS!$C$18*ASSUMPTIONS!$C$22)*(1+H153)*(1-((1+H153)/(1+I153))^5)/(I153-H153))+((ASSUMPTIONS!$C$18*J153*(1-ASSUMPTIONS!$C$20)+ASSUMPTIONS!$C$18*ASSUMPTIONS!$C$21-ASSUMPTIONS!$C$18*ASSUMPTIONS!$C$22)*(1+H153)^5*(1+K153)/(I153-K153)/(1+I153)^5)-DCF!$C$12)/ASSUMPTIONS!$C$7</f>
        <v/>
      </c>
    </row>
    <row r="154">
      <c r="H154" s="83">
        <f>_xlfn.NORM.INV(RAND(),AVERAGE(ASSUMPTIONS!$C$38,ASSUMPTIONS!$C$39,ASSUMPTIONS!$C$40,ASSUMPTIONS!$C$41,ASSUMPTIONS!$C$42),ASSUMPTIONS!$C$68)</f>
        <v/>
      </c>
      <c r="I154" s="83">
        <f>MAX(_xlfn.NORM.INV(RAND(),DCF!$C$11,ASSUMPTIONS!$C$69),K154+0.005)</f>
        <v/>
      </c>
      <c r="J154" s="83">
        <f>_xlfn.NORM.INV(RAND(),ASSUMPTIONS!$C$19,ASSUMPTIONS!$C$70)</f>
        <v/>
      </c>
      <c r="K154" s="83">
        <f>_xlfn.NORM.INV(RAND(),ASSUMPTIONS!$C$43,ASSUMPTIONS!$C$71)</f>
        <v/>
      </c>
      <c r="L154" s="84">
        <f>(((ASSUMPTIONS!$C$18*J154*(1-ASSUMPTIONS!$C$20)+ASSUMPTIONS!$C$18*ASSUMPTIONS!$C$21-ASSUMPTIONS!$C$18*ASSUMPTIONS!$C$22)*(1+H154)*(1-((1+H154)/(1+I154))^5)/(I154-H154))+((ASSUMPTIONS!$C$18*J154*(1-ASSUMPTIONS!$C$20)+ASSUMPTIONS!$C$18*ASSUMPTIONS!$C$21-ASSUMPTIONS!$C$18*ASSUMPTIONS!$C$22)*(1+H154)^5*(1+K154)/(I154-K154)/(1+I154)^5)-DCF!$C$12)/ASSUMPTIONS!$C$7</f>
        <v/>
      </c>
    </row>
    <row r="155">
      <c r="H155" s="83">
        <f>_xlfn.NORM.INV(RAND(),AVERAGE(ASSUMPTIONS!$C$38,ASSUMPTIONS!$C$39,ASSUMPTIONS!$C$40,ASSUMPTIONS!$C$41,ASSUMPTIONS!$C$42),ASSUMPTIONS!$C$68)</f>
        <v/>
      </c>
      <c r="I155" s="83">
        <f>MAX(_xlfn.NORM.INV(RAND(),DCF!$C$11,ASSUMPTIONS!$C$69),K155+0.005)</f>
        <v/>
      </c>
      <c r="J155" s="83">
        <f>_xlfn.NORM.INV(RAND(),ASSUMPTIONS!$C$19,ASSUMPTIONS!$C$70)</f>
        <v/>
      </c>
      <c r="K155" s="83">
        <f>_xlfn.NORM.INV(RAND(),ASSUMPTIONS!$C$43,ASSUMPTIONS!$C$71)</f>
        <v/>
      </c>
      <c r="L155" s="84">
        <f>(((ASSUMPTIONS!$C$18*J155*(1-ASSUMPTIONS!$C$20)+ASSUMPTIONS!$C$18*ASSUMPTIONS!$C$21-ASSUMPTIONS!$C$18*ASSUMPTIONS!$C$22)*(1+H155)*(1-((1+H155)/(1+I155))^5)/(I155-H155))+((ASSUMPTIONS!$C$18*J155*(1-ASSUMPTIONS!$C$20)+ASSUMPTIONS!$C$18*ASSUMPTIONS!$C$21-ASSUMPTIONS!$C$18*ASSUMPTIONS!$C$22)*(1+H155)^5*(1+K155)/(I155-K155)/(1+I155)^5)-DCF!$C$12)/ASSUMPTIONS!$C$7</f>
        <v/>
      </c>
    </row>
    <row r="156">
      <c r="H156" s="83">
        <f>_xlfn.NORM.INV(RAND(),AVERAGE(ASSUMPTIONS!$C$38,ASSUMPTIONS!$C$39,ASSUMPTIONS!$C$40,ASSUMPTIONS!$C$41,ASSUMPTIONS!$C$42),ASSUMPTIONS!$C$68)</f>
        <v/>
      </c>
      <c r="I156" s="83">
        <f>MAX(_xlfn.NORM.INV(RAND(),DCF!$C$11,ASSUMPTIONS!$C$69),K156+0.005)</f>
        <v/>
      </c>
      <c r="J156" s="83">
        <f>_xlfn.NORM.INV(RAND(),ASSUMPTIONS!$C$19,ASSUMPTIONS!$C$70)</f>
        <v/>
      </c>
      <c r="K156" s="83">
        <f>_xlfn.NORM.INV(RAND(),ASSUMPTIONS!$C$43,ASSUMPTIONS!$C$71)</f>
        <v/>
      </c>
      <c r="L156" s="84">
        <f>(((ASSUMPTIONS!$C$18*J156*(1-ASSUMPTIONS!$C$20)+ASSUMPTIONS!$C$18*ASSUMPTIONS!$C$21-ASSUMPTIONS!$C$18*ASSUMPTIONS!$C$22)*(1+H156)*(1-((1+H156)/(1+I156))^5)/(I156-H156))+((ASSUMPTIONS!$C$18*J156*(1-ASSUMPTIONS!$C$20)+ASSUMPTIONS!$C$18*ASSUMPTIONS!$C$21-ASSUMPTIONS!$C$18*ASSUMPTIONS!$C$22)*(1+H156)^5*(1+K156)/(I156-K156)/(1+I156)^5)-DCF!$C$12)/ASSUMPTIONS!$C$7</f>
        <v/>
      </c>
    </row>
    <row r="157">
      <c r="H157" s="83">
        <f>_xlfn.NORM.INV(RAND(),AVERAGE(ASSUMPTIONS!$C$38,ASSUMPTIONS!$C$39,ASSUMPTIONS!$C$40,ASSUMPTIONS!$C$41,ASSUMPTIONS!$C$42),ASSUMPTIONS!$C$68)</f>
        <v/>
      </c>
      <c r="I157" s="83">
        <f>MAX(_xlfn.NORM.INV(RAND(),DCF!$C$11,ASSUMPTIONS!$C$69),K157+0.005)</f>
        <v/>
      </c>
      <c r="J157" s="83">
        <f>_xlfn.NORM.INV(RAND(),ASSUMPTIONS!$C$19,ASSUMPTIONS!$C$70)</f>
        <v/>
      </c>
      <c r="K157" s="83">
        <f>_xlfn.NORM.INV(RAND(),ASSUMPTIONS!$C$43,ASSUMPTIONS!$C$71)</f>
        <v/>
      </c>
      <c r="L157" s="84">
        <f>(((ASSUMPTIONS!$C$18*J157*(1-ASSUMPTIONS!$C$20)+ASSUMPTIONS!$C$18*ASSUMPTIONS!$C$21-ASSUMPTIONS!$C$18*ASSUMPTIONS!$C$22)*(1+H157)*(1-((1+H157)/(1+I157))^5)/(I157-H157))+((ASSUMPTIONS!$C$18*J157*(1-ASSUMPTIONS!$C$20)+ASSUMPTIONS!$C$18*ASSUMPTIONS!$C$21-ASSUMPTIONS!$C$18*ASSUMPTIONS!$C$22)*(1+H157)^5*(1+K157)/(I157-K157)/(1+I157)^5)-DCF!$C$12)/ASSUMPTIONS!$C$7</f>
        <v/>
      </c>
    </row>
    <row r="158">
      <c r="H158" s="83">
        <f>_xlfn.NORM.INV(RAND(),AVERAGE(ASSUMPTIONS!$C$38,ASSUMPTIONS!$C$39,ASSUMPTIONS!$C$40,ASSUMPTIONS!$C$41,ASSUMPTIONS!$C$42),ASSUMPTIONS!$C$68)</f>
        <v/>
      </c>
      <c r="I158" s="83">
        <f>MAX(_xlfn.NORM.INV(RAND(),DCF!$C$11,ASSUMPTIONS!$C$69),K158+0.005)</f>
        <v/>
      </c>
      <c r="J158" s="83">
        <f>_xlfn.NORM.INV(RAND(),ASSUMPTIONS!$C$19,ASSUMPTIONS!$C$70)</f>
        <v/>
      </c>
      <c r="K158" s="83">
        <f>_xlfn.NORM.INV(RAND(),ASSUMPTIONS!$C$43,ASSUMPTIONS!$C$71)</f>
        <v/>
      </c>
      <c r="L158" s="84">
        <f>(((ASSUMPTIONS!$C$18*J158*(1-ASSUMPTIONS!$C$20)+ASSUMPTIONS!$C$18*ASSUMPTIONS!$C$21-ASSUMPTIONS!$C$18*ASSUMPTIONS!$C$22)*(1+H158)*(1-((1+H158)/(1+I158))^5)/(I158-H158))+((ASSUMPTIONS!$C$18*J158*(1-ASSUMPTIONS!$C$20)+ASSUMPTIONS!$C$18*ASSUMPTIONS!$C$21-ASSUMPTIONS!$C$18*ASSUMPTIONS!$C$22)*(1+H158)^5*(1+K158)/(I158-K158)/(1+I158)^5)-DCF!$C$12)/ASSUMPTIONS!$C$7</f>
        <v/>
      </c>
    </row>
    <row r="159">
      <c r="H159" s="83">
        <f>_xlfn.NORM.INV(RAND(),AVERAGE(ASSUMPTIONS!$C$38,ASSUMPTIONS!$C$39,ASSUMPTIONS!$C$40,ASSUMPTIONS!$C$41,ASSUMPTIONS!$C$42),ASSUMPTIONS!$C$68)</f>
        <v/>
      </c>
      <c r="I159" s="83">
        <f>MAX(_xlfn.NORM.INV(RAND(),DCF!$C$11,ASSUMPTIONS!$C$69),K159+0.005)</f>
        <v/>
      </c>
      <c r="J159" s="83">
        <f>_xlfn.NORM.INV(RAND(),ASSUMPTIONS!$C$19,ASSUMPTIONS!$C$70)</f>
        <v/>
      </c>
      <c r="K159" s="83">
        <f>_xlfn.NORM.INV(RAND(),ASSUMPTIONS!$C$43,ASSUMPTIONS!$C$71)</f>
        <v/>
      </c>
      <c r="L159" s="84">
        <f>(((ASSUMPTIONS!$C$18*J159*(1-ASSUMPTIONS!$C$20)+ASSUMPTIONS!$C$18*ASSUMPTIONS!$C$21-ASSUMPTIONS!$C$18*ASSUMPTIONS!$C$22)*(1+H159)*(1-((1+H159)/(1+I159))^5)/(I159-H159))+((ASSUMPTIONS!$C$18*J159*(1-ASSUMPTIONS!$C$20)+ASSUMPTIONS!$C$18*ASSUMPTIONS!$C$21-ASSUMPTIONS!$C$18*ASSUMPTIONS!$C$22)*(1+H159)^5*(1+K159)/(I159-K159)/(1+I159)^5)-DCF!$C$12)/ASSUMPTIONS!$C$7</f>
        <v/>
      </c>
    </row>
    <row r="160">
      <c r="H160" s="83">
        <f>_xlfn.NORM.INV(RAND(),AVERAGE(ASSUMPTIONS!$C$38,ASSUMPTIONS!$C$39,ASSUMPTIONS!$C$40,ASSUMPTIONS!$C$41,ASSUMPTIONS!$C$42),ASSUMPTIONS!$C$68)</f>
        <v/>
      </c>
      <c r="I160" s="83">
        <f>MAX(_xlfn.NORM.INV(RAND(),DCF!$C$11,ASSUMPTIONS!$C$69),K160+0.005)</f>
        <v/>
      </c>
      <c r="J160" s="83">
        <f>_xlfn.NORM.INV(RAND(),ASSUMPTIONS!$C$19,ASSUMPTIONS!$C$70)</f>
        <v/>
      </c>
      <c r="K160" s="83">
        <f>_xlfn.NORM.INV(RAND(),ASSUMPTIONS!$C$43,ASSUMPTIONS!$C$71)</f>
        <v/>
      </c>
      <c r="L160" s="84">
        <f>(((ASSUMPTIONS!$C$18*J160*(1-ASSUMPTIONS!$C$20)+ASSUMPTIONS!$C$18*ASSUMPTIONS!$C$21-ASSUMPTIONS!$C$18*ASSUMPTIONS!$C$22)*(1+H160)*(1-((1+H160)/(1+I160))^5)/(I160-H160))+((ASSUMPTIONS!$C$18*J160*(1-ASSUMPTIONS!$C$20)+ASSUMPTIONS!$C$18*ASSUMPTIONS!$C$21-ASSUMPTIONS!$C$18*ASSUMPTIONS!$C$22)*(1+H160)^5*(1+K160)/(I160-K160)/(1+I160)^5)-DCF!$C$12)/ASSUMPTIONS!$C$7</f>
        <v/>
      </c>
    </row>
    <row r="161">
      <c r="H161" s="83">
        <f>_xlfn.NORM.INV(RAND(),AVERAGE(ASSUMPTIONS!$C$38,ASSUMPTIONS!$C$39,ASSUMPTIONS!$C$40,ASSUMPTIONS!$C$41,ASSUMPTIONS!$C$42),ASSUMPTIONS!$C$68)</f>
        <v/>
      </c>
      <c r="I161" s="83">
        <f>MAX(_xlfn.NORM.INV(RAND(),DCF!$C$11,ASSUMPTIONS!$C$69),K161+0.005)</f>
        <v/>
      </c>
      <c r="J161" s="83">
        <f>_xlfn.NORM.INV(RAND(),ASSUMPTIONS!$C$19,ASSUMPTIONS!$C$70)</f>
        <v/>
      </c>
      <c r="K161" s="83">
        <f>_xlfn.NORM.INV(RAND(),ASSUMPTIONS!$C$43,ASSUMPTIONS!$C$71)</f>
        <v/>
      </c>
      <c r="L161" s="84">
        <f>(((ASSUMPTIONS!$C$18*J161*(1-ASSUMPTIONS!$C$20)+ASSUMPTIONS!$C$18*ASSUMPTIONS!$C$21-ASSUMPTIONS!$C$18*ASSUMPTIONS!$C$22)*(1+H161)*(1-((1+H161)/(1+I161))^5)/(I161-H161))+((ASSUMPTIONS!$C$18*J161*(1-ASSUMPTIONS!$C$20)+ASSUMPTIONS!$C$18*ASSUMPTIONS!$C$21-ASSUMPTIONS!$C$18*ASSUMPTIONS!$C$22)*(1+H161)^5*(1+K161)/(I161-K161)/(1+I161)^5)-DCF!$C$12)/ASSUMPTIONS!$C$7</f>
        <v/>
      </c>
    </row>
    <row r="162">
      <c r="H162" s="83">
        <f>_xlfn.NORM.INV(RAND(),AVERAGE(ASSUMPTIONS!$C$38,ASSUMPTIONS!$C$39,ASSUMPTIONS!$C$40,ASSUMPTIONS!$C$41,ASSUMPTIONS!$C$42),ASSUMPTIONS!$C$68)</f>
        <v/>
      </c>
      <c r="I162" s="83">
        <f>MAX(_xlfn.NORM.INV(RAND(),DCF!$C$11,ASSUMPTIONS!$C$69),K162+0.005)</f>
        <v/>
      </c>
      <c r="J162" s="83">
        <f>_xlfn.NORM.INV(RAND(),ASSUMPTIONS!$C$19,ASSUMPTIONS!$C$70)</f>
        <v/>
      </c>
      <c r="K162" s="83">
        <f>_xlfn.NORM.INV(RAND(),ASSUMPTIONS!$C$43,ASSUMPTIONS!$C$71)</f>
        <v/>
      </c>
      <c r="L162" s="84">
        <f>(((ASSUMPTIONS!$C$18*J162*(1-ASSUMPTIONS!$C$20)+ASSUMPTIONS!$C$18*ASSUMPTIONS!$C$21-ASSUMPTIONS!$C$18*ASSUMPTIONS!$C$22)*(1+H162)*(1-((1+H162)/(1+I162))^5)/(I162-H162))+((ASSUMPTIONS!$C$18*J162*(1-ASSUMPTIONS!$C$20)+ASSUMPTIONS!$C$18*ASSUMPTIONS!$C$21-ASSUMPTIONS!$C$18*ASSUMPTIONS!$C$22)*(1+H162)^5*(1+K162)/(I162-K162)/(1+I162)^5)-DCF!$C$12)/ASSUMPTIONS!$C$7</f>
        <v/>
      </c>
    </row>
    <row r="163">
      <c r="H163" s="83">
        <f>_xlfn.NORM.INV(RAND(),AVERAGE(ASSUMPTIONS!$C$38,ASSUMPTIONS!$C$39,ASSUMPTIONS!$C$40,ASSUMPTIONS!$C$41,ASSUMPTIONS!$C$42),ASSUMPTIONS!$C$68)</f>
        <v/>
      </c>
      <c r="I163" s="83">
        <f>MAX(_xlfn.NORM.INV(RAND(),DCF!$C$11,ASSUMPTIONS!$C$69),K163+0.005)</f>
        <v/>
      </c>
      <c r="J163" s="83">
        <f>_xlfn.NORM.INV(RAND(),ASSUMPTIONS!$C$19,ASSUMPTIONS!$C$70)</f>
        <v/>
      </c>
      <c r="K163" s="83">
        <f>_xlfn.NORM.INV(RAND(),ASSUMPTIONS!$C$43,ASSUMPTIONS!$C$71)</f>
        <v/>
      </c>
      <c r="L163" s="84">
        <f>(((ASSUMPTIONS!$C$18*J163*(1-ASSUMPTIONS!$C$20)+ASSUMPTIONS!$C$18*ASSUMPTIONS!$C$21-ASSUMPTIONS!$C$18*ASSUMPTIONS!$C$22)*(1+H163)*(1-((1+H163)/(1+I163))^5)/(I163-H163))+((ASSUMPTIONS!$C$18*J163*(1-ASSUMPTIONS!$C$20)+ASSUMPTIONS!$C$18*ASSUMPTIONS!$C$21-ASSUMPTIONS!$C$18*ASSUMPTIONS!$C$22)*(1+H163)^5*(1+K163)/(I163-K163)/(1+I163)^5)-DCF!$C$12)/ASSUMPTIONS!$C$7</f>
        <v/>
      </c>
    </row>
    <row r="164">
      <c r="H164" s="83">
        <f>_xlfn.NORM.INV(RAND(),AVERAGE(ASSUMPTIONS!$C$38,ASSUMPTIONS!$C$39,ASSUMPTIONS!$C$40,ASSUMPTIONS!$C$41,ASSUMPTIONS!$C$42),ASSUMPTIONS!$C$68)</f>
        <v/>
      </c>
      <c r="I164" s="83">
        <f>MAX(_xlfn.NORM.INV(RAND(),DCF!$C$11,ASSUMPTIONS!$C$69),K164+0.005)</f>
        <v/>
      </c>
      <c r="J164" s="83">
        <f>_xlfn.NORM.INV(RAND(),ASSUMPTIONS!$C$19,ASSUMPTIONS!$C$70)</f>
        <v/>
      </c>
      <c r="K164" s="83">
        <f>_xlfn.NORM.INV(RAND(),ASSUMPTIONS!$C$43,ASSUMPTIONS!$C$71)</f>
        <v/>
      </c>
      <c r="L164" s="84">
        <f>(((ASSUMPTIONS!$C$18*J164*(1-ASSUMPTIONS!$C$20)+ASSUMPTIONS!$C$18*ASSUMPTIONS!$C$21-ASSUMPTIONS!$C$18*ASSUMPTIONS!$C$22)*(1+H164)*(1-((1+H164)/(1+I164))^5)/(I164-H164))+((ASSUMPTIONS!$C$18*J164*(1-ASSUMPTIONS!$C$20)+ASSUMPTIONS!$C$18*ASSUMPTIONS!$C$21-ASSUMPTIONS!$C$18*ASSUMPTIONS!$C$22)*(1+H164)^5*(1+K164)/(I164-K164)/(1+I164)^5)-DCF!$C$12)/ASSUMPTIONS!$C$7</f>
        <v/>
      </c>
    </row>
    <row r="165">
      <c r="H165" s="83">
        <f>_xlfn.NORM.INV(RAND(),AVERAGE(ASSUMPTIONS!$C$38,ASSUMPTIONS!$C$39,ASSUMPTIONS!$C$40,ASSUMPTIONS!$C$41,ASSUMPTIONS!$C$42),ASSUMPTIONS!$C$68)</f>
        <v/>
      </c>
      <c r="I165" s="83">
        <f>MAX(_xlfn.NORM.INV(RAND(),DCF!$C$11,ASSUMPTIONS!$C$69),K165+0.005)</f>
        <v/>
      </c>
      <c r="J165" s="83">
        <f>_xlfn.NORM.INV(RAND(),ASSUMPTIONS!$C$19,ASSUMPTIONS!$C$70)</f>
        <v/>
      </c>
      <c r="K165" s="83">
        <f>_xlfn.NORM.INV(RAND(),ASSUMPTIONS!$C$43,ASSUMPTIONS!$C$71)</f>
        <v/>
      </c>
      <c r="L165" s="84">
        <f>(((ASSUMPTIONS!$C$18*J165*(1-ASSUMPTIONS!$C$20)+ASSUMPTIONS!$C$18*ASSUMPTIONS!$C$21-ASSUMPTIONS!$C$18*ASSUMPTIONS!$C$22)*(1+H165)*(1-((1+H165)/(1+I165))^5)/(I165-H165))+((ASSUMPTIONS!$C$18*J165*(1-ASSUMPTIONS!$C$20)+ASSUMPTIONS!$C$18*ASSUMPTIONS!$C$21-ASSUMPTIONS!$C$18*ASSUMPTIONS!$C$22)*(1+H165)^5*(1+K165)/(I165-K165)/(1+I165)^5)-DCF!$C$12)/ASSUMPTIONS!$C$7</f>
        <v/>
      </c>
    </row>
    <row r="166">
      <c r="H166" s="83">
        <f>_xlfn.NORM.INV(RAND(),AVERAGE(ASSUMPTIONS!$C$38,ASSUMPTIONS!$C$39,ASSUMPTIONS!$C$40,ASSUMPTIONS!$C$41,ASSUMPTIONS!$C$42),ASSUMPTIONS!$C$68)</f>
        <v/>
      </c>
      <c r="I166" s="83">
        <f>MAX(_xlfn.NORM.INV(RAND(),DCF!$C$11,ASSUMPTIONS!$C$69),K166+0.005)</f>
        <v/>
      </c>
      <c r="J166" s="83">
        <f>_xlfn.NORM.INV(RAND(),ASSUMPTIONS!$C$19,ASSUMPTIONS!$C$70)</f>
        <v/>
      </c>
      <c r="K166" s="83">
        <f>_xlfn.NORM.INV(RAND(),ASSUMPTIONS!$C$43,ASSUMPTIONS!$C$71)</f>
        <v/>
      </c>
      <c r="L166" s="84">
        <f>(((ASSUMPTIONS!$C$18*J166*(1-ASSUMPTIONS!$C$20)+ASSUMPTIONS!$C$18*ASSUMPTIONS!$C$21-ASSUMPTIONS!$C$18*ASSUMPTIONS!$C$22)*(1+H166)*(1-((1+H166)/(1+I166))^5)/(I166-H166))+((ASSUMPTIONS!$C$18*J166*(1-ASSUMPTIONS!$C$20)+ASSUMPTIONS!$C$18*ASSUMPTIONS!$C$21-ASSUMPTIONS!$C$18*ASSUMPTIONS!$C$22)*(1+H166)^5*(1+K166)/(I166-K166)/(1+I166)^5)-DCF!$C$12)/ASSUMPTIONS!$C$7</f>
        <v/>
      </c>
    </row>
    <row r="167">
      <c r="H167" s="83">
        <f>_xlfn.NORM.INV(RAND(),AVERAGE(ASSUMPTIONS!$C$38,ASSUMPTIONS!$C$39,ASSUMPTIONS!$C$40,ASSUMPTIONS!$C$41,ASSUMPTIONS!$C$42),ASSUMPTIONS!$C$68)</f>
        <v/>
      </c>
      <c r="I167" s="83">
        <f>MAX(_xlfn.NORM.INV(RAND(),DCF!$C$11,ASSUMPTIONS!$C$69),K167+0.005)</f>
        <v/>
      </c>
      <c r="J167" s="83">
        <f>_xlfn.NORM.INV(RAND(),ASSUMPTIONS!$C$19,ASSUMPTIONS!$C$70)</f>
        <v/>
      </c>
      <c r="K167" s="83">
        <f>_xlfn.NORM.INV(RAND(),ASSUMPTIONS!$C$43,ASSUMPTIONS!$C$71)</f>
        <v/>
      </c>
      <c r="L167" s="84">
        <f>(((ASSUMPTIONS!$C$18*J167*(1-ASSUMPTIONS!$C$20)+ASSUMPTIONS!$C$18*ASSUMPTIONS!$C$21-ASSUMPTIONS!$C$18*ASSUMPTIONS!$C$22)*(1+H167)*(1-((1+H167)/(1+I167))^5)/(I167-H167))+((ASSUMPTIONS!$C$18*J167*(1-ASSUMPTIONS!$C$20)+ASSUMPTIONS!$C$18*ASSUMPTIONS!$C$21-ASSUMPTIONS!$C$18*ASSUMPTIONS!$C$22)*(1+H167)^5*(1+K167)/(I167-K167)/(1+I167)^5)-DCF!$C$12)/ASSUMPTIONS!$C$7</f>
        <v/>
      </c>
    </row>
    <row r="168">
      <c r="H168" s="83">
        <f>_xlfn.NORM.INV(RAND(),AVERAGE(ASSUMPTIONS!$C$38,ASSUMPTIONS!$C$39,ASSUMPTIONS!$C$40,ASSUMPTIONS!$C$41,ASSUMPTIONS!$C$42),ASSUMPTIONS!$C$68)</f>
        <v/>
      </c>
      <c r="I168" s="83">
        <f>MAX(_xlfn.NORM.INV(RAND(),DCF!$C$11,ASSUMPTIONS!$C$69),K168+0.005)</f>
        <v/>
      </c>
      <c r="J168" s="83">
        <f>_xlfn.NORM.INV(RAND(),ASSUMPTIONS!$C$19,ASSUMPTIONS!$C$70)</f>
        <v/>
      </c>
      <c r="K168" s="83">
        <f>_xlfn.NORM.INV(RAND(),ASSUMPTIONS!$C$43,ASSUMPTIONS!$C$71)</f>
        <v/>
      </c>
      <c r="L168" s="84">
        <f>(((ASSUMPTIONS!$C$18*J168*(1-ASSUMPTIONS!$C$20)+ASSUMPTIONS!$C$18*ASSUMPTIONS!$C$21-ASSUMPTIONS!$C$18*ASSUMPTIONS!$C$22)*(1+H168)*(1-((1+H168)/(1+I168))^5)/(I168-H168))+((ASSUMPTIONS!$C$18*J168*(1-ASSUMPTIONS!$C$20)+ASSUMPTIONS!$C$18*ASSUMPTIONS!$C$21-ASSUMPTIONS!$C$18*ASSUMPTIONS!$C$22)*(1+H168)^5*(1+K168)/(I168-K168)/(1+I168)^5)-DCF!$C$12)/ASSUMPTIONS!$C$7</f>
        <v/>
      </c>
    </row>
    <row r="169">
      <c r="H169" s="83">
        <f>_xlfn.NORM.INV(RAND(),AVERAGE(ASSUMPTIONS!$C$38,ASSUMPTIONS!$C$39,ASSUMPTIONS!$C$40,ASSUMPTIONS!$C$41,ASSUMPTIONS!$C$42),ASSUMPTIONS!$C$68)</f>
        <v/>
      </c>
      <c r="I169" s="83">
        <f>MAX(_xlfn.NORM.INV(RAND(),DCF!$C$11,ASSUMPTIONS!$C$69),K169+0.005)</f>
        <v/>
      </c>
      <c r="J169" s="83">
        <f>_xlfn.NORM.INV(RAND(),ASSUMPTIONS!$C$19,ASSUMPTIONS!$C$70)</f>
        <v/>
      </c>
      <c r="K169" s="83">
        <f>_xlfn.NORM.INV(RAND(),ASSUMPTIONS!$C$43,ASSUMPTIONS!$C$71)</f>
        <v/>
      </c>
      <c r="L169" s="84">
        <f>(((ASSUMPTIONS!$C$18*J169*(1-ASSUMPTIONS!$C$20)+ASSUMPTIONS!$C$18*ASSUMPTIONS!$C$21-ASSUMPTIONS!$C$18*ASSUMPTIONS!$C$22)*(1+H169)*(1-((1+H169)/(1+I169))^5)/(I169-H169))+((ASSUMPTIONS!$C$18*J169*(1-ASSUMPTIONS!$C$20)+ASSUMPTIONS!$C$18*ASSUMPTIONS!$C$21-ASSUMPTIONS!$C$18*ASSUMPTIONS!$C$22)*(1+H169)^5*(1+K169)/(I169-K169)/(1+I169)^5)-DCF!$C$12)/ASSUMPTIONS!$C$7</f>
        <v/>
      </c>
    </row>
    <row r="170">
      <c r="H170" s="83">
        <f>_xlfn.NORM.INV(RAND(),AVERAGE(ASSUMPTIONS!$C$38,ASSUMPTIONS!$C$39,ASSUMPTIONS!$C$40,ASSUMPTIONS!$C$41,ASSUMPTIONS!$C$42),ASSUMPTIONS!$C$68)</f>
        <v/>
      </c>
      <c r="I170" s="83">
        <f>MAX(_xlfn.NORM.INV(RAND(),DCF!$C$11,ASSUMPTIONS!$C$69),K170+0.005)</f>
        <v/>
      </c>
      <c r="J170" s="83">
        <f>_xlfn.NORM.INV(RAND(),ASSUMPTIONS!$C$19,ASSUMPTIONS!$C$70)</f>
        <v/>
      </c>
      <c r="K170" s="83">
        <f>_xlfn.NORM.INV(RAND(),ASSUMPTIONS!$C$43,ASSUMPTIONS!$C$71)</f>
        <v/>
      </c>
      <c r="L170" s="84">
        <f>(((ASSUMPTIONS!$C$18*J170*(1-ASSUMPTIONS!$C$20)+ASSUMPTIONS!$C$18*ASSUMPTIONS!$C$21-ASSUMPTIONS!$C$18*ASSUMPTIONS!$C$22)*(1+H170)*(1-((1+H170)/(1+I170))^5)/(I170-H170))+((ASSUMPTIONS!$C$18*J170*(1-ASSUMPTIONS!$C$20)+ASSUMPTIONS!$C$18*ASSUMPTIONS!$C$21-ASSUMPTIONS!$C$18*ASSUMPTIONS!$C$22)*(1+H170)^5*(1+K170)/(I170-K170)/(1+I170)^5)-DCF!$C$12)/ASSUMPTIONS!$C$7</f>
        <v/>
      </c>
    </row>
    <row r="171">
      <c r="H171" s="83">
        <f>_xlfn.NORM.INV(RAND(),AVERAGE(ASSUMPTIONS!$C$38,ASSUMPTIONS!$C$39,ASSUMPTIONS!$C$40,ASSUMPTIONS!$C$41,ASSUMPTIONS!$C$42),ASSUMPTIONS!$C$68)</f>
        <v/>
      </c>
      <c r="I171" s="83">
        <f>MAX(_xlfn.NORM.INV(RAND(),DCF!$C$11,ASSUMPTIONS!$C$69),K171+0.005)</f>
        <v/>
      </c>
      <c r="J171" s="83">
        <f>_xlfn.NORM.INV(RAND(),ASSUMPTIONS!$C$19,ASSUMPTIONS!$C$70)</f>
        <v/>
      </c>
      <c r="K171" s="83">
        <f>_xlfn.NORM.INV(RAND(),ASSUMPTIONS!$C$43,ASSUMPTIONS!$C$71)</f>
        <v/>
      </c>
      <c r="L171" s="84">
        <f>(((ASSUMPTIONS!$C$18*J171*(1-ASSUMPTIONS!$C$20)+ASSUMPTIONS!$C$18*ASSUMPTIONS!$C$21-ASSUMPTIONS!$C$18*ASSUMPTIONS!$C$22)*(1+H171)*(1-((1+H171)/(1+I171))^5)/(I171-H171))+((ASSUMPTIONS!$C$18*J171*(1-ASSUMPTIONS!$C$20)+ASSUMPTIONS!$C$18*ASSUMPTIONS!$C$21-ASSUMPTIONS!$C$18*ASSUMPTIONS!$C$22)*(1+H171)^5*(1+K171)/(I171-K171)/(1+I171)^5)-DCF!$C$12)/ASSUMPTIONS!$C$7</f>
        <v/>
      </c>
    </row>
    <row r="172">
      <c r="H172" s="83">
        <f>_xlfn.NORM.INV(RAND(),AVERAGE(ASSUMPTIONS!$C$38,ASSUMPTIONS!$C$39,ASSUMPTIONS!$C$40,ASSUMPTIONS!$C$41,ASSUMPTIONS!$C$42),ASSUMPTIONS!$C$68)</f>
        <v/>
      </c>
      <c r="I172" s="83">
        <f>MAX(_xlfn.NORM.INV(RAND(),DCF!$C$11,ASSUMPTIONS!$C$69),K172+0.005)</f>
        <v/>
      </c>
      <c r="J172" s="83">
        <f>_xlfn.NORM.INV(RAND(),ASSUMPTIONS!$C$19,ASSUMPTIONS!$C$70)</f>
        <v/>
      </c>
      <c r="K172" s="83">
        <f>_xlfn.NORM.INV(RAND(),ASSUMPTIONS!$C$43,ASSUMPTIONS!$C$71)</f>
        <v/>
      </c>
      <c r="L172" s="84">
        <f>(((ASSUMPTIONS!$C$18*J172*(1-ASSUMPTIONS!$C$20)+ASSUMPTIONS!$C$18*ASSUMPTIONS!$C$21-ASSUMPTIONS!$C$18*ASSUMPTIONS!$C$22)*(1+H172)*(1-((1+H172)/(1+I172))^5)/(I172-H172))+((ASSUMPTIONS!$C$18*J172*(1-ASSUMPTIONS!$C$20)+ASSUMPTIONS!$C$18*ASSUMPTIONS!$C$21-ASSUMPTIONS!$C$18*ASSUMPTIONS!$C$22)*(1+H172)^5*(1+K172)/(I172-K172)/(1+I172)^5)-DCF!$C$12)/ASSUMPTIONS!$C$7</f>
        <v/>
      </c>
    </row>
    <row r="173">
      <c r="H173" s="83">
        <f>_xlfn.NORM.INV(RAND(),AVERAGE(ASSUMPTIONS!$C$38,ASSUMPTIONS!$C$39,ASSUMPTIONS!$C$40,ASSUMPTIONS!$C$41,ASSUMPTIONS!$C$42),ASSUMPTIONS!$C$68)</f>
        <v/>
      </c>
      <c r="I173" s="83">
        <f>MAX(_xlfn.NORM.INV(RAND(),DCF!$C$11,ASSUMPTIONS!$C$69),K173+0.005)</f>
        <v/>
      </c>
      <c r="J173" s="83">
        <f>_xlfn.NORM.INV(RAND(),ASSUMPTIONS!$C$19,ASSUMPTIONS!$C$70)</f>
        <v/>
      </c>
      <c r="K173" s="83">
        <f>_xlfn.NORM.INV(RAND(),ASSUMPTIONS!$C$43,ASSUMPTIONS!$C$71)</f>
        <v/>
      </c>
      <c r="L173" s="84">
        <f>(((ASSUMPTIONS!$C$18*J173*(1-ASSUMPTIONS!$C$20)+ASSUMPTIONS!$C$18*ASSUMPTIONS!$C$21-ASSUMPTIONS!$C$18*ASSUMPTIONS!$C$22)*(1+H173)*(1-((1+H173)/(1+I173))^5)/(I173-H173))+((ASSUMPTIONS!$C$18*J173*(1-ASSUMPTIONS!$C$20)+ASSUMPTIONS!$C$18*ASSUMPTIONS!$C$21-ASSUMPTIONS!$C$18*ASSUMPTIONS!$C$22)*(1+H173)^5*(1+K173)/(I173-K173)/(1+I173)^5)-DCF!$C$12)/ASSUMPTIONS!$C$7</f>
        <v/>
      </c>
    </row>
    <row r="174">
      <c r="H174" s="83">
        <f>_xlfn.NORM.INV(RAND(),AVERAGE(ASSUMPTIONS!$C$38,ASSUMPTIONS!$C$39,ASSUMPTIONS!$C$40,ASSUMPTIONS!$C$41,ASSUMPTIONS!$C$42),ASSUMPTIONS!$C$68)</f>
        <v/>
      </c>
      <c r="I174" s="83">
        <f>MAX(_xlfn.NORM.INV(RAND(),DCF!$C$11,ASSUMPTIONS!$C$69),K174+0.005)</f>
        <v/>
      </c>
      <c r="J174" s="83">
        <f>_xlfn.NORM.INV(RAND(),ASSUMPTIONS!$C$19,ASSUMPTIONS!$C$70)</f>
        <v/>
      </c>
      <c r="K174" s="83">
        <f>_xlfn.NORM.INV(RAND(),ASSUMPTIONS!$C$43,ASSUMPTIONS!$C$71)</f>
        <v/>
      </c>
      <c r="L174" s="84">
        <f>(((ASSUMPTIONS!$C$18*J174*(1-ASSUMPTIONS!$C$20)+ASSUMPTIONS!$C$18*ASSUMPTIONS!$C$21-ASSUMPTIONS!$C$18*ASSUMPTIONS!$C$22)*(1+H174)*(1-((1+H174)/(1+I174))^5)/(I174-H174))+((ASSUMPTIONS!$C$18*J174*(1-ASSUMPTIONS!$C$20)+ASSUMPTIONS!$C$18*ASSUMPTIONS!$C$21-ASSUMPTIONS!$C$18*ASSUMPTIONS!$C$22)*(1+H174)^5*(1+K174)/(I174-K174)/(1+I174)^5)-DCF!$C$12)/ASSUMPTIONS!$C$7</f>
        <v/>
      </c>
    </row>
    <row r="175">
      <c r="H175" s="83">
        <f>_xlfn.NORM.INV(RAND(),AVERAGE(ASSUMPTIONS!$C$38,ASSUMPTIONS!$C$39,ASSUMPTIONS!$C$40,ASSUMPTIONS!$C$41,ASSUMPTIONS!$C$42),ASSUMPTIONS!$C$68)</f>
        <v/>
      </c>
      <c r="I175" s="83">
        <f>MAX(_xlfn.NORM.INV(RAND(),DCF!$C$11,ASSUMPTIONS!$C$69),K175+0.005)</f>
        <v/>
      </c>
      <c r="J175" s="83">
        <f>_xlfn.NORM.INV(RAND(),ASSUMPTIONS!$C$19,ASSUMPTIONS!$C$70)</f>
        <v/>
      </c>
      <c r="K175" s="83">
        <f>_xlfn.NORM.INV(RAND(),ASSUMPTIONS!$C$43,ASSUMPTIONS!$C$71)</f>
        <v/>
      </c>
      <c r="L175" s="84">
        <f>(((ASSUMPTIONS!$C$18*J175*(1-ASSUMPTIONS!$C$20)+ASSUMPTIONS!$C$18*ASSUMPTIONS!$C$21-ASSUMPTIONS!$C$18*ASSUMPTIONS!$C$22)*(1+H175)*(1-((1+H175)/(1+I175))^5)/(I175-H175))+((ASSUMPTIONS!$C$18*J175*(1-ASSUMPTIONS!$C$20)+ASSUMPTIONS!$C$18*ASSUMPTIONS!$C$21-ASSUMPTIONS!$C$18*ASSUMPTIONS!$C$22)*(1+H175)^5*(1+K175)/(I175-K175)/(1+I175)^5)-DCF!$C$12)/ASSUMPTIONS!$C$7</f>
        <v/>
      </c>
    </row>
    <row r="176">
      <c r="H176" s="83">
        <f>_xlfn.NORM.INV(RAND(),AVERAGE(ASSUMPTIONS!$C$38,ASSUMPTIONS!$C$39,ASSUMPTIONS!$C$40,ASSUMPTIONS!$C$41,ASSUMPTIONS!$C$42),ASSUMPTIONS!$C$68)</f>
        <v/>
      </c>
      <c r="I176" s="83">
        <f>MAX(_xlfn.NORM.INV(RAND(),DCF!$C$11,ASSUMPTIONS!$C$69),K176+0.005)</f>
        <v/>
      </c>
      <c r="J176" s="83">
        <f>_xlfn.NORM.INV(RAND(),ASSUMPTIONS!$C$19,ASSUMPTIONS!$C$70)</f>
        <v/>
      </c>
      <c r="K176" s="83">
        <f>_xlfn.NORM.INV(RAND(),ASSUMPTIONS!$C$43,ASSUMPTIONS!$C$71)</f>
        <v/>
      </c>
      <c r="L176" s="84">
        <f>(((ASSUMPTIONS!$C$18*J176*(1-ASSUMPTIONS!$C$20)+ASSUMPTIONS!$C$18*ASSUMPTIONS!$C$21-ASSUMPTIONS!$C$18*ASSUMPTIONS!$C$22)*(1+H176)*(1-((1+H176)/(1+I176))^5)/(I176-H176))+((ASSUMPTIONS!$C$18*J176*(1-ASSUMPTIONS!$C$20)+ASSUMPTIONS!$C$18*ASSUMPTIONS!$C$21-ASSUMPTIONS!$C$18*ASSUMPTIONS!$C$22)*(1+H176)^5*(1+K176)/(I176-K176)/(1+I176)^5)-DCF!$C$12)/ASSUMPTIONS!$C$7</f>
        <v/>
      </c>
    </row>
    <row r="177">
      <c r="H177" s="83">
        <f>_xlfn.NORM.INV(RAND(),AVERAGE(ASSUMPTIONS!$C$38,ASSUMPTIONS!$C$39,ASSUMPTIONS!$C$40,ASSUMPTIONS!$C$41,ASSUMPTIONS!$C$42),ASSUMPTIONS!$C$68)</f>
        <v/>
      </c>
      <c r="I177" s="83">
        <f>MAX(_xlfn.NORM.INV(RAND(),DCF!$C$11,ASSUMPTIONS!$C$69),K177+0.005)</f>
        <v/>
      </c>
      <c r="J177" s="83">
        <f>_xlfn.NORM.INV(RAND(),ASSUMPTIONS!$C$19,ASSUMPTIONS!$C$70)</f>
        <v/>
      </c>
      <c r="K177" s="83">
        <f>_xlfn.NORM.INV(RAND(),ASSUMPTIONS!$C$43,ASSUMPTIONS!$C$71)</f>
        <v/>
      </c>
      <c r="L177" s="84">
        <f>(((ASSUMPTIONS!$C$18*J177*(1-ASSUMPTIONS!$C$20)+ASSUMPTIONS!$C$18*ASSUMPTIONS!$C$21-ASSUMPTIONS!$C$18*ASSUMPTIONS!$C$22)*(1+H177)*(1-((1+H177)/(1+I177))^5)/(I177-H177))+((ASSUMPTIONS!$C$18*J177*(1-ASSUMPTIONS!$C$20)+ASSUMPTIONS!$C$18*ASSUMPTIONS!$C$21-ASSUMPTIONS!$C$18*ASSUMPTIONS!$C$22)*(1+H177)^5*(1+K177)/(I177-K177)/(1+I177)^5)-DCF!$C$12)/ASSUMPTIONS!$C$7</f>
        <v/>
      </c>
    </row>
    <row r="178">
      <c r="H178" s="83">
        <f>_xlfn.NORM.INV(RAND(),AVERAGE(ASSUMPTIONS!$C$38,ASSUMPTIONS!$C$39,ASSUMPTIONS!$C$40,ASSUMPTIONS!$C$41,ASSUMPTIONS!$C$42),ASSUMPTIONS!$C$68)</f>
        <v/>
      </c>
      <c r="I178" s="83">
        <f>MAX(_xlfn.NORM.INV(RAND(),DCF!$C$11,ASSUMPTIONS!$C$69),K178+0.005)</f>
        <v/>
      </c>
      <c r="J178" s="83">
        <f>_xlfn.NORM.INV(RAND(),ASSUMPTIONS!$C$19,ASSUMPTIONS!$C$70)</f>
        <v/>
      </c>
      <c r="K178" s="83">
        <f>_xlfn.NORM.INV(RAND(),ASSUMPTIONS!$C$43,ASSUMPTIONS!$C$71)</f>
        <v/>
      </c>
      <c r="L178" s="84">
        <f>(((ASSUMPTIONS!$C$18*J178*(1-ASSUMPTIONS!$C$20)+ASSUMPTIONS!$C$18*ASSUMPTIONS!$C$21-ASSUMPTIONS!$C$18*ASSUMPTIONS!$C$22)*(1+H178)*(1-((1+H178)/(1+I178))^5)/(I178-H178))+((ASSUMPTIONS!$C$18*J178*(1-ASSUMPTIONS!$C$20)+ASSUMPTIONS!$C$18*ASSUMPTIONS!$C$21-ASSUMPTIONS!$C$18*ASSUMPTIONS!$C$22)*(1+H178)^5*(1+K178)/(I178-K178)/(1+I178)^5)-DCF!$C$12)/ASSUMPTIONS!$C$7</f>
        <v/>
      </c>
    </row>
    <row r="179">
      <c r="H179" s="83">
        <f>_xlfn.NORM.INV(RAND(),AVERAGE(ASSUMPTIONS!$C$38,ASSUMPTIONS!$C$39,ASSUMPTIONS!$C$40,ASSUMPTIONS!$C$41,ASSUMPTIONS!$C$42),ASSUMPTIONS!$C$68)</f>
        <v/>
      </c>
      <c r="I179" s="83">
        <f>MAX(_xlfn.NORM.INV(RAND(),DCF!$C$11,ASSUMPTIONS!$C$69),K179+0.005)</f>
        <v/>
      </c>
      <c r="J179" s="83">
        <f>_xlfn.NORM.INV(RAND(),ASSUMPTIONS!$C$19,ASSUMPTIONS!$C$70)</f>
        <v/>
      </c>
      <c r="K179" s="83">
        <f>_xlfn.NORM.INV(RAND(),ASSUMPTIONS!$C$43,ASSUMPTIONS!$C$71)</f>
        <v/>
      </c>
      <c r="L179" s="84">
        <f>(((ASSUMPTIONS!$C$18*J179*(1-ASSUMPTIONS!$C$20)+ASSUMPTIONS!$C$18*ASSUMPTIONS!$C$21-ASSUMPTIONS!$C$18*ASSUMPTIONS!$C$22)*(1+H179)*(1-((1+H179)/(1+I179))^5)/(I179-H179))+((ASSUMPTIONS!$C$18*J179*(1-ASSUMPTIONS!$C$20)+ASSUMPTIONS!$C$18*ASSUMPTIONS!$C$21-ASSUMPTIONS!$C$18*ASSUMPTIONS!$C$22)*(1+H179)^5*(1+K179)/(I179-K179)/(1+I179)^5)-DCF!$C$12)/ASSUMPTIONS!$C$7</f>
        <v/>
      </c>
    </row>
    <row r="180">
      <c r="H180" s="83">
        <f>_xlfn.NORM.INV(RAND(),AVERAGE(ASSUMPTIONS!$C$38,ASSUMPTIONS!$C$39,ASSUMPTIONS!$C$40,ASSUMPTIONS!$C$41,ASSUMPTIONS!$C$42),ASSUMPTIONS!$C$68)</f>
        <v/>
      </c>
      <c r="I180" s="83">
        <f>MAX(_xlfn.NORM.INV(RAND(),DCF!$C$11,ASSUMPTIONS!$C$69),K180+0.005)</f>
        <v/>
      </c>
      <c r="J180" s="83">
        <f>_xlfn.NORM.INV(RAND(),ASSUMPTIONS!$C$19,ASSUMPTIONS!$C$70)</f>
        <v/>
      </c>
      <c r="K180" s="83">
        <f>_xlfn.NORM.INV(RAND(),ASSUMPTIONS!$C$43,ASSUMPTIONS!$C$71)</f>
        <v/>
      </c>
      <c r="L180" s="84">
        <f>(((ASSUMPTIONS!$C$18*J180*(1-ASSUMPTIONS!$C$20)+ASSUMPTIONS!$C$18*ASSUMPTIONS!$C$21-ASSUMPTIONS!$C$18*ASSUMPTIONS!$C$22)*(1+H180)*(1-((1+H180)/(1+I180))^5)/(I180-H180))+((ASSUMPTIONS!$C$18*J180*(1-ASSUMPTIONS!$C$20)+ASSUMPTIONS!$C$18*ASSUMPTIONS!$C$21-ASSUMPTIONS!$C$18*ASSUMPTIONS!$C$22)*(1+H180)^5*(1+K180)/(I180-K180)/(1+I180)^5)-DCF!$C$12)/ASSUMPTIONS!$C$7</f>
        <v/>
      </c>
    </row>
    <row r="181">
      <c r="H181" s="83">
        <f>_xlfn.NORM.INV(RAND(),AVERAGE(ASSUMPTIONS!$C$38,ASSUMPTIONS!$C$39,ASSUMPTIONS!$C$40,ASSUMPTIONS!$C$41,ASSUMPTIONS!$C$42),ASSUMPTIONS!$C$68)</f>
        <v/>
      </c>
      <c r="I181" s="83">
        <f>MAX(_xlfn.NORM.INV(RAND(),DCF!$C$11,ASSUMPTIONS!$C$69),K181+0.005)</f>
        <v/>
      </c>
      <c r="J181" s="83">
        <f>_xlfn.NORM.INV(RAND(),ASSUMPTIONS!$C$19,ASSUMPTIONS!$C$70)</f>
        <v/>
      </c>
      <c r="K181" s="83">
        <f>_xlfn.NORM.INV(RAND(),ASSUMPTIONS!$C$43,ASSUMPTIONS!$C$71)</f>
        <v/>
      </c>
      <c r="L181" s="84">
        <f>(((ASSUMPTIONS!$C$18*J181*(1-ASSUMPTIONS!$C$20)+ASSUMPTIONS!$C$18*ASSUMPTIONS!$C$21-ASSUMPTIONS!$C$18*ASSUMPTIONS!$C$22)*(1+H181)*(1-((1+H181)/(1+I181))^5)/(I181-H181))+((ASSUMPTIONS!$C$18*J181*(1-ASSUMPTIONS!$C$20)+ASSUMPTIONS!$C$18*ASSUMPTIONS!$C$21-ASSUMPTIONS!$C$18*ASSUMPTIONS!$C$22)*(1+H181)^5*(1+K181)/(I181-K181)/(1+I181)^5)-DCF!$C$12)/ASSUMPTIONS!$C$7</f>
        <v/>
      </c>
    </row>
    <row r="182">
      <c r="H182" s="83">
        <f>_xlfn.NORM.INV(RAND(),AVERAGE(ASSUMPTIONS!$C$38,ASSUMPTIONS!$C$39,ASSUMPTIONS!$C$40,ASSUMPTIONS!$C$41,ASSUMPTIONS!$C$42),ASSUMPTIONS!$C$68)</f>
        <v/>
      </c>
      <c r="I182" s="83">
        <f>MAX(_xlfn.NORM.INV(RAND(),DCF!$C$11,ASSUMPTIONS!$C$69),K182+0.005)</f>
        <v/>
      </c>
      <c r="J182" s="83">
        <f>_xlfn.NORM.INV(RAND(),ASSUMPTIONS!$C$19,ASSUMPTIONS!$C$70)</f>
        <v/>
      </c>
      <c r="K182" s="83">
        <f>_xlfn.NORM.INV(RAND(),ASSUMPTIONS!$C$43,ASSUMPTIONS!$C$71)</f>
        <v/>
      </c>
      <c r="L182" s="84">
        <f>(((ASSUMPTIONS!$C$18*J182*(1-ASSUMPTIONS!$C$20)+ASSUMPTIONS!$C$18*ASSUMPTIONS!$C$21-ASSUMPTIONS!$C$18*ASSUMPTIONS!$C$22)*(1+H182)*(1-((1+H182)/(1+I182))^5)/(I182-H182))+((ASSUMPTIONS!$C$18*J182*(1-ASSUMPTIONS!$C$20)+ASSUMPTIONS!$C$18*ASSUMPTIONS!$C$21-ASSUMPTIONS!$C$18*ASSUMPTIONS!$C$22)*(1+H182)^5*(1+K182)/(I182-K182)/(1+I182)^5)-DCF!$C$12)/ASSUMPTIONS!$C$7</f>
        <v/>
      </c>
    </row>
    <row r="183">
      <c r="H183" s="83">
        <f>_xlfn.NORM.INV(RAND(),AVERAGE(ASSUMPTIONS!$C$38,ASSUMPTIONS!$C$39,ASSUMPTIONS!$C$40,ASSUMPTIONS!$C$41,ASSUMPTIONS!$C$42),ASSUMPTIONS!$C$68)</f>
        <v/>
      </c>
      <c r="I183" s="83">
        <f>MAX(_xlfn.NORM.INV(RAND(),DCF!$C$11,ASSUMPTIONS!$C$69),K183+0.005)</f>
        <v/>
      </c>
      <c r="J183" s="83">
        <f>_xlfn.NORM.INV(RAND(),ASSUMPTIONS!$C$19,ASSUMPTIONS!$C$70)</f>
        <v/>
      </c>
      <c r="K183" s="83">
        <f>_xlfn.NORM.INV(RAND(),ASSUMPTIONS!$C$43,ASSUMPTIONS!$C$71)</f>
        <v/>
      </c>
      <c r="L183" s="84">
        <f>(((ASSUMPTIONS!$C$18*J183*(1-ASSUMPTIONS!$C$20)+ASSUMPTIONS!$C$18*ASSUMPTIONS!$C$21-ASSUMPTIONS!$C$18*ASSUMPTIONS!$C$22)*(1+H183)*(1-((1+H183)/(1+I183))^5)/(I183-H183))+((ASSUMPTIONS!$C$18*J183*(1-ASSUMPTIONS!$C$20)+ASSUMPTIONS!$C$18*ASSUMPTIONS!$C$21-ASSUMPTIONS!$C$18*ASSUMPTIONS!$C$22)*(1+H183)^5*(1+K183)/(I183-K183)/(1+I183)^5)-DCF!$C$12)/ASSUMPTIONS!$C$7</f>
        <v/>
      </c>
    </row>
    <row r="184">
      <c r="H184" s="83">
        <f>_xlfn.NORM.INV(RAND(),AVERAGE(ASSUMPTIONS!$C$38,ASSUMPTIONS!$C$39,ASSUMPTIONS!$C$40,ASSUMPTIONS!$C$41,ASSUMPTIONS!$C$42),ASSUMPTIONS!$C$68)</f>
        <v/>
      </c>
      <c r="I184" s="83">
        <f>MAX(_xlfn.NORM.INV(RAND(),DCF!$C$11,ASSUMPTIONS!$C$69),K184+0.005)</f>
        <v/>
      </c>
      <c r="J184" s="83">
        <f>_xlfn.NORM.INV(RAND(),ASSUMPTIONS!$C$19,ASSUMPTIONS!$C$70)</f>
        <v/>
      </c>
      <c r="K184" s="83">
        <f>_xlfn.NORM.INV(RAND(),ASSUMPTIONS!$C$43,ASSUMPTIONS!$C$71)</f>
        <v/>
      </c>
      <c r="L184" s="84">
        <f>(((ASSUMPTIONS!$C$18*J184*(1-ASSUMPTIONS!$C$20)+ASSUMPTIONS!$C$18*ASSUMPTIONS!$C$21-ASSUMPTIONS!$C$18*ASSUMPTIONS!$C$22)*(1+H184)*(1-((1+H184)/(1+I184))^5)/(I184-H184))+((ASSUMPTIONS!$C$18*J184*(1-ASSUMPTIONS!$C$20)+ASSUMPTIONS!$C$18*ASSUMPTIONS!$C$21-ASSUMPTIONS!$C$18*ASSUMPTIONS!$C$22)*(1+H184)^5*(1+K184)/(I184-K184)/(1+I184)^5)-DCF!$C$12)/ASSUMPTIONS!$C$7</f>
        <v/>
      </c>
    </row>
    <row r="185">
      <c r="H185" s="83">
        <f>_xlfn.NORM.INV(RAND(),AVERAGE(ASSUMPTIONS!$C$38,ASSUMPTIONS!$C$39,ASSUMPTIONS!$C$40,ASSUMPTIONS!$C$41,ASSUMPTIONS!$C$42),ASSUMPTIONS!$C$68)</f>
        <v/>
      </c>
      <c r="I185" s="83">
        <f>MAX(_xlfn.NORM.INV(RAND(),DCF!$C$11,ASSUMPTIONS!$C$69),K185+0.005)</f>
        <v/>
      </c>
      <c r="J185" s="83">
        <f>_xlfn.NORM.INV(RAND(),ASSUMPTIONS!$C$19,ASSUMPTIONS!$C$70)</f>
        <v/>
      </c>
      <c r="K185" s="83">
        <f>_xlfn.NORM.INV(RAND(),ASSUMPTIONS!$C$43,ASSUMPTIONS!$C$71)</f>
        <v/>
      </c>
      <c r="L185" s="84">
        <f>(((ASSUMPTIONS!$C$18*J185*(1-ASSUMPTIONS!$C$20)+ASSUMPTIONS!$C$18*ASSUMPTIONS!$C$21-ASSUMPTIONS!$C$18*ASSUMPTIONS!$C$22)*(1+H185)*(1-((1+H185)/(1+I185))^5)/(I185-H185))+((ASSUMPTIONS!$C$18*J185*(1-ASSUMPTIONS!$C$20)+ASSUMPTIONS!$C$18*ASSUMPTIONS!$C$21-ASSUMPTIONS!$C$18*ASSUMPTIONS!$C$22)*(1+H185)^5*(1+K185)/(I185-K185)/(1+I185)^5)-DCF!$C$12)/ASSUMPTIONS!$C$7</f>
        <v/>
      </c>
    </row>
    <row r="186">
      <c r="H186" s="83">
        <f>_xlfn.NORM.INV(RAND(),AVERAGE(ASSUMPTIONS!$C$38,ASSUMPTIONS!$C$39,ASSUMPTIONS!$C$40,ASSUMPTIONS!$C$41,ASSUMPTIONS!$C$42),ASSUMPTIONS!$C$68)</f>
        <v/>
      </c>
      <c r="I186" s="83">
        <f>MAX(_xlfn.NORM.INV(RAND(),DCF!$C$11,ASSUMPTIONS!$C$69),K186+0.005)</f>
        <v/>
      </c>
      <c r="J186" s="83">
        <f>_xlfn.NORM.INV(RAND(),ASSUMPTIONS!$C$19,ASSUMPTIONS!$C$70)</f>
        <v/>
      </c>
      <c r="K186" s="83">
        <f>_xlfn.NORM.INV(RAND(),ASSUMPTIONS!$C$43,ASSUMPTIONS!$C$71)</f>
        <v/>
      </c>
      <c r="L186" s="84">
        <f>(((ASSUMPTIONS!$C$18*J186*(1-ASSUMPTIONS!$C$20)+ASSUMPTIONS!$C$18*ASSUMPTIONS!$C$21-ASSUMPTIONS!$C$18*ASSUMPTIONS!$C$22)*(1+H186)*(1-((1+H186)/(1+I186))^5)/(I186-H186))+((ASSUMPTIONS!$C$18*J186*(1-ASSUMPTIONS!$C$20)+ASSUMPTIONS!$C$18*ASSUMPTIONS!$C$21-ASSUMPTIONS!$C$18*ASSUMPTIONS!$C$22)*(1+H186)^5*(1+K186)/(I186-K186)/(1+I186)^5)-DCF!$C$12)/ASSUMPTIONS!$C$7</f>
        <v/>
      </c>
    </row>
    <row r="187">
      <c r="H187" s="83">
        <f>_xlfn.NORM.INV(RAND(),AVERAGE(ASSUMPTIONS!$C$38,ASSUMPTIONS!$C$39,ASSUMPTIONS!$C$40,ASSUMPTIONS!$C$41,ASSUMPTIONS!$C$42),ASSUMPTIONS!$C$68)</f>
        <v/>
      </c>
      <c r="I187" s="83">
        <f>MAX(_xlfn.NORM.INV(RAND(),DCF!$C$11,ASSUMPTIONS!$C$69),K187+0.005)</f>
        <v/>
      </c>
      <c r="J187" s="83">
        <f>_xlfn.NORM.INV(RAND(),ASSUMPTIONS!$C$19,ASSUMPTIONS!$C$70)</f>
        <v/>
      </c>
      <c r="K187" s="83">
        <f>_xlfn.NORM.INV(RAND(),ASSUMPTIONS!$C$43,ASSUMPTIONS!$C$71)</f>
        <v/>
      </c>
      <c r="L187" s="84">
        <f>(((ASSUMPTIONS!$C$18*J187*(1-ASSUMPTIONS!$C$20)+ASSUMPTIONS!$C$18*ASSUMPTIONS!$C$21-ASSUMPTIONS!$C$18*ASSUMPTIONS!$C$22)*(1+H187)*(1-((1+H187)/(1+I187))^5)/(I187-H187))+((ASSUMPTIONS!$C$18*J187*(1-ASSUMPTIONS!$C$20)+ASSUMPTIONS!$C$18*ASSUMPTIONS!$C$21-ASSUMPTIONS!$C$18*ASSUMPTIONS!$C$22)*(1+H187)^5*(1+K187)/(I187-K187)/(1+I187)^5)-DCF!$C$12)/ASSUMPTIONS!$C$7</f>
        <v/>
      </c>
    </row>
    <row r="188">
      <c r="H188" s="83">
        <f>_xlfn.NORM.INV(RAND(),AVERAGE(ASSUMPTIONS!$C$38,ASSUMPTIONS!$C$39,ASSUMPTIONS!$C$40,ASSUMPTIONS!$C$41,ASSUMPTIONS!$C$42),ASSUMPTIONS!$C$68)</f>
        <v/>
      </c>
      <c r="I188" s="83">
        <f>MAX(_xlfn.NORM.INV(RAND(),DCF!$C$11,ASSUMPTIONS!$C$69),K188+0.005)</f>
        <v/>
      </c>
      <c r="J188" s="83">
        <f>_xlfn.NORM.INV(RAND(),ASSUMPTIONS!$C$19,ASSUMPTIONS!$C$70)</f>
        <v/>
      </c>
      <c r="K188" s="83">
        <f>_xlfn.NORM.INV(RAND(),ASSUMPTIONS!$C$43,ASSUMPTIONS!$C$71)</f>
        <v/>
      </c>
      <c r="L188" s="84">
        <f>(((ASSUMPTIONS!$C$18*J188*(1-ASSUMPTIONS!$C$20)+ASSUMPTIONS!$C$18*ASSUMPTIONS!$C$21-ASSUMPTIONS!$C$18*ASSUMPTIONS!$C$22)*(1+H188)*(1-((1+H188)/(1+I188))^5)/(I188-H188))+((ASSUMPTIONS!$C$18*J188*(1-ASSUMPTIONS!$C$20)+ASSUMPTIONS!$C$18*ASSUMPTIONS!$C$21-ASSUMPTIONS!$C$18*ASSUMPTIONS!$C$22)*(1+H188)^5*(1+K188)/(I188-K188)/(1+I188)^5)-DCF!$C$12)/ASSUMPTIONS!$C$7</f>
        <v/>
      </c>
    </row>
    <row r="189">
      <c r="H189" s="83">
        <f>_xlfn.NORM.INV(RAND(),AVERAGE(ASSUMPTIONS!$C$38,ASSUMPTIONS!$C$39,ASSUMPTIONS!$C$40,ASSUMPTIONS!$C$41,ASSUMPTIONS!$C$42),ASSUMPTIONS!$C$68)</f>
        <v/>
      </c>
      <c r="I189" s="83">
        <f>MAX(_xlfn.NORM.INV(RAND(),DCF!$C$11,ASSUMPTIONS!$C$69),K189+0.005)</f>
        <v/>
      </c>
      <c r="J189" s="83">
        <f>_xlfn.NORM.INV(RAND(),ASSUMPTIONS!$C$19,ASSUMPTIONS!$C$70)</f>
        <v/>
      </c>
      <c r="K189" s="83">
        <f>_xlfn.NORM.INV(RAND(),ASSUMPTIONS!$C$43,ASSUMPTIONS!$C$71)</f>
        <v/>
      </c>
      <c r="L189" s="84">
        <f>(((ASSUMPTIONS!$C$18*J189*(1-ASSUMPTIONS!$C$20)+ASSUMPTIONS!$C$18*ASSUMPTIONS!$C$21-ASSUMPTIONS!$C$18*ASSUMPTIONS!$C$22)*(1+H189)*(1-((1+H189)/(1+I189))^5)/(I189-H189))+((ASSUMPTIONS!$C$18*J189*(1-ASSUMPTIONS!$C$20)+ASSUMPTIONS!$C$18*ASSUMPTIONS!$C$21-ASSUMPTIONS!$C$18*ASSUMPTIONS!$C$22)*(1+H189)^5*(1+K189)/(I189-K189)/(1+I189)^5)-DCF!$C$12)/ASSUMPTIONS!$C$7</f>
        <v/>
      </c>
    </row>
    <row r="190">
      <c r="H190" s="83">
        <f>_xlfn.NORM.INV(RAND(),AVERAGE(ASSUMPTIONS!$C$38,ASSUMPTIONS!$C$39,ASSUMPTIONS!$C$40,ASSUMPTIONS!$C$41,ASSUMPTIONS!$C$42),ASSUMPTIONS!$C$68)</f>
        <v/>
      </c>
      <c r="I190" s="83">
        <f>MAX(_xlfn.NORM.INV(RAND(),DCF!$C$11,ASSUMPTIONS!$C$69),K190+0.005)</f>
        <v/>
      </c>
      <c r="J190" s="83">
        <f>_xlfn.NORM.INV(RAND(),ASSUMPTIONS!$C$19,ASSUMPTIONS!$C$70)</f>
        <v/>
      </c>
      <c r="K190" s="83">
        <f>_xlfn.NORM.INV(RAND(),ASSUMPTIONS!$C$43,ASSUMPTIONS!$C$71)</f>
        <v/>
      </c>
      <c r="L190" s="84">
        <f>(((ASSUMPTIONS!$C$18*J190*(1-ASSUMPTIONS!$C$20)+ASSUMPTIONS!$C$18*ASSUMPTIONS!$C$21-ASSUMPTIONS!$C$18*ASSUMPTIONS!$C$22)*(1+H190)*(1-((1+H190)/(1+I190))^5)/(I190-H190))+((ASSUMPTIONS!$C$18*J190*(1-ASSUMPTIONS!$C$20)+ASSUMPTIONS!$C$18*ASSUMPTIONS!$C$21-ASSUMPTIONS!$C$18*ASSUMPTIONS!$C$22)*(1+H190)^5*(1+K190)/(I190-K190)/(1+I190)^5)-DCF!$C$12)/ASSUMPTIONS!$C$7</f>
        <v/>
      </c>
    </row>
    <row r="191">
      <c r="H191" s="83">
        <f>_xlfn.NORM.INV(RAND(),AVERAGE(ASSUMPTIONS!$C$38,ASSUMPTIONS!$C$39,ASSUMPTIONS!$C$40,ASSUMPTIONS!$C$41,ASSUMPTIONS!$C$42),ASSUMPTIONS!$C$68)</f>
        <v/>
      </c>
      <c r="I191" s="83">
        <f>MAX(_xlfn.NORM.INV(RAND(),DCF!$C$11,ASSUMPTIONS!$C$69),K191+0.005)</f>
        <v/>
      </c>
      <c r="J191" s="83">
        <f>_xlfn.NORM.INV(RAND(),ASSUMPTIONS!$C$19,ASSUMPTIONS!$C$70)</f>
        <v/>
      </c>
      <c r="K191" s="83">
        <f>_xlfn.NORM.INV(RAND(),ASSUMPTIONS!$C$43,ASSUMPTIONS!$C$71)</f>
        <v/>
      </c>
      <c r="L191" s="84">
        <f>(((ASSUMPTIONS!$C$18*J191*(1-ASSUMPTIONS!$C$20)+ASSUMPTIONS!$C$18*ASSUMPTIONS!$C$21-ASSUMPTIONS!$C$18*ASSUMPTIONS!$C$22)*(1+H191)*(1-((1+H191)/(1+I191))^5)/(I191-H191))+((ASSUMPTIONS!$C$18*J191*(1-ASSUMPTIONS!$C$20)+ASSUMPTIONS!$C$18*ASSUMPTIONS!$C$21-ASSUMPTIONS!$C$18*ASSUMPTIONS!$C$22)*(1+H191)^5*(1+K191)/(I191-K191)/(1+I191)^5)-DCF!$C$12)/ASSUMPTIONS!$C$7</f>
        <v/>
      </c>
    </row>
    <row r="192">
      <c r="H192" s="83">
        <f>_xlfn.NORM.INV(RAND(),AVERAGE(ASSUMPTIONS!$C$38,ASSUMPTIONS!$C$39,ASSUMPTIONS!$C$40,ASSUMPTIONS!$C$41,ASSUMPTIONS!$C$42),ASSUMPTIONS!$C$68)</f>
        <v/>
      </c>
      <c r="I192" s="83">
        <f>MAX(_xlfn.NORM.INV(RAND(),DCF!$C$11,ASSUMPTIONS!$C$69),K192+0.005)</f>
        <v/>
      </c>
      <c r="J192" s="83">
        <f>_xlfn.NORM.INV(RAND(),ASSUMPTIONS!$C$19,ASSUMPTIONS!$C$70)</f>
        <v/>
      </c>
      <c r="K192" s="83">
        <f>_xlfn.NORM.INV(RAND(),ASSUMPTIONS!$C$43,ASSUMPTIONS!$C$71)</f>
        <v/>
      </c>
      <c r="L192" s="84">
        <f>(((ASSUMPTIONS!$C$18*J192*(1-ASSUMPTIONS!$C$20)+ASSUMPTIONS!$C$18*ASSUMPTIONS!$C$21-ASSUMPTIONS!$C$18*ASSUMPTIONS!$C$22)*(1+H192)*(1-((1+H192)/(1+I192))^5)/(I192-H192))+((ASSUMPTIONS!$C$18*J192*(1-ASSUMPTIONS!$C$20)+ASSUMPTIONS!$C$18*ASSUMPTIONS!$C$21-ASSUMPTIONS!$C$18*ASSUMPTIONS!$C$22)*(1+H192)^5*(1+K192)/(I192-K192)/(1+I192)^5)-DCF!$C$12)/ASSUMPTIONS!$C$7</f>
        <v/>
      </c>
    </row>
    <row r="193">
      <c r="H193" s="83">
        <f>_xlfn.NORM.INV(RAND(),AVERAGE(ASSUMPTIONS!$C$38,ASSUMPTIONS!$C$39,ASSUMPTIONS!$C$40,ASSUMPTIONS!$C$41,ASSUMPTIONS!$C$42),ASSUMPTIONS!$C$68)</f>
        <v/>
      </c>
      <c r="I193" s="83">
        <f>MAX(_xlfn.NORM.INV(RAND(),DCF!$C$11,ASSUMPTIONS!$C$69),K193+0.005)</f>
        <v/>
      </c>
      <c r="J193" s="83">
        <f>_xlfn.NORM.INV(RAND(),ASSUMPTIONS!$C$19,ASSUMPTIONS!$C$70)</f>
        <v/>
      </c>
      <c r="K193" s="83">
        <f>_xlfn.NORM.INV(RAND(),ASSUMPTIONS!$C$43,ASSUMPTIONS!$C$71)</f>
        <v/>
      </c>
      <c r="L193" s="84">
        <f>(((ASSUMPTIONS!$C$18*J193*(1-ASSUMPTIONS!$C$20)+ASSUMPTIONS!$C$18*ASSUMPTIONS!$C$21-ASSUMPTIONS!$C$18*ASSUMPTIONS!$C$22)*(1+H193)*(1-((1+H193)/(1+I193))^5)/(I193-H193))+((ASSUMPTIONS!$C$18*J193*(1-ASSUMPTIONS!$C$20)+ASSUMPTIONS!$C$18*ASSUMPTIONS!$C$21-ASSUMPTIONS!$C$18*ASSUMPTIONS!$C$22)*(1+H193)^5*(1+K193)/(I193-K193)/(1+I193)^5)-DCF!$C$12)/ASSUMPTIONS!$C$7</f>
        <v/>
      </c>
    </row>
    <row r="194">
      <c r="H194" s="83">
        <f>_xlfn.NORM.INV(RAND(),AVERAGE(ASSUMPTIONS!$C$38,ASSUMPTIONS!$C$39,ASSUMPTIONS!$C$40,ASSUMPTIONS!$C$41,ASSUMPTIONS!$C$42),ASSUMPTIONS!$C$68)</f>
        <v/>
      </c>
      <c r="I194" s="83">
        <f>MAX(_xlfn.NORM.INV(RAND(),DCF!$C$11,ASSUMPTIONS!$C$69),K194+0.005)</f>
        <v/>
      </c>
      <c r="J194" s="83">
        <f>_xlfn.NORM.INV(RAND(),ASSUMPTIONS!$C$19,ASSUMPTIONS!$C$70)</f>
        <v/>
      </c>
      <c r="K194" s="83">
        <f>_xlfn.NORM.INV(RAND(),ASSUMPTIONS!$C$43,ASSUMPTIONS!$C$71)</f>
        <v/>
      </c>
      <c r="L194" s="84">
        <f>(((ASSUMPTIONS!$C$18*J194*(1-ASSUMPTIONS!$C$20)+ASSUMPTIONS!$C$18*ASSUMPTIONS!$C$21-ASSUMPTIONS!$C$18*ASSUMPTIONS!$C$22)*(1+H194)*(1-((1+H194)/(1+I194))^5)/(I194-H194))+((ASSUMPTIONS!$C$18*J194*(1-ASSUMPTIONS!$C$20)+ASSUMPTIONS!$C$18*ASSUMPTIONS!$C$21-ASSUMPTIONS!$C$18*ASSUMPTIONS!$C$22)*(1+H194)^5*(1+K194)/(I194-K194)/(1+I194)^5)-DCF!$C$12)/ASSUMPTIONS!$C$7</f>
        <v/>
      </c>
    </row>
    <row r="195">
      <c r="H195" s="83">
        <f>_xlfn.NORM.INV(RAND(),AVERAGE(ASSUMPTIONS!$C$38,ASSUMPTIONS!$C$39,ASSUMPTIONS!$C$40,ASSUMPTIONS!$C$41,ASSUMPTIONS!$C$42),ASSUMPTIONS!$C$68)</f>
        <v/>
      </c>
      <c r="I195" s="83">
        <f>MAX(_xlfn.NORM.INV(RAND(),DCF!$C$11,ASSUMPTIONS!$C$69),K195+0.005)</f>
        <v/>
      </c>
      <c r="J195" s="83">
        <f>_xlfn.NORM.INV(RAND(),ASSUMPTIONS!$C$19,ASSUMPTIONS!$C$70)</f>
        <v/>
      </c>
      <c r="K195" s="83">
        <f>_xlfn.NORM.INV(RAND(),ASSUMPTIONS!$C$43,ASSUMPTIONS!$C$71)</f>
        <v/>
      </c>
      <c r="L195" s="84">
        <f>(((ASSUMPTIONS!$C$18*J195*(1-ASSUMPTIONS!$C$20)+ASSUMPTIONS!$C$18*ASSUMPTIONS!$C$21-ASSUMPTIONS!$C$18*ASSUMPTIONS!$C$22)*(1+H195)*(1-((1+H195)/(1+I195))^5)/(I195-H195))+((ASSUMPTIONS!$C$18*J195*(1-ASSUMPTIONS!$C$20)+ASSUMPTIONS!$C$18*ASSUMPTIONS!$C$21-ASSUMPTIONS!$C$18*ASSUMPTIONS!$C$22)*(1+H195)^5*(1+K195)/(I195-K195)/(1+I195)^5)-DCF!$C$12)/ASSUMPTIONS!$C$7</f>
        <v/>
      </c>
    </row>
    <row r="196">
      <c r="H196" s="83">
        <f>_xlfn.NORM.INV(RAND(),AVERAGE(ASSUMPTIONS!$C$38,ASSUMPTIONS!$C$39,ASSUMPTIONS!$C$40,ASSUMPTIONS!$C$41,ASSUMPTIONS!$C$42),ASSUMPTIONS!$C$68)</f>
        <v/>
      </c>
      <c r="I196" s="83">
        <f>MAX(_xlfn.NORM.INV(RAND(),DCF!$C$11,ASSUMPTIONS!$C$69),K196+0.005)</f>
        <v/>
      </c>
      <c r="J196" s="83">
        <f>_xlfn.NORM.INV(RAND(),ASSUMPTIONS!$C$19,ASSUMPTIONS!$C$70)</f>
        <v/>
      </c>
      <c r="K196" s="83">
        <f>_xlfn.NORM.INV(RAND(),ASSUMPTIONS!$C$43,ASSUMPTIONS!$C$71)</f>
        <v/>
      </c>
      <c r="L196" s="84">
        <f>(((ASSUMPTIONS!$C$18*J196*(1-ASSUMPTIONS!$C$20)+ASSUMPTIONS!$C$18*ASSUMPTIONS!$C$21-ASSUMPTIONS!$C$18*ASSUMPTIONS!$C$22)*(1+H196)*(1-((1+H196)/(1+I196))^5)/(I196-H196))+((ASSUMPTIONS!$C$18*J196*(1-ASSUMPTIONS!$C$20)+ASSUMPTIONS!$C$18*ASSUMPTIONS!$C$21-ASSUMPTIONS!$C$18*ASSUMPTIONS!$C$22)*(1+H196)^5*(1+K196)/(I196-K196)/(1+I196)^5)-DCF!$C$12)/ASSUMPTIONS!$C$7</f>
        <v/>
      </c>
    </row>
    <row r="197">
      <c r="H197" s="83">
        <f>_xlfn.NORM.INV(RAND(),AVERAGE(ASSUMPTIONS!$C$38,ASSUMPTIONS!$C$39,ASSUMPTIONS!$C$40,ASSUMPTIONS!$C$41,ASSUMPTIONS!$C$42),ASSUMPTIONS!$C$68)</f>
        <v/>
      </c>
      <c r="I197" s="83">
        <f>MAX(_xlfn.NORM.INV(RAND(),DCF!$C$11,ASSUMPTIONS!$C$69),K197+0.005)</f>
        <v/>
      </c>
      <c r="J197" s="83">
        <f>_xlfn.NORM.INV(RAND(),ASSUMPTIONS!$C$19,ASSUMPTIONS!$C$70)</f>
        <v/>
      </c>
      <c r="K197" s="83">
        <f>_xlfn.NORM.INV(RAND(),ASSUMPTIONS!$C$43,ASSUMPTIONS!$C$71)</f>
        <v/>
      </c>
      <c r="L197" s="84">
        <f>(((ASSUMPTIONS!$C$18*J197*(1-ASSUMPTIONS!$C$20)+ASSUMPTIONS!$C$18*ASSUMPTIONS!$C$21-ASSUMPTIONS!$C$18*ASSUMPTIONS!$C$22)*(1+H197)*(1-((1+H197)/(1+I197))^5)/(I197-H197))+((ASSUMPTIONS!$C$18*J197*(1-ASSUMPTIONS!$C$20)+ASSUMPTIONS!$C$18*ASSUMPTIONS!$C$21-ASSUMPTIONS!$C$18*ASSUMPTIONS!$C$22)*(1+H197)^5*(1+K197)/(I197-K197)/(1+I197)^5)-DCF!$C$12)/ASSUMPTIONS!$C$7</f>
        <v/>
      </c>
    </row>
    <row r="198">
      <c r="H198" s="83">
        <f>_xlfn.NORM.INV(RAND(),AVERAGE(ASSUMPTIONS!$C$38,ASSUMPTIONS!$C$39,ASSUMPTIONS!$C$40,ASSUMPTIONS!$C$41,ASSUMPTIONS!$C$42),ASSUMPTIONS!$C$68)</f>
        <v/>
      </c>
      <c r="I198" s="83">
        <f>MAX(_xlfn.NORM.INV(RAND(),DCF!$C$11,ASSUMPTIONS!$C$69),K198+0.005)</f>
        <v/>
      </c>
      <c r="J198" s="83">
        <f>_xlfn.NORM.INV(RAND(),ASSUMPTIONS!$C$19,ASSUMPTIONS!$C$70)</f>
        <v/>
      </c>
      <c r="K198" s="83">
        <f>_xlfn.NORM.INV(RAND(),ASSUMPTIONS!$C$43,ASSUMPTIONS!$C$71)</f>
        <v/>
      </c>
      <c r="L198" s="84">
        <f>(((ASSUMPTIONS!$C$18*J198*(1-ASSUMPTIONS!$C$20)+ASSUMPTIONS!$C$18*ASSUMPTIONS!$C$21-ASSUMPTIONS!$C$18*ASSUMPTIONS!$C$22)*(1+H198)*(1-((1+H198)/(1+I198))^5)/(I198-H198))+((ASSUMPTIONS!$C$18*J198*(1-ASSUMPTIONS!$C$20)+ASSUMPTIONS!$C$18*ASSUMPTIONS!$C$21-ASSUMPTIONS!$C$18*ASSUMPTIONS!$C$22)*(1+H198)^5*(1+K198)/(I198-K198)/(1+I198)^5)-DCF!$C$12)/ASSUMPTIONS!$C$7</f>
        <v/>
      </c>
    </row>
    <row r="199">
      <c r="H199" s="83">
        <f>_xlfn.NORM.INV(RAND(),AVERAGE(ASSUMPTIONS!$C$38,ASSUMPTIONS!$C$39,ASSUMPTIONS!$C$40,ASSUMPTIONS!$C$41,ASSUMPTIONS!$C$42),ASSUMPTIONS!$C$68)</f>
        <v/>
      </c>
      <c r="I199" s="83">
        <f>MAX(_xlfn.NORM.INV(RAND(),DCF!$C$11,ASSUMPTIONS!$C$69),K199+0.005)</f>
        <v/>
      </c>
      <c r="J199" s="83">
        <f>_xlfn.NORM.INV(RAND(),ASSUMPTIONS!$C$19,ASSUMPTIONS!$C$70)</f>
        <v/>
      </c>
      <c r="K199" s="83">
        <f>_xlfn.NORM.INV(RAND(),ASSUMPTIONS!$C$43,ASSUMPTIONS!$C$71)</f>
        <v/>
      </c>
      <c r="L199" s="84">
        <f>(((ASSUMPTIONS!$C$18*J199*(1-ASSUMPTIONS!$C$20)+ASSUMPTIONS!$C$18*ASSUMPTIONS!$C$21-ASSUMPTIONS!$C$18*ASSUMPTIONS!$C$22)*(1+H199)*(1-((1+H199)/(1+I199))^5)/(I199-H199))+((ASSUMPTIONS!$C$18*J199*(1-ASSUMPTIONS!$C$20)+ASSUMPTIONS!$C$18*ASSUMPTIONS!$C$21-ASSUMPTIONS!$C$18*ASSUMPTIONS!$C$22)*(1+H199)^5*(1+K199)/(I199-K199)/(1+I199)^5)-DCF!$C$12)/ASSUMPTIONS!$C$7</f>
        <v/>
      </c>
    </row>
    <row r="200">
      <c r="H200" s="83">
        <f>_xlfn.NORM.INV(RAND(),AVERAGE(ASSUMPTIONS!$C$38,ASSUMPTIONS!$C$39,ASSUMPTIONS!$C$40,ASSUMPTIONS!$C$41,ASSUMPTIONS!$C$42),ASSUMPTIONS!$C$68)</f>
        <v/>
      </c>
      <c r="I200" s="83">
        <f>MAX(_xlfn.NORM.INV(RAND(),DCF!$C$11,ASSUMPTIONS!$C$69),K200+0.005)</f>
        <v/>
      </c>
      <c r="J200" s="83">
        <f>_xlfn.NORM.INV(RAND(),ASSUMPTIONS!$C$19,ASSUMPTIONS!$C$70)</f>
        <v/>
      </c>
      <c r="K200" s="83">
        <f>_xlfn.NORM.INV(RAND(),ASSUMPTIONS!$C$43,ASSUMPTIONS!$C$71)</f>
        <v/>
      </c>
      <c r="L200" s="84">
        <f>(((ASSUMPTIONS!$C$18*J200*(1-ASSUMPTIONS!$C$20)+ASSUMPTIONS!$C$18*ASSUMPTIONS!$C$21-ASSUMPTIONS!$C$18*ASSUMPTIONS!$C$22)*(1+H200)*(1-((1+H200)/(1+I200))^5)/(I200-H200))+((ASSUMPTIONS!$C$18*J200*(1-ASSUMPTIONS!$C$20)+ASSUMPTIONS!$C$18*ASSUMPTIONS!$C$21-ASSUMPTIONS!$C$18*ASSUMPTIONS!$C$22)*(1+H200)^5*(1+K200)/(I200-K200)/(1+I200)^5)-DCF!$C$12)/ASSUMPTIONS!$C$7</f>
        <v/>
      </c>
    </row>
    <row r="201">
      <c r="H201" s="83">
        <f>_xlfn.NORM.INV(RAND(),AVERAGE(ASSUMPTIONS!$C$38,ASSUMPTIONS!$C$39,ASSUMPTIONS!$C$40,ASSUMPTIONS!$C$41,ASSUMPTIONS!$C$42),ASSUMPTIONS!$C$68)</f>
        <v/>
      </c>
      <c r="I201" s="83">
        <f>MAX(_xlfn.NORM.INV(RAND(),DCF!$C$11,ASSUMPTIONS!$C$69),K201+0.005)</f>
        <v/>
      </c>
      <c r="J201" s="83">
        <f>_xlfn.NORM.INV(RAND(),ASSUMPTIONS!$C$19,ASSUMPTIONS!$C$70)</f>
        <v/>
      </c>
      <c r="K201" s="83">
        <f>_xlfn.NORM.INV(RAND(),ASSUMPTIONS!$C$43,ASSUMPTIONS!$C$71)</f>
        <v/>
      </c>
      <c r="L201" s="84">
        <f>(((ASSUMPTIONS!$C$18*J201*(1-ASSUMPTIONS!$C$20)+ASSUMPTIONS!$C$18*ASSUMPTIONS!$C$21-ASSUMPTIONS!$C$18*ASSUMPTIONS!$C$22)*(1+H201)*(1-((1+H201)/(1+I201))^5)/(I201-H201))+((ASSUMPTIONS!$C$18*J201*(1-ASSUMPTIONS!$C$20)+ASSUMPTIONS!$C$18*ASSUMPTIONS!$C$21-ASSUMPTIONS!$C$18*ASSUMPTIONS!$C$22)*(1+H201)^5*(1+K201)/(I201-K201)/(1+I201)^5)-DCF!$C$12)/ASSUMPTIONS!$C$7</f>
        <v/>
      </c>
    </row>
    <row r="202">
      <c r="H202" s="83">
        <f>_xlfn.NORM.INV(RAND(),AVERAGE(ASSUMPTIONS!$C$38,ASSUMPTIONS!$C$39,ASSUMPTIONS!$C$40,ASSUMPTIONS!$C$41,ASSUMPTIONS!$C$42),ASSUMPTIONS!$C$68)</f>
        <v/>
      </c>
      <c r="I202" s="83">
        <f>MAX(_xlfn.NORM.INV(RAND(),DCF!$C$11,ASSUMPTIONS!$C$69),K202+0.005)</f>
        <v/>
      </c>
      <c r="J202" s="83">
        <f>_xlfn.NORM.INV(RAND(),ASSUMPTIONS!$C$19,ASSUMPTIONS!$C$70)</f>
        <v/>
      </c>
      <c r="K202" s="83">
        <f>_xlfn.NORM.INV(RAND(),ASSUMPTIONS!$C$43,ASSUMPTIONS!$C$71)</f>
        <v/>
      </c>
      <c r="L202" s="84">
        <f>(((ASSUMPTIONS!$C$18*J202*(1-ASSUMPTIONS!$C$20)+ASSUMPTIONS!$C$18*ASSUMPTIONS!$C$21-ASSUMPTIONS!$C$18*ASSUMPTIONS!$C$22)*(1+H202)*(1-((1+H202)/(1+I202))^5)/(I202-H202))+((ASSUMPTIONS!$C$18*J202*(1-ASSUMPTIONS!$C$20)+ASSUMPTIONS!$C$18*ASSUMPTIONS!$C$21-ASSUMPTIONS!$C$18*ASSUMPTIONS!$C$22)*(1+H202)^5*(1+K202)/(I202-K202)/(1+I202)^5)-DCF!$C$12)/ASSUMPTIONS!$C$7</f>
        <v/>
      </c>
    </row>
    <row r="203">
      <c r="H203" s="83">
        <f>_xlfn.NORM.INV(RAND(),AVERAGE(ASSUMPTIONS!$C$38,ASSUMPTIONS!$C$39,ASSUMPTIONS!$C$40,ASSUMPTIONS!$C$41,ASSUMPTIONS!$C$42),ASSUMPTIONS!$C$68)</f>
        <v/>
      </c>
      <c r="I203" s="83">
        <f>MAX(_xlfn.NORM.INV(RAND(),DCF!$C$11,ASSUMPTIONS!$C$69),K203+0.005)</f>
        <v/>
      </c>
      <c r="J203" s="83">
        <f>_xlfn.NORM.INV(RAND(),ASSUMPTIONS!$C$19,ASSUMPTIONS!$C$70)</f>
        <v/>
      </c>
      <c r="K203" s="83">
        <f>_xlfn.NORM.INV(RAND(),ASSUMPTIONS!$C$43,ASSUMPTIONS!$C$71)</f>
        <v/>
      </c>
      <c r="L203" s="84">
        <f>(((ASSUMPTIONS!$C$18*J203*(1-ASSUMPTIONS!$C$20)+ASSUMPTIONS!$C$18*ASSUMPTIONS!$C$21-ASSUMPTIONS!$C$18*ASSUMPTIONS!$C$22)*(1+H203)*(1-((1+H203)/(1+I203))^5)/(I203-H203))+((ASSUMPTIONS!$C$18*J203*(1-ASSUMPTIONS!$C$20)+ASSUMPTIONS!$C$18*ASSUMPTIONS!$C$21-ASSUMPTIONS!$C$18*ASSUMPTIONS!$C$22)*(1+H203)^5*(1+K203)/(I203-K203)/(1+I203)^5)-DCF!$C$12)/ASSUMPTIONS!$C$7</f>
        <v/>
      </c>
    </row>
    <row r="204">
      <c r="H204" s="83">
        <f>_xlfn.NORM.INV(RAND(),AVERAGE(ASSUMPTIONS!$C$38,ASSUMPTIONS!$C$39,ASSUMPTIONS!$C$40,ASSUMPTIONS!$C$41,ASSUMPTIONS!$C$42),ASSUMPTIONS!$C$68)</f>
        <v/>
      </c>
      <c r="I204" s="83">
        <f>MAX(_xlfn.NORM.INV(RAND(),DCF!$C$11,ASSUMPTIONS!$C$69),K204+0.005)</f>
        <v/>
      </c>
      <c r="J204" s="83">
        <f>_xlfn.NORM.INV(RAND(),ASSUMPTIONS!$C$19,ASSUMPTIONS!$C$70)</f>
        <v/>
      </c>
      <c r="K204" s="83">
        <f>_xlfn.NORM.INV(RAND(),ASSUMPTIONS!$C$43,ASSUMPTIONS!$C$71)</f>
        <v/>
      </c>
      <c r="L204" s="84">
        <f>(((ASSUMPTIONS!$C$18*J204*(1-ASSUMPTIONS!$C$20)+ASSUMPTIONS!$C$18*ASSUMPTIONS!$C$21-ASSUMPTIONS!$C$18*ASSUMPTIONS!$C$22)*(1+H204)*(1-((1+H204)/(1+I204))^5)/(I204-H204))+((ASSUMPTIONS!$C$18*J204*(1-ASSUMPTIONS!$C$20)+ASSUMPTIONS!$C$18*ASSUMPTIONS!$C$21-ASSUMPTIONS!$C$18*ASSUMPTIONS!$C$22)*(1+H204)^5*(1+K204)/(I204-K204)/(1+I204)^5)-DCF!$C$12)/ASSUMPTIONS!$C$7</f>
        <v/>
      </c>
    </row>
    <row r="205">
      <c r="H205" s="83">
        <f>_xlfn.NORM.INV(RAND(),AVERAGE(ASSUMPTIONS!$C$38,ASSUMPTIONS!$C$39,ASSUMPTIONS!$C$40,ASSUMPTIONS!$C$41,ASSUMPTIONS!$C$42),ASSUMPTIONS!$C$68)</f>
        <v/>
      </c>
      <c r="I205" s="83">
        <f>MAX(_xlfn.NORM.INV(RAND(),DCF!$C$11,ASSUMPTIONS!$C$69),K205+0.005)</f>
        <v/>
      </c>
      <c r="J205" s="83">
        <f>_xlfn.NORM.INV(RAND(),ASSUMPTIONS!$C$19,ASSUMPTIONS!$C$70)</f>
        <v/>
      </c>
      <c r="K205" s="83">
        <f>_xlfn.NORM.INV(RAND(),ASSUMPTIONS!$C$43,ASSUMPTIONS!$C$71)</f>
        <v/>
      </c>
      <c r="L205" s="84">
        <f>(((ASSUMPTIONS!$C$18*J205*(1-ASSUMPTIONS!$C$20)+ASSUMPTIONS!$C$18*ASSUMPTIONS!$C$21-ASSUMPTIONS!$C$18*ASSUMPTIONS!$C$22)*(1+H205)*(1-((1+H205)/(1+I205))^5)/(I205-H205))+((ASSUMPTIONS!$C$18*J205*(1-ASSUMPTIONS!$C$20)+ASSUMPTIONS!$C$18*ASSUMPTIONS!$C$21-ASSUMPTIONS!$C$18*ASSUMPTIONS!$C$22)*(1+H205)^5*(1+K205)/(I205-K205)/(1+I205)^5)-DCF!$C$12)/ASSUMPTIONS!$C$7</f>
        <v/>
      </c>
    </row>
    <row r="206">
      <c r="H206" s="83">
        <f>_xlfn.NORM.INV(RAND(),AVERAGE(ASSUMPTIONS!$C$38,ASSUMPTIONS!$C$39,ASSUMPTIONS!$C$40,ASSUMPTIONS!$C$41,ASSUMPTIONS!$C$42),ASSUMPTIONS!$C$68)</f>
        <v/>
      </c>
      <c r="I206" s="83">
        <f>MAX(_xlfn.NORM.INV(RAND(),DCF!$C$11,ASSUMPTIONS!$C$69),K206+0.005)</f>
        <v/>
      </c>
      <c r="J206" s="83">
        <f>_xlfn.NORM.INV(RAND(),ASSUMPTIONS!$C$19,ASSUMPTIONS!$C$70)</f>
        <v/>
      </c>
      <c r="K206" s="83">
        <f>_xlfn.NORM.INV(RAND(),ASSUMPTIONS!$C$43,ASSUMPTIONS!$C$71)</f>
        <v/>
      </c>
      <c r="L206" s="84">
        <f>(((ASSUMPTIONS!$C$18*J206*(1-ASSUMPTIONS!$C$20)+ASSUMPTIONS!$C$18*ASSUMPTIONS!$C$21-ASSUMPTIONS!$C$18*ASSUMPTIONS!$C$22)*(1+H206)*(1-((1+H206)/(1+I206))^5)/(I206-H206))+((ASSUMPTIONS!$C$18*J206*(1-ASSUMPTIONS!$C$20)+ASSUMPTIONS!$C$18*ASSUMPTIONS!$C$21-ASSUMPTIONS!$C$18*ASSUMPTIONS!$C$22)*(1+H206)^5*(1+K206)/(I206-K206)/(1+I206)^5)-DCF!$C$12)/ASSUMPTIONS!$C$7</f>
        <v/>
      </c>
    </row>
    <row r="207">
      <c r="H207" s="83">
        <f>_xlfn.NORM.INV(RAND(),AVERAGE(ASSUMPTIONS!$C$38,ASSUMPTIONS!$C$39,ASSUMPTIONS!$C$40,ASSUMPTIONS!$C$41,ASSUMPTIONS!$C$42),ASSUMPTIONS!$C$68)</f>
        <v/>
      </c>
      <c r="I207" s="83">
        <f>MAX(_xlfn.NORM.INV(RAND(),DCF!$C$11,ASSUMPTIONS!$C$69),K207+0.005)</f>
        <v/>
      </c>
      <c r="J207" s="83">
        <f>_xlfn.NORM.INV(RAND(),ASSUMPTIONS!$C$19,ASSUMPTIONS!$C$70)</f>
        <v/>
      </c>
      <c r="K207" s="83">
        <f>_xlfn.NORM.INV(RAND(),ASSUMPTIONS!$C$43,ASSUMPTIONS!$C$71)</f>
        <v/>
      </c>
      <c r="L207" s="84">
        <f>(((ASSUMPTIONS!$C$18*J207*(1-ASSUMPTIONS!$C$20)+ASSUMPTIONS!$C$18*ASSUMPTIONS!$C$21-ASSUMPTIONS!$C$18*ASSUMPTIONS!$C$22)*(1+H207)*(1-((1+H207)/(1+I207))^5)/(I207-H207))+((ASSUMPTIONS!$C$18*J207*(1-ASSUMPTIONS!$C$20)+ASSUMPTIONS!$C$18*ASSUMPTIONS!$C$21-ASSUMPTIONS!$C$18*ASSUMPTIONS!$C$22)*(1+H207)^5*(1+K207)/(I207-K207)/(1+I207)^5)-DCF!$C$12)/ASSUMPTIONS!$C$7</f>
        <v/>
      </c>
    </row>
    <row r="208">
      <c r="H208" s="83">
        <f>_xlfn.NORM.INV(RAND(),AVERAGE(ASSUMPTIONS!$C$38,ASSUMPTIONS!$C$39,ASSUMPTIONS!$C$40,ASSUMPTIONS!$C$41,ASSUMPTIONS!$C$42),ASSUMPTIONS!$C$68)</f>
        <v/>
      </c>
      <c r="I208" s="83">
        <f>MAX(_xlfn.NORM.INV(RAND(),DCF!$C$11,ASSUMPTIONS!$C$69),K208+0.005)</f>
        <v/>
      </c>
      <c r="J208" s="83">
        <f>_xlfn.NORM.INV(RAND(),ASSUMPTIONS!$C$19,ASSUMPTIONS!$C$70)</f>
        <v/>
      </c>
      <c r="K208" s="83">
        <f>_xlfn.NORM.INV(RAND(),ASSUMPTIONS!$C$43,ASSUMPTIONS!$C$71)</f>
        <v/>
      </c>
      <c r="L208" s="84">
        <f>(((ASSUMPTIONS!$C$18*J208*(1-ASSUMPTIONS!$C$20)+ASSUMPTIONS!$C$18*ASSUMPTIONS!$C$21-ASSUMPTIONS!$C$18*ASSUMPTIONS!$C$22)*(1+H208)*(1-((1+H208)/(1+I208))^5)/(I208-H208))+((ASSUMPTIONS!$C$18*J208*(1-ASSUMPTIONS!$C$20)+ASSUMPTIONS!$C$18*ASSUMPTIONS!$C$21-ASSUMPTIONS!$C$18*ASSUMPTIONS!$C$22)*(1+H208)^5*(1+K208)/(I208-K208)/(1+I208)^5)-DCF!$C$12)/ASSUMPTIONS!$C$7</f>
        <v/>
      </c>
    </row>
    <row r="209">
      <c r="H209" s="83">
        <f>_xlfn.NORM.INV(RAND(),AVERAGE(ASSUMPTIONS!$C$38,ASSUMPTIONS!$C$39,ASSUMPTIONS!$C$40,ASSUMPTIONS!$C$41,ASSUMPTIONS!$C$42),ASSUMPTIONS!$C$68)</f>
        <v/>
      </c>
      <c r="I209" s="83">
        <f>MAX(_xlfn.NORM.INV(RAND(),DCF!$C$11,ASSUMPTIONS!$C$69),K209+0.005)</f>
        <v/>
      </c>
      <c r="J209" s="83">
        <f>_xlfn.NORM.INV(RAND(),ASSUMPTIONS!$C$19,ASSUMPTIONS!$C$70)</f>
        <v/>
      </c>
      <c r="K209" s="83">
        <f>_xlfn.NORM.INV(RAND(),ASSUMPTIONS!$C$43,ASSUMPTIONS!$C$71)</f>
        <v/>
      </c>
      <c r="L209" s="84">
        <f>(((ASSUMPTIONS!$C$18*J209*(1-ASSUMPTIONS!$C$20)+ASSUMPTIONS!$C$18*ASSUMPTIONS!$C$21-ASSUMPTIONS!$C$18*ASSUMPTIONS!$C$22)*(1+H209)*(1-((1+H209)/(1+I209))^5)/(I209-H209))+((ASSUMPTIONS!$C$18*J209*(1-ASSUMPTIONS!$C$20)+ASSUMPTIONS!$C$18*ASSUMPTIONS!$C$21-ASSUMPTIONS!$C$18*ASSUMPTIONS!$C$22)*(1+H209)^5*(1+K209)/(I209-K209)/(1+I209)^5)-DCF!$C$12)/ASSUMPTIONS!$C$7</f>
        <v/>
      </c>
    </row>
    <row r="210">
      <c r="H210" s="83">
        <f>_xlfn.NORM.INV(RAND(),AVERAGE(ASSUMPTIONS!$C$38,ASSUMPTIONS!$C$39,ASSUMPTIONS!$C$40,ASSUMPTIONS!$C$41,ASSUMPTIONS!$C$42),ASSUMPTIONS!$C$68)</f>
        <v/>
      </c>
      <c r="I210" s="83">
        <f>MAX(_xlfn.NORM.INV(RAND(),DCF!$C$11,ASSUMPTIONS!$C$69),K210+0.005)</f>
        <v/>
      </c>
      <c r="J210" s="83">
        <f>_xlfn.NORM.INV(RAND(),ASSUMPTIONS!$C$19,ASSUMPTIONS!$C$70)</f>
        <v/>
      </c>
      <c r="K210" s="83">
        <f>_xlfn.NORM.INV(RAND(),ASSUMPTIONS!$C$43,ASSUMPTIONS!$C$71)</f>
        <v/>
      </c>
      <c r="L210" s="84">
        <f>(((ASSUMPTIONS!$C$18*J210*(1-ASSUMPTIONS!$C$20)+ASSUMPTIONS!$C$18*ASSUMPTIONS!$C$21-ASSUMPTIONS!$C$18*ASSUMPTIONS!$C$22)*(1+H210)*(1-((1+H210)/(1+I210))^5)/(I210-H210))+((ASSUMPTIONS!$C$18*J210*(1-ASSUMPTIONS!$C$20)+ASSUMPTIONS!$C$18*ASSUMPTIONS!$C$21-ASSUMPTIONS!$C$18*ASSUMPTIONS!$C$22)*(1+H210)^5*(1+K210)/(I210-K210)/(1+I210)^5)-DCF!$C$12)/ASSUMPTIONS!$C$7</f>
        <v/>
      </c>
    </row>
    <row r="211">
      <c r="H211" s="83">
        <f>_xlfn.NORM.INV(RAND(),AVERAGE(ASSUMPTIONS!$C$38,ASSUMPTIONS!$C$39,ASSUMPTIONS!$C$40,ASSUMPTIONS!$C$41,ASSUMPTIONS!$C$42),ASSUMPTIONS!$C$68)</f>
        <v/>
      </c>
      <c r="I211" s="83">
        <f>MAX(_xlfn.NORM.INV(RAND(),DCF!$C$11,ASSUMPTIONS!$C$69),K211+0.005)</f>
        <v/>
      </c>
      <c r="J211" s="83">
        <f>_xlfn.NORM.INV(RAND(),ASSUMPTIONS!$C$19,ASSUMPTIONS!$C$70)</f>
        <v/>
      </c>
      <c r="K211" s="83">
        <f>_xlfn.NORM.INV(RAND(),ASSUMPTIONS!$C$43,ASSUMPTIONS!$C$71)</f>
        <v/>
      </c>
      <c r="L211" s="84">
        <f>(((ASSUMPTIONS!$C$18*J211*(1-ASSUMPTIONS!$C$20)+ASSUMPTIONS!$C$18*ASSUMPTIONS!$C$21-ASSUMPTIONS!$C$18*ASSUMPTIONS!$C$22)*(1+H211)*(1-((1+H211)/(1+I211))^5)/(I211-H211))+((ASSUMPTIONS!$C$18*J211*(1-ASSUMPTIONS!$C$20)+ASSUMPTIONS!$C$18*ASSUMPTIONS!$C$21-ASSUMPTIONS!$C$18*ASSUMPTIONS!$C$22)*(1+H211)^5*(1+K211)/(I211-K211)/(1+I211)^5)-DCF!$C$12)/ASSUMPTIONS!$C$7</f>
        <v/>
      </c>
    </row>
    <row r="212">
      <c r="H212" s="83">
        <f>_xlfn.NORM.INV(RAND(),AVERAGE(ASSUMPTIONS!$C$38,ASSUMPTIONS!$C$39,ASSUMPTIONS!$C$40,ASSUMPTIONS!$C$41,ASSUMPTIONS!$C$42),ASSUMPTIONS!$C$68)</f>
        <v/>
      </c>
      <c r="I212" s="83">
        <f>MAX(_xlfn.NORM.INV(RAND(),DCF!$C$11,ASSUMPTIONS!$C$69),K212+0.005)</f>
        <v/>
      </c>
      <c r="J212" s="83">
        <f>_xlfn.NORM.INV(RAND(),ASSUMPTIONS!$C$19,ASSUMPTIONS!$C$70)</f>
        <v/>
      </c>
      <c r="K212" s="83">
        <f>_xlfn.NORM.INV(RAND(),ASSUMPTIONS!$C$43,ASSUMPTIONS!$C$71)</f>
        <v/>
      </c>
      <c r="L212" s="84">
        <f>(((ASSUMPTIONS!$C$18*J212*(1-ASSUMPTIONS!$C$20)+ASSUMPTIONS!$C$18*ASSUMPTIONS!$C$21-ASSUMPTIONS!$C$18*ASSUMPTIONS!$C$22)*(1+H212)*(1-((1+H212)/(1+I212))^5)/(I212-H212))+((ASSUMPTIONS!$C$18*J212*(1-ASSUMPTIONS!$C$20)+ASSUMPTIONS!$C$18*ASSUMPTIONS!$C$21-ASSUMPTIONS!$C$18*ASSUMPTIONS!$C$22)*(1+H212)^5*(1+K212)/(I212-K212)/(1+I212)^5)-DCF!$C$12)/ASSUMPTIONS!$C$7</f>
        <v/>
      </c>
    </row>
    <row r="213">
      <c r="H213" s="83">
        <f>_xlfn.NORM.INV(RAND(),AVERAGE(ASSUMPTIONS!$C$38,ASSUMPTIONS!$C$39,ASSUMPTIONS!$C$40,ASSUMPTIONS!$C$41,ASSUMPTIONS!$C$42),ASSUMPTIONS!$C$68)</f>
        <v/>
      </c>
      <c r="I213" s="83">
        <f>MAX(_xlfn.NORM.INV(RAND(),DCF!$C$11,ASSUMPTIONS!$C$69),K213+0.005)</f>
        <v/>
      </c>
      <c r="J213" s="83">
        <f>_xlfn.NORM.INV(RAND(),ASSUMPTIONS!$C$19,ASSUMPTIONS!$C$70)</f>
        <v/>
      </c>
      <c r="K213" s="83">
        <f>_xlfn.NORM.INV(RAND(),ASSUMPTIONS!$C$43,ASSUMPTIONS!$C$71)</f>
        <v/>
      </c>
      <c r="L213" s="84">
        <f>(((ASSUMPTIONS!$C$18*J213*(1-ASSUMPTIONS!$C$20)+ASSUMPTIONS!$C$18*ASSUMPTIONS!$C$21-ASSUMPTIONS!$C$18*ASSUMPTIONS!$C$22)*(1+H213)*(1-((1+H213)/(1+I213))^5)/(I213-H213))+((ASSUMPTIONS!$C$18*J213*(1-ASSUMPTIONS!$C$20)+ASSUMPTIONS!$C$18*ASSUMPTIONS!$C$21-ASSUMPTIONS!$C$18*ASSUMPTIONS!$C$22)*(1+H213)^5*(1+K213)/(I213-K213)/(1+I213)^5)-DCF!$C$12)/ASSUMPTIONS!$C$7</f>
        <v/>
      </c>
    </row>
    <row r="214">
      <c r="H214" s="83">
        <f>_xlfn.NORM.INV(RAND(),AVERAGE(ASSUMPTIONS!$C$38,ASSUMPTIONS!$C$39,ASSUMPTIONS!$C$40,ASSUMPTIONS!$C$41,ASSUMPTIONS!$C$42),ASSUMPTIONS!$C$68)</f>
        <v/>
      </c>
      <c r="I214" s="83">
        <f>MAX(_xlfn.NORM.INV(RAND(),DCF!$C$11,ASSUMPTIONS!$C$69),K214+0.005)</f>
        <v/>
      </c>
      <c r="J214" s="83">
        <f>_xlfn.NORM.INV(RAND(),ASSUMPTIONS!$C$19,ASSUMPTIONS!$C$70)</f>
        <v/>
      </c>
      <c r="K214" s="83">
        <f>_xlfn.NORM.INV(RAND(),ASSUMPTIONS!$C$43,ASSUMPTIONS!$C$71)</f>
        <v/>
      </c>
      <c r="L214" s="84">
        <f>(((ASSUMPTIONS!$C$18*J214*(1-ASSUMPTIONS!$C$20)+ASSUMPTIONS!$C$18*ASSUMPTIONS!$C$21-ASSUMPTIONS!$C$18*ASSUMPTIONS!$C$22)*(1+H214)*(1-((1+H214)/(1+I214))^5)/(I214-H214))+((ASSUMPTIONS!$C$18*J214*(1-ASSUMPTIONS!$C$20)+ASSUMPTIONS!$C$18*ASSUMPTIONS!$C$21-ASSUMPTIONS!$C$18*ASSUMPTIONS!$C$22)*(1+H214)^5*(1+K214)/(I214-K214)/(1+I214)^5)-DCF!$C$12)/ASSUMPTIONS!$C$7</f>
        <v/>
      </c>
    </row>
    <row r="215">
      <c r="H215" s="83">
        <f>_xlfn.NORM.INV(RAND(),AVERAGE(ASSUMPTIONS!$C$38,ASSUMPTIONS!$C$39,ASSUMPTIONS!$C$40,ASSUMPTIONS!$C$41,ASSUMPTIONS!$C$42),ASSUMPTIONS!$C$68)</f>
        <v/>
      </c>
      <c r="I215" s="83">
        <f>MAX(_xlfn.NORM.INV(RAND(),DCF!$C$11,ASSUMPTIONS!$C$69),K215+0.005)</f>
        <v/>
      </c>
      <c r="J215" s="83">
        <f>_xlfn.NORM.INV(RAND(),ASSUMPTIONS!$C$19,ASSUMPTIONS!$C$70)</f>
        <v/>
      </c>
      <c r="K215" s="83">
        <f>_xlfn.NORM.INV(RAND(),ASSUMPTIONS!$C$43,ASSUMPTIONS!$C$71)</f>
        <v/>
      </c>
      <c r="L215" s="84">
        <f>(((ASSUMPTIONS!$C$18*J215*(1-ASSUMPTIONS!$C$20)+ASSUMPTIONS!$C$18*ASSUMPTIONS!$C$21-ASSUMPTIONS!$C$18*ASSUMPTIONS!$C$22)*(1+H215)*(1-((1+H215)/(1+I215))^5)/(I215-H215))+((ASSUMPTIONS!$C$18*J215*(1-ASSUMPTIONS!$C$20)+ASSUMPTIONS!$C$18*ASSUMPTIONS!$C$21-ASSUMPTIONS!$C$18*ASSUMPTIONS!$C$22)*(1+H215)^5*(1+K215)/(I215-K215)/(1+I215)^5)-DCF!$C$12)/ASSUMPTIONS!$C$7</f>
        <v/>
      </c>
    </row>
    <row r="216">
      <c r="H216" s="83">
        <f>_xlfn.NORM.INV(RAND(),AVERAGE(ASSUMPTIONS!$C$38,ASSUMPTIONS!$C$39,ASSUMPTIONS!$C$40,ASSUMPTIONS!$C$41,ASSUMPTIONS!$C$42),ASSUMPTIONS!$C$68)</f>
        <v/>
      </c>
      <c r="I216" s="83">
        <f>MAX(_xlfn.NORM.INV(RAND(),DCF!$C$11,ASSUMPTIONS!$C$69),K216+0.005)</f>
        <v/>
      </c>
      <c r="J216" s="83">
        <f>_xlfn.NORM.INV(RAND(),ASSUMPTIONS!$C$19,ASSUMPTIONS!$C$70)</f>
        <v/>
      </c>
      <c r="K216" s="83">
        <f>_xlfn.NORM.INV(RAND(),ASSUMPTIONS!$C$43,ASSUMPTIONS!$C$71)</f>
        <v/>
      </c>
      <c r="L216" s="84">
        <f>(((ASSUMPTIONS!$C$18*J216*(1-ASSUMPTIONS!$C$20)+ASSUMPTIONS!$C$18*ASSUMPTIONS!$C$21-ASSUMPTIONS!$C$18*ASSUMPTIONS!$C$22)*(1+H216)*(1-((1+H216)/(1+I216))^5)/(I216-H216))+((ASSUMPTIONS!$C$18*J216*(1-ASSUMPTIONS!$C$20)+ASSUMPTIONS!$C$18*ASSUMPTIONS!$C$21-ASSUMPTIONS!$C$18*ASSUMPTIONS!$C$22)*(1+H216)^5*(1+K216)/(I216-K216)/(1+I216)^5)-DCF!$C$12)/ASSUMPTIONS!$C$7</f>
        <v/>
      </c>
    </row>
    <row r="217">
      <c r="H217" s="83">
        <f>_xlfn.NORM.INV(RAND(),AVERAGE(ASSUMPTIONS!$C$38,ASSUMPTIONS!$C$39,ASSUMPTIONS!$C$40,ASSUMPTIONS!$C$41,ASSUMPTIONS!$C$42),ASSUMPTIONS!$C$68)</f>
        <v/>
      </c>
      <c r="I217" s="83">
        <f>MAX(_xlfn.NORM.INV(RAND(),DCF!$C$11,ASSUMPTIONS!$C$69),K217+0.005)</f>
        <v/>
      </c>
      <c r="J217" s="83">
        <f>_xlfn.NORM.INV(RAND(),ASSUMPTIONS!$C$19,ASSUMPTIONS!$C$70)</f>
        <v/>
      </c>
      <c r="K217" s="83">
        <f>_xlfn.NORM.INV(RAND(),ASSUMPTIONS!$C$43,ASSUMPTIONS!$C$71)</f>
        <v/>
      </c>
      <c r="L217" s="84">
        <f>(((ASSUMPTIONS!$C$18*J217*(1-ASSUMPTIONS!$C$20)+ASSUMPTIONS!$C$18*ASSUMPTIONS!$C$21-ASSUMPTIONS!$C$18*ASSUMPTIONS!$C$22)*(1+H217)*(1-((1+H217)/(1+I217))^5)/(I217-H217))+((ASSUMPTIONS!$C$18*J217*(1-ASSUMPTIONS!$C$20)+ASSUMPTIONS!$C$18*ASSUMPTIONS!$C$21-ASSUMPTIONS!$C$18*ASSUMPTIONS!$C$22)*(1+H217)^5*(1+K217)/(I217-K217)/(1+I217)^5)-DCF!$C$12)/ASSUMPTIONS!$C$7</f>
        <v/>
      </c>
    </row>
    <row r="218">
      <c r="H218" s="83">
        <f>_xlfn.NORM.INV(RAND(),AVERAGE(ASSUMPTIONS!$C$38,ASSUMPTIONS!$C$39,ASSUMPTIONS!$C$40,ASSUMPTIONS!$C$41,ASSUMPTIONS!$C$42),ASSUMPTIONS!$C$68)</f>
        <v/>
      </c>
      <c r="I218" s="83">
        <f>MAX(_xlfn.NORM.INV(RAND(),DCF!$C$11,ASSUMPTIONS!$C$69),K218+0.005)</f>
        <v/>
      </c>
      <c r="J218" s="83">
        <f>_xlfn.NORM.INV(RAND(),ASSUMPTIONS!$C$19,ASSUMPTIONS!$C$70)</f>
        <v/>
      </c>
      <c r="K218" s="83">
        <f>_xlfn.NORM.INV(RAND(),ASSUMPTIONS!$C$43,ASSUMPTIONS!$C$71)</f>
        <v/>
      </c>
      <c r="L218" s="84">
        <f>(((ASSUMPTIONS!$C$18*J218*(1-ASSUMPTIONS!$C$20)+ASSUMPTIONS!$C$18*ASSUMPTIONS!$C$21-ASSUMPTIONS!$C$18*ASSUMPTIONS!$C$22)*(1+H218)*(1-((1+H218)/(1+I218))^5)/(I218-H218))+((ASSUMPTIONS!$C$18*J218*(1-ASSUMPTIONS!$C$20)+ASSUMPTIONS!$C$18*ASSUMPTIONS!$C$21-ASSUMPTIONS!$C$18*ASSUMPTIONS!$C$22)*(1+H218)^5*(1+K218)/(I218-K218)/(1+I218)^5)-DCF!$C$12)/ASSUMPTIONS!$C$7</f>
        <v/>
      </c>
    </row>
    <row r="219">
      <c r="H219" s="83">
        <f>_xlfn.NORM.INV(RAND(),AVERAGE(ASSUMPTIONS!$C$38,ASSUMPTIONS!$C$39,ASSUMPTIONS!$C$40,ASSUMPTIONS!$C$41,ASSUMPTIONS!$C$42),ASSUMPTIONS!$C$68)</f>
        <v/>
      </c>
      <c r="I219" s="83">
        <f>MAX(_xlfn.NORM.INV(RAND(),DCF!$C$11,ASSUMPTIONS!$C$69),K219+0.005)</f>
        <v/>
      </c>
      <c r="J219" s="83">
        <f>_xlfn.NORM.INV(RAND(),ASSUMPTIONS!$C$19,ASSUMPTIONS!$C$70)</f>
        <v/>
      </c>
      <c r="K219" s="83">
        <f>_xlfn.NORM.INV(RAND(),ASSUMPTIONS!$C$43,ASSUMPTIONS!$C$71)</f>
        <v/>
      </c>
      <c r="L219" s="84">
        <f>(((ASSUMPTIONS!$C$18*J219*(1-ASSUMPTIONS!$C$20)+ASSUMPTIONS!$C$18*ASSUMPTIONS!$C$21-ASSUMPTIONS!$C$18*ASSUMPTIONS!$C$22)*(1+H219)*(1-((1+H219)/(1+I219))^5)/(I219-H219))+((ASSUMPTIONS!$C$18*J219*(1-ASSUMPTIONS!$C$20)+ASSUMPTIONS!$C$18*ASSUMPTIONS!$C$21-ASSUMPTIONS!$C$18*ASSUMPTIONS!$C$22)*(1+H219)^5*(1+K219)/(I219-K219)/(1+I219)^5)-DCF!$C$12)/ASSUMPTIONS!$C$7</f>
        <v/>
      </c>
    </row>
    <row r="220">
      <c r="H220" s="83">
        <f>_xlfn.NORM.INV(RAND(),AVERAGE(ASSUMPTIONS!$C$38,ASSUMPTIONS!$C$39,ASSUMPTIONS!$C$40,ASSUMPTIONS!$C$41,ASSUMPTIONS!$C$42),ASSUMPTIONS!$C$68)</f>
        <v/>
      </c>
      <c r="I220" s="83">
        <f>MAX(_xlfn.NORM.INV(RAND(),DCF!$C$11,ASSUMPTIONS!$C$69),K220+0.005)</f>
        <v/>
      </c>
      <c r="J220" s="83">
        <f>_xlfn.NORM.INV(RAND(),ASSUMPTIONS!$C$19,ASSUMPTIONS!$C$70)</f>
        <v/>
      </c>
      <c r="K220" s="83">
        <f>_xlfn.NORM.INV(RAND(),ASSUMPTIONS!$C$43,ASSUMPTIONS!$C$71)</f>
        <v/>
      </c>
      <c r="L220" s="84">
        <f>(((ASSUMPTIONS!$C$18*J220*(1-ASSUMPTIONS!$C$20)+ASSUMPTIONS!$C$18*ASSUMPTIONS!$C$21-ASSUMPTIONS!$C$18*ASSUMPTIONS!$C$22)*(1+H220)*(1-((1+H220)/(1+I220))^5)/(I220-H220))+((ASSUMPTIONS!$C$18*J220*(1-ASSUMPTIONS!$C$20)+ASSUMPTIONS!$C$18*ASSUMPTIONS!$C$21-ASSUMPTIONS!$C$18*ASSUMPTIONS!$C$22)*(1+H220)^5*(1+K220)/(I220-K220)/(1+I220)^5)-DCF!$C$12)/ASSUMPTIONS!$C$7</f>
        <v/>
      </c>
    </row>
    <row r="221">
      <c r="H221" s="83">
        <f>_xlfn.NORM.INV(RAND(),AVERAGE(ASSUMPTIONS!$C$38,ASSUMPTIONS!$C$39,ASSUMPTIONS!$C$40,ASSUMPTIONS!$C$41,ASSUMPTIONS!$C$42),ASSUMPTIONS!$C$68)</f>
        <v/>
      </c>
      <c r="I221" s="83">
        <f>MAX(_xlfn.NORM.INV(RAND(),DCF!$C$11,ASSUMPTIONS!$C$69),K221+0.005)</f>
        <v/>
      </c>
      <c r="J221" s="83">
        <f>_xlfn.NORM.INV(RAND(),ASSUMPTIONS!$C$19,ASSUMPTIONS!$C$70)</f>
        <v/>
      </c>
      <c r="K221" s="83">
        <f>_xlfn.NORM.INV(RAND(),ASSUMPTIONS!$C$43,ASSUMPTIONS!$C$71)</f>
        <v/>
      </c>
      <c r="L221" s="84">
        <f>(((ASSUMPTIONS!$C$18*J221*(1-ASSUMPTIONS!$C$20)+ASSUMPTIONS!$C$18*ASSUMPTIONS!$C$21-ASSUMPTIONS!$C$18*ASSUMPTIONS!$C$22)*(1+H221)*(1-((1+H221)/(1+I221))^5)/(I221-H221))+((ASSUMPTIONS!$C$18*J221*(1-ASSUMPTIONS!$C$20)+ASSUMPTIONS!$C$18*ASSUMPTIONS!$C$21-ASSUMPTIONS!$C$18*ASSUMPTIONS!$C$22)*(1+H221)^5*(1+K221)/(I221-K221)/(1+I221)^5)-DCF!$C$12)/ASSUMPTIONS!$C$7</f>
        <v/>
      </c>
    </row>
    <row r="222">
      <c r="H222" s="83">
        <f>_xlfn.NORM.INV(RAND(),AVERAGE(ASSUMPTIONS!$C$38,ASSUMPTIONS!$C$39,ASSUMPTIONS!$C$40,ASSUMPTIONS!$C$41,ASSUMPTIONS!$C$42),ASSUMPTIONS!$C$68)</f>
        <v/>
      </c>
      <c r="I222" s="83">
        <f>MAX(_xlfn.NORM.INV(RAND(),DCF!$C$11,ASSUMPTIONS!$C$69),K222+0.005)</f>
        <v/>
      </c>
      <c r="J222" s="83">
        <f>_xlfn.NORM.INV(RAND(),ASSUMPTIONS!$C$19,ASSUMPTIONS!$C$70)</f>
        <v/>
      </c>
      <c r="K222" s="83">
        <f>_xlfn.NORM.INV(RAND(),ASSUMPTIONS!$C$43,ASSUMPTIONS!$C$71)</f>
        <v/>
      </c>
      <c r="L222" s="84">
        <f>(((ASSUMPTIONS!$C$18*J222*(1-ASSUMPTIONS!$C$20)+ASSUMPTIONS!$C$18*ASSUMPTIONS!$C$21-ASSUMPTIONS!$C$18*ASSUMPTIONS!$C$22)*(1+H222)*(1-((1+H222)/(1+I222))^5)/(I222-H222))+((ASSUMPTIONS!$C$18*J222*(1-ASSUMPTIONS!$C$20)+ASSUMPTIONS!$C$18*ASSUMPTIONS!$C$21-ASSUMPTIONS!$C$18*ASSUMPTIONS!$C$22)*(1+H222)^5*(1+K222)/(I222-K222)/(1+I222)^5)-DCF!$C$12)/ASSUMPTIONS!$C$7</f>
        <v/>
      </c>
    </row>
    <row r="223">
      <c r="H223" s="83">
        <f>_xlfn.NORM.INV(RAND(),AVERAGE(ASSUMPTIONS!$C$38,ASSUMPTIONS!$C$39,ASSUMPTIONS!$C$40,ASSUMPTIONS!$C$41,ASSUMPTIONS!$C$42),ASSUMPTIONS!$C$68)</f>
        <v/>
      </c>
      <c r="I223" s="83">
        <f>MAX(_xlfn.NORM.INV(RAND(),DCF!$C$11,ASSUMPTIONS!$C$69),K223+0.005)</f>
        <v/>
      </c>
      <c r="J223" s="83">
        <f>_xlfn.NORM.INV(RAND(),ASSUMPTIONS!$C$19,ASSUMPTIONS!$C$70)</f>
        <v/>
      </c>
      <c r="K223" s="83">
        <f>_xlfn.NORM.INV(RAND(),ASSUMPTIONS!$C$43,ASSUMPTIONS!$C$71)</f>
        <v/>
      </c>
      <c r="L223" s="84">
        <f>(((ASSUMPTIONS!$C$18*J223*(1-ASSUMPTIONS!$C$20)+ASSUMPTIONS!$C$18*ASSUMPTIONS!$C$21-ASSUMPTIONS!$C$18*ASSUMPTIONS!$C$22)*(1+H223)*(1-((1+H223)/(1+I223))^5)/(I223-H223))+((ASSUMPTIONS!$C$18*J223*(1-ASSUMPTIONS!$C$20)+ASSUMPTIONS!$C$18*ASSUMPTIONS!$C$21-ASSUMPTIONS!$C$18*ASSUMPTIONS!$C$22)*(1+H223)^5*(1+K223)/(I223-K223)/(1+I223)^5)-DCF!$C$12)/ASSUMPTIONS!$C$7</f>
        <v/>
      </c>
    </row>
    <row r="224">
      <c r="H224" s="83">
        <f>_xlfn.NORM.INV(RAND(),AVERAGE(ASSUMPTIONS!$C$38,ASSUMPTIONS!$C$39,ASSUMPTIONS!$C$40,ASSUMPTIONS!$C$41,ASSUMPTIONS!$C$42),ASSUMPTIONS!$C$68)</f>
        <v/>
      </c>
      <c r="I224" s="83">
        <f>MAX(_xlfn.NORM.INV(RAND(),DCF!$C$11,ASSUMPTIONS!$C$69),K224+0.005)</f>
        <v/>
      </c>
      <c r="J224" s="83">
        <f>_xlfn.NORM.INV(RAND(),ASSUMPTIONS!$C$19,ASSUMPTIONS!$C$70)</f>
        <v/>
      </c>
      <c r="K224" s="83">
        <f>_xlfn.NORM.INV(RAND(),ASSUMPTIONS!$C$43,ASSUMPTIONS!$C$71)</f>
        <v/>
      </c>
      <c r="L224" s="84">
        <f>(((ASSUMPTIONS!$C$18*J224*(1-ASSUMPTIONS!$C$20)+ASSUMPTIONS!$C$18*ASSUMPTIONS!$C$21-ASSUMPTIONS!$C$18*ASSUMPTIONS!$C$22)*(1+H224)*(1-((1+H224)/(1+I224))^5)/(I224-H224))+((ASSUMPTIONS!$C$18*J224*(1-ASSUMPTIONS!$C$20)+ASSUMPTIONS!$C$18*ASSUMPTIONS!$C$21-ASSUMPTIONS!$C$18*ASSUMPTIONS!$C$22)*(1+H224)^5*(1+K224)/(I224-K224)/(1+I224)^5)-DCF!$C$12)/ASSUMPTIONS!$C$7</f>
        <v/>
      </c>
    </row>
    <row r="225">
      <c r="H225" s="83">
        <f>_xlfn.NORM.INV(RAND(),AVERAGE(ASSUMPTIONS!$C$38,ASSUMPTIONS!$C$39,ASSUMPTIONS!$C$40,ASSUMPTIONS!$C$41,ASSUMPTIONS!$C$42),ASSUMPTIONS!$C$68)</f>
        <v/>
      </c>
      <c r="I225" s="83">
        <f>MAX(_xlfn.NORM.INV(RAND(),DCF!$C$11,ASSUMPTIONS!$C$69),K225+0.005)</f>
        <v/>
      </c>
      <c r="J225" s="83">
        <f>_xlfn.NORM.INV(RAND(),ASSUMPTIONS!$C$19,ASSUMPTIONS!$C$70)</f>
        <v/>
      </c>
      <c r="K225" s="83">
        <f>_xlfn.NORM.INV(RAND(),ASSUMPTIONS!$C$43,ASSUMPTIONS!$C$71)</f>
        <v/>
      </c>
      <c r="L225" s="84">
        <f>(((ASSUMPTIONS!$C$18*J225*(1-ASSUMPTIONS!$C$20)+ASSUMPTIONS!$C$18*ASSUMPTIONS!$C$21-ASSUMPTIONS!$C$18*ASSUMPTIONS!$C$22)*(1+H225)*(1-((1+H225)/(1+I225))^5)/(I225-H225))+((ASSUMPTIONS!$C$18*J225*(1-ASSUMPTIONS!$C$20)+ASSUMPTIONS!$C$18*ASSUMPTIONS!$C$21-ASSUMPTIONS!$C$18*ASSUMPTIONS!$C$22)*(1+H225)^5*(1+K225)/(I225-K225)/(1+I225)^5)-DCF!$C$12)/ASSUMPTIONS!$C$7</f>
        <v/>
      </c>
    </row>
    <row r="226">
      <c r="H226" s="83">
        <f>_xlfn.NORM.INV(RAND(),AVERAGE(ASSUMPTIONS!$C$38,ASSUMPTIONS!$C$39,ASSUMPTIONS!$C$40,ASSUMPTIONS!$C$41,ASSUMPTIONS!$C$42),ASSUMPTIONS!$C$68)</f>
        <v/>
      </c>
      <c r="I226" s="83">
        <f>MAX(_xlfn.NORM.INV(RAND(),DCF!$C$11,ASSUMPTIONS!$C$69),K226+0.005)</f>
        <v/>
      </c>
      <c r="J226" s="83">
        <f>_xlfn.NORM.INV(RAND(),ASSUMPTIONS!$C$19,ASSUMPTIONS!$C$70)</f>
        <v/>
      </c>
      <c r="K226" s="83">
        <f>_xlfn.NORM.INV(RAND(),ASSUMPTIONS!$C$43,ASSUMPTIONS!$C$71)</f>
        <v/>
      </c>
      <c r="L226" s="84">
        <f>(((ASSUMPTIONS!$C$18*J226*(1-ASSUMPTIONS!$C$20)+ASSUMPTIONS!$C$18*ASSUMPTIONS!$C$21-ASSUMPTIONS!$C$18*ASSUMPTIONS!$C$22)*(1+H226)*(1-((1+H226)/(1+I226))^5)/(I226-H226))+((ASSUMPTIONS!$C$18*J226*(1-ASSUMPTIONS!$C$20)+ASSUMPTIONS!$C$18*ASSUMPTIONS!$C$21-ASSUMPTIONS!$C$18*ASSUMPTIONS!$C$22)*(1+H226)^5*(1+K226)/(I226-K226)/(1+I226)^5)-DCF!$C$12)/ASSUMPTIONS!$C$7</f>
        <v/>
      </c>
    </row>
    <row r="227">
      <c r="H227" s="83">
        <f>_xlfn.NORM.INV(RAND(),AVERAGE(ASSUMPTIONS!$C$38,ASSUMPTIONS!$C$39,ASSUMPTIONS!$C$40,ASSUMPTIONS!$C$41,ASSUMPTIONS!$C$42),ASSUMPTIONS!$C$68)</f>
        <v/>
      </c>
      <c r="I227" s="83">
        <f>MAX(_xlfn.NORM.INV(RAND(),DCF!$C$11,ASSUMPTIONS!$C$69),K227+0.005)</f>
        <v/>
      </c>
      <c r="J227" s="83">
        <f>_xlfn.NORM.INV(RAND(),ASSUMPTIONS!$C$19,ASSUMPTIONS!$C$70)</f>
        <v/>
      </c>
      <c r="K227" s="83">
        <f>_xlfn.NORM.INV(RAND(),ASSUMPTIONS!$C$43,ASSUMPTIONS!$C$71)</f>
        <v/>
      </c>
      <c r="L227" s="84">
        <f>(((ASSUMPTIONS!$C$18*J227*(1-ASSUMPTIONS!$C$20)+ASSUMPTIONS!$C$18*ASSUMPTIONS!$C$21-ASSUMPTIONS!$C$18*ASSUMPTIONS!$C$22)*(1+H227)*(1-((1+H227)/(1+I227))^5)/(I227-H227))+((ASSUMPTIONS!$C$18*J227*(1-ASSUMPTIONS!$C$20)+ASSUMPTIONS!$C$18*ASSUMPTIONS!$C$21-ASSUMPTIONS!$C$18*ASSUMPTIONS!$C$22)*(1+H227)^5*(1+K227)/(I227-K227)/(1+I227)^5)-DCF!$C$12)/ASSUMPTIONS!$C$7</f>
        <v/>
      </c>
    </row>
    <row r="228">
      <c r="H228" s="83">
        <f>_xlfn.NORM.INV(RAND(),AVERAGE(ASSUMPTIONS!$C$38,ASSUMPTIONS!$C$39,ASSUMPTIONS!$C$40,ASSUMPTIONS!$C$41,ASSUMPTIONS!$C$42),ASSUMPTIONS!$C$68)</f>
        <v/>
      </c>
      <c r="I228" s="83">
        <f>MAX(_xlfn.NORM.INV(RAND(),DCF!$C$11,ASSUMPTIONS!$C$69),K228+0.005)</f>
        <v/>
      </c>
      <c r="J228" s="83">
        <f>_xlfn.NORM.INV(RAND(),ASSUMPTIONS!$C$19,ASSUMPTIONS!$C$70)</f>
        <v/>
      </c>
      <c r="K228" s="83">
        <f>_xlfn.NORM.INV(RAND(),ASSUMPTIONS!$C$43,ASSUMPTIONS!$C$71)</f>
        <v/>
      </c>
      <c r="L228" s="84">
        <f>(((ASSUMPTIONS!$C$18*J228*(1-ASSUMPTIONS!$C$20)+ASSUMPTIONS!$C$18*ASSUMPTIONS!$C$21-ASSUMPTIONS!$C$18*ASSUMPTIONS!$C$22)*(1+H228)*(1-((1+H228)/(1+I228))^5)/(I228-H228))+((ASSUMPTIONS!$C$18*J228*(1-ASSUMPTIONS!$C$20)+ASSUMPTIONS!$C$18*ASSUMPTIONS!$C$21-ASSUMPTIONS!$C$18*ASSUMPTIONS!$C$22)*(1+H228)^5*(1+K228)/(I228-K228)/(1+I228)^5)-DCF!$C$12)/ASSUMPTIONS!$C$7</f>
        <v/>
      </c>
    </row>
    <row r="229">
      <c r="H229" s="83">
        <f>_xlfn.NORM.INV(RAND(),AVERAGE(ASSUMPTIONS!$C$38,ASSUMPTIONS!$C$39,ASSUMPTIONS!$C$40,ASSUMPTIONS!$C$41,ASSUMPTIONS!$C$42),ASSUMPTIONS!$C$68)</f>
        <v/>
      </c>
      <c r="I229" s="83">
        <f>MAX(_xlfn.NORM.INV(RAND(),DCF!$C$11,ASSUMPTIONS!$C$69),K229+0.005)</f>
        <v/>
      </c>
      <c r="J229" s="83">
        <f>_xlfn.NORM.INV(RAND(),ASSUMPTIONS!$C$19,ASSUMPTIONS!$C$70)</f>
        <v/>
      </c>
      <c r="K229" s="83">
        <f>_xlfn.NORM.INV(RAND(),ASSUMPTIONS!$C$43,ASSUMPTIONS!$C$71)</f>
        <v/>
      </c>
      <c r="L229" s="84">
        <f>(((ASSUMPTIONS!$C$18*J229*(1-ASSUMPTIONS!$C$20)+ASSUMPTIONS!$C$18*ASSUMPTIONS!$C$21-ASSUMPTIONS!$C$18*ASSUMPTIONS!$C$22)*(1+H229)*(1-((1+H229)/(1+I229))^5)/(I229-H229))+((ASSUMPTIONS!$C$18*J229*(1-ASSUMPTIONS!$C$20)+ASSUMPTIONS!$C$18*ASSUMPTIONS!$C$21-ASSUMPTIONS!$C$18*ASSUMPTIONS!$C$22)*(1+H229)^5*(1+K229)/(I229-K229)/(1+I229)^5)-DCF!$C$12)/ASSUMPTIONS!$C$7</f>
        <v/>
      </c>
    </row>
    <row r="230">
      <c r="H230" s="83">
        <f>_xlfn.NORM.INV(RAND(),AVERAGE(ASSUMPTIONS!$C$38,ASSUMPTIONS!$C$39,ASSUMPTIONS!$C$40,ASSUMPTIONS!$C$41,ASSUMPTIONS!$C$42),ASSUMPTIONS!$C$68)</f>
        <v/>
      </c>
      <c r="I230" s="83">
        <f>MAX(_xlfn.NORM.INV(RAND(),DCF!$C$11,ASSUMPTIONS!$C$69),K230+0.005)</f>
        <v/>
      </c>
      <c r="J230" s="83">
        <f>_xlfn.NORM.INV(RAND(),ASSUMPTIONS!$C$19,ASSUMPTIONS!$C$70)</f>
        <v/>
      </c>
      <c r="K230" s="83">
        <f>_xlfn.NORM.INV(RAND(),ASSUMPTIONS!$C$43,ASSUMPTIONS!$C$71)</f>
        <v/>
      </c>
      <c r="L230" s="84">
        <f>(((ASSUMPTIONS!$C$18*J230*(1-ASSUMPTIONS!$C$20)+ASSUMPTIONS!$C$18*ASSUMPTIONS!$C$21-ASSUMPTIONS!$C$18*ASSUMPTIONS!$C$22)*(1+H230)*(1-((1+H230)/(1+I230))^5)/(I230-H230))+((ASSUMPTIONS!$C$18*J230*(1-ASSUMPTIONS!$C$20)+ASSUMPTIONS!$C$18*ASSUMPTIONS!$C$21-ASSUMPTIONS!$C$18*ASSUMPTIONS!$C$22)*(1+H230)^5*(1+K230)/(I230-K230)/(1+I230)^5)-DCF!$C$12)/ASSUMPTIONS!$C$7</f>
        <v/>
      </c>
    </row>
    <row r="231">
      <c r="H231" s="83">
        <f>_xlfn.NORM.INV(RAND(),AVERAGE(ASSUMPTIONS!$C$38,ASSUMPTIONS!$C$39,ASSUMPTIONS!$C$40,ASSUMPTIONS!$C$41,ASSUMPTIONS!$C$42),ASSUMPTIONS!$C$68)</f>
        <v/>
      </c>
      <c r="I231" s="83">
        <f>MAX(_xlfn.NORM.INV(RAND(),DCF!$C$11,ASSUMPTIONS!$C$69),K231+0.005)</f>
        <v/>
      </c>
      <c r="J231" s="83">
        <f>_xlfn.NORM.INV(RAND(),ASSUMPTIONS!$C$19,ASSUMPTIONS!$C$70)</f>
        <v/>
      </c>
      <c r="K231" s="83">
        <f>_xlfn.NORM.INV(RAND(),ASSUMPTIONS!$C$43,ASSUMPTIONS!$C$71)</f>
        <v/>
      </c>
      <c r="L231" s="84">
        <f>(((ASSUMPTIONS!$C$18*J231*(1-ASSUMPTIONS!$C$20)+ASSUMPTIONS!$C$18*ASSUMPTIONS!$C$21-ASSUMPTIONS!$C$18*ASSUMPTIONS!$C$22)*(1+H231)*(1-((1+H231)/(1+I231))^5)/(I231-H231))+((ASSUMPTIONS!$C$18*J231*(1-ASSUMPTIONS!$C$20)+ASSUMPTIONS!$C$18*ASSUMPTIONS!$C$21-ASSUMPTIONS!$C$18*ASSUMPTIONS!$C$22)*(1+H231)^5*(1+K231)/(I231-K231)/(1+I231)^5)-DCF!$C$12)/ASSUMPTIONS!$C$7</f>
        <v/>
      </c>
    </row>
    <row r="232">
      <c r="H232" s="83">
        <f>_xlfn.NORM.INV(RAND(),AVERAGE(ASSUMPTIONS!$C$38,ASSUMPTIONS!$C$39,ASSUMPTIONS!$C$40,ASSUMPTIONS!$C$41,ASSUMPTIONS!$C$42),ASSUMPTIONS!$C$68)</f>
        <v/>
      </c>
      <c r="I232" s="83">
        <f>MAX(_xlfn.NORM.INV(RAND(),DCF!$C$11,ASSUMPTIONS!$C$69),K232+0.005)</f>
        <v/>
      </c>
      <c r="J232" s="83">
        <f>_xlfn.NORM.INV(RAND(),ASSUMPTIONS!$C$19,ASSUMPTIONS!$C$70)</f>
        <v/>
      </c>
      <c r="K232" s="83">
        <f>_xlfn.NORM.INV(RAND(),ASSUMPTIONS!$C$43,ASSUMPTIONS!$C$71)</f>
        <v/>
      </c>
      <c r="L232" s="84">
        <f>(((ASSUMPTIONS!$C$18*J232*(1-ASSUMPTIONS!$C$20)+ASSUMPTIONS!$C$18*ASSUMPTIONS!$C$21-ASSUMPTIONS!$C$18*ASSUMPTIONS!$C$22)*(1+H232)*(1-((1+H232)/(1+I232))^5)/(I232-H232))+((ASSUMPTIONS!$C$18*J232*(1-ASSUMPTIONS!$C$20)+ASSUMPTIONS!$C$18*ASSUMPTIONS!$C$21-ASSUMPTIONS!$C$18*ASSUMPTIONS!$C$22)*(1+H232)^5*(1+K232)/(I232-K232)/(1+I232)^5)-DCF!$C$12)/ASSUMPTIONS!$C$7</f>
        <v/>
      </c>
    </row>
    <row r="233">
      <c r="H233" s="83">
        <f>_xlfn.NORM.INV(RAND(),AVERAGE(ASSUMPTIONS!$C$38,ASSUMPTIONS!$C$39,ASSUMPTIONS!$C$40,ASSUMPTIONS!$C$41,ASSUMPTIONS!$C$42),ASSUMPTIONS!$C$68)</f>
        <v/>
      </c>
      <c r="I233" s="83">
        <f>MAX(_xlfn.NORM.INV(RAND(),DCF!$C$11,ASSUMPTIONS!$C$69),K233+0.005)</f>
        <v/>
      </c>
      <c r="J233" s="83">
        <f>_xlfn.NORM.INV(RAND(),ASSUMPTIONS!$C$19,ASSUMPTIONS!$C$70)</f>
        <v/>
      </c>
      <c r="K233" s="83">
        <f>_xlfn.NORM.INV(RAND(),ASSUMPTIONS!$C$43,ASSUMPTIONS!$C$71)</f>
        <v/>
      </c>
      <c r="L233" s="84">
        <f>(((ASSUMPTIONS!$C$18*J233*(1-ASSUMPTIONS!$C$20)+ASSUMPTIONS!$C$18*ASSUMPTIONS!$C$21-ASSUMPTIONS!$C$18*ASSUMPTIONS!$C$22)*(1+H233)*(1-((1+H233)/(1+I233))^5)/(I233-H233))+((ASSUMPTIONS!$C$18*J233*(1-ASSUMPTIONS!$C$20)+ASSUMPTIONS!$C$18*ASSUMPTIONS!$C$21-ASSUMPTIONS!$C$18*ASSUMPTIONS!$C$22)*(1+H233)^5*(1+K233)/(I233-K233)/(1+I233)^5)-DCF!$C$12)/ASSUMPTIONS!$C$7</f>
        <v/>
      </c>
    </row>
    <row r="234">
      <c r="H234" s="83">
        <f>_xlfn.NORM.INV(RAND(),AVERAGE(ASSUMPTIONS!$C$38,ASSUMPTIONS!$C$39,ASSUMPTIONS!$C$40,ASSUMPTIONS!$C$41,ASSUMPTIONS!$C$42),ASSUMPTIONS!$C$68)</f>
        <v/>
      </c>
      <c r="I234" s="83">
        <f>MAX(_xlfn.NORM.INV(RAND(),DCF!$C$11,ASSUMPTIONS!$C$69),K234+0.005)</f>
        <v/>
      </c>
      <c r="J234" s="83">
        <f>_xlfn.NORM.INV(RAND(),ASSUMPTIONS!$C$19,ASSUMPTIONS!$C$70)</f>
        <v/>
      </c>
      <c r="K234" s="83">
        <f>_xlfn.NORM.INV(RAND(),ASSUMPTIONS!$C$43,ASSUMPTIONS!$C$71)</f>
        <v/>
      </c>
      <c r="L234" s="84">
        <f>(((ASSUMPTIONS!$C$18*J234*(1-ASSUMPTIONS!$C$20)+ASSUMPTIONS!$C$18*ASSUMPTIONS!$C$21-ASSUMPTIONS!$C$18*ASSUMPTIONS!$C$22)*(1+H234)*(1-((1+H234)/(1+I234))^5)/(I234-H234))+((ASSUMPTIONS!$C$18*J234*(1-ASSUMPTIONS!$C$20)+ASSUMPTIONS!$C$18*ASSUMPTIONS!$C$21-ASSUMPTIONS!$C$18*ASSUMPTIONS!$C$22)*(1+H234)^5*(1+K234)/(I234-K234)/(1+I234)^5)-DCF!$C$12)/ASSUMPTIONS!$C$7</f>
        <v/>
      </c>
    </row>
    <row r="235">
      <c r="H235" s="83">
        <f>_xlfn.NORM.INV(RAND(),AVERAGE(ASSUMPTIONS!$C$38,ASSUMPTIONS!$C$39,ASSUMPTIONS!$C$40,ASSUMPTIONS!$C$41,ASSUMPTIONS!$C$42),ASSUMPTIONS!$C$68)</f>
        <v/>
      </c>
      <c r="I235" s="83">
        <f>MAX(_xlfn.NORM.INV(RAND(),DCF!$C$11,ASSUMPTIONS!$C$69),K235+0.005)</f>
        <v/>
      </c>
      <c r="J235" s="83">
        <f>_xlfn.NORM.INV(RAND(),ASSUMPTIONS!$C$19,ASSUMPTIONS!$C$70)</f>
        <v/>
      </c>
      <c r="K235" s="83">
        <f>_xlfn.NORM.INV(RAND(),ASSUMPTIONS!$C$43,ASSUMPTIONS!$C$71)</f>
        <v/>
      </c>
      <c r="L235" s="84">
        <f>(((ASSUMPTIONS!$C$18*J235*(1-ASSUMPTIONS!$C$20)+ASSUMPTIONS!$C$18*ASSUMPTIONS!$C$21-ASSUMPTIONS!$C$18*ASSUMPTIONS!$C$22)*(1+H235)*(1-((1+H235)/(1+I235))^5)/(I235-H235))+((ASSUMPTIONS!$C$18*J235*(1-ASSUMPTIONS!$C$20)+ASSUMPTIONS!$C$18*ASSUMPTIONS!$C$21-ASSUMPTIONS!$C$18*ASSUMPTIONS!$C$22)*(1+H235)^5*(1+K235)/(I235-K235)/(1+I235)^5)-DCF!$C$12)/ASSUMPTIONS!$C$7</f>
        <v/>
      </c>
    </row>
    <row r="236">
      <c r="H236" s="83">
        <f>_xlfn.NORM.INV(RAND(),AVERAGE(ASSUMPTIONS!$C$38,ASSUMPTIONS!$C$39,ASSUMPTIONS!$C$40,ASSUMPTIONS!$C$41,ASSUMPTIONS!$C$42),ASSUMPTIONS!$C$68)</f>
        <v/>
      </c>
      <c r="I236" s="83">
        <f>MAX(_xlfn.NORM.INV(RAND(),DCF!$C$11,ASSUMPTIONS!$C$69),K236+0.005)</f>
        <v/>
      </c>
      <c r="J236" s="83">
        <f>_xlfn.NORM.INV(RAND(),ASSUMPTIONS!$C$19,ASSUMPTIONS!$C$70)</f>
        <v/>
      </c>
      <c r="K236" s="83">
        <f>_xlfn.NORM.INV(RAND(),ASSUMPTIONS!$C$43,ASSUMPTIONS!$C$71)</f>
        <v/>
      </c>
      <c r="L236" s="84">
        <f>(((ASSUMPTIONS!$C$18*J236*(1-ASSUMPTIONS!$C$20)+ASSUMPTIONS!$C$18*ASSUMPTIONS!$C$21-ASSUMPTIONS!$C$18*ASSUMPTIONS!$C$22)*(1+H236)*(1-((1+H236)/(1+I236))^5)/(I236-H236))+((ASSUMPTIONS!$C$18*J236*(1-ASSUMPTIONS!$C$20)+ASSUMPTIONS!$C$18*ASSUMPTIONS!$C$21-ASSUMPTIONS!$C$18*ASSUMPTIONS!$C$22)*(1+H236)^5*(1+K236)/(I236-K236)/(1+I236)^5)-DCF!$C$12)/ASSUMPTIONS!$C$7</f>
        <v/>
      </c>
    </row>
    <row r="237">
      <c r="H237" s="83">
        <f>_xlfn.NORM.INV(RAND(),AVERAGE(ASSUMPTIONS!$C$38,ASSUMPTIONS!$C$39,ASSUMPTIONS!$C$40,ASSUMPTIONS!$C$41,ASSUMPTIONS!$C$42),ASSUMPTIONS!$C$68)</f>
        <v/>
      </c>
      <c r="I237" s="83">
        <f>MAX(_xlfn.NORM.INV(RAND(),DCF!$C$11,ASSUMPTIONS!$C$69),K237+0.005)</f>
        <v/>
      </c>
      <c r="J237" s="83">
        <f>_xlfn.NORM.INV(RAND(),ASSUMPTIONS!$C$19,ASSUMPTIONS!$C$70)</f>
        <v/>
      </c>
      <c r="K237" s="83">
        <f>_xlfn.NORM.INV(RAND(),ASSUMPTIONS!$C$43,ASSUMPTIONS!$C$71)</f>
        <v/>
      </c>
      <c r="L237" s="84">
        <f>(((ASSUMPTIONS!$C$18*J237*(1-ASSUMPTIONS!$C$20)+ASSUMPTIONS!$C$18*ASSUMPTIONS!$C$21-ASSUMPTIONS!$C$18*ASSUMPTIONS!$C$22)*(1+H237)*(1-((1+H237)/(1+I237))^5)/(I237-H237))+((ASSUMPTIONS!$C$18*J237*(1-ASSUMPTIONS!$C$20)+ASSUMPTIONS!$C$18*ASSUMPTIONS!$C$21-ASSUMPTIONS!$C$18*ASSUMPTIONS!$C$22)*(1+H237)^5*(1+K237)/(I237-K237)/(1+I237)^5)-DCF!$C$12)/ASSUMPTIONS!$C$7</f>
        <v/>
      </c>
    </row>
    <row r="238">
      <c r="H238" s="83">
        <f>_xlfn.NORM.INV(RAND(),AVERAGE(ASSUMPTIONS!$C$38,ASSUMPTIONS!$C$39,ASSUMPTIONS!$C$40,ASSUMPTIONS!$C$41,ASSUMPTIONS!$C$42),ASSUMPTIONS!$C$68)</f>
        <v/>
      </c>
      <c r="I238" s="83">
        <f>MAX(_xlfn.NORM.INV(RAND(),DCF!$C$11,ASSUMPTIONS!$C$69),K238+0.005)</f>
        <v/>
      </c>
      <c r="J238" s="83">
        <f>_xlfn.NORM.INV(RAND(),ASSUMPTIONS!$C$19,ASSUMPTIONS!$C$70)</f>
        <v/>
      </c>
      <c r="K238" s="83">
        <f>_xlfn.NORM.INV(RAND(),ASSUMPTIONS!$C$43,ASSUMPTIONS!$C$71)</f>
        <v/>
      </c>
      <c r="L238" s="84">
        <f>(((ASSUMPTIONS!$C$18*J238*(1-ASSUMPTIONS!$C$20)+ASSUMPTIONS!$C$18*ASSUMPTIONS!$C$21-ASSUMPTIONS!$C$18*ASSUMPTIONS!$C$22)*(1+H238)*(1-((1+H238)/(1+I238))^5)/(I238-H238))+((ASSUMPTIONS!$C$18*J238*(1-ASSUMPTIONS!$C$20)+ASSUMPTIONS!$C$18*ASSUMPTIONS!$C$21-ASSUMPTIONS!$C$18*ASSUMPTIONS!$C$22)*(1+H238)^5*(1+K238)/(I238-K238)/(1+I238)^5)-DCF!$C$12)/ASSUMPTIONS!$C$7</f>
        <v/>
      </c>
    </row>
    <row r="239">
      <c r="H239" s="83">
        <f>_xlfn.NORM.INV(RAND(),AVERAGE(ASSUMPTIONS!$C$38,ASSUMPTIONS!$C$39,ASSUMPTIONS!$C$40,ASSUMPTIONS!$C$41,ASSUMPTIONS!$C$42),ASSUMPTIONS!$C$68)</f>
        <v/>
      </c>
      <c r="I239" s="83">
        <f>MAX(_xlfn.NORM.INV(RAND(),DCF!$C$11,ASSUMPTIONS!$C$69),K239+0.005)</f>
        <v/>
      </c>
      <c r="J239" s="83">
        <f>_xlfn.NORM.INV(RAND(),ASSUMPTIONS!$C$19,ASSUMPTIONS!$C$70)</f>
        <v/>
      </c>
      <c r="K239" s="83">
        <f>_xlfn.NORM.INV(RAND(),ASSUMPTIONS!$C$43,ASSUMPTIONS!$C$71)</f>
        <v/>
      </c>
      <c r="L239" s="84">
        <f>(((ASSUMPTIONS!$C$18*J239*(1-ASSUMPTIONS!$C$20)+ASSUMPTIONS!$C$18*ASSUMPTIONS!$C$21-ASSUMPTIONS!$C$18*ASSUMPTIONS!$C$22)*(1+H239)*(1-((1+H239)/(1+I239))^5)/(I239-H239))+((ASSUMPTIONS!$C$18*J239*(1-ASSUMPTIONS!$C$20)+ASSUMPTIONS!$C$18*ASSUMPTIONS!$C$21-ASSUMPTIONS!$C$18*ASSUMPTIONS!$C$22)*(1+H239)^5*(1+K239)/(I239-K239)/(1+I239)^5)-DCF!$C$12)/ASSUMPTIONS!$C$7</f>
        <v/>
      </c>
    </row>
    <row r="240">
      <c r="H240" s="83">
        <f>_xlfn.NORM.INV(RAND(),AVERAGE(ASSUMPTIONS!$C$38,ASSUMPTIONS!$C$39,ASSUMPTIONS!$C$40,ASSUMPTIONS!$C$41,ASSUMPTIONS!$C$42),ASSUMPTIONS!$C$68)</f>
        <v/>
      </c>
      <c r="I240" s="83">
        <f>MAX(_xlfn.NORM.INV(RAND(),DCF!$C$11,ASSUMPTIONS!$C$69),K240+0.005)</f>
        <v/>
      </c>
      <c r="J240" s="83">
        <f>_xlfn.NORM.INV(RAND(),ASSUMPTIONS!$C$19,ASSUMPTIONS!$C$70)</f>
        <v/>
      </c>
      <c r="K240" s="83">
        <f>_xlfn.NORM.INV(RAND(),ASSUMPTIONS!$C$43,ASSUMPTIONS!$C$71)</f>
        <v/>
      </c>
      <c r="L240" s="84">
        <f>(((ASSUMPTIONS!$C$18*J240*(1-ASSUMPTIONS!$C$20)+ASSUMPTIONS!$C$18*ASSUMPTIONS!$C$21-ASSUMPTIONS!$C$18*ASSUMPTIONS!$C$22)*(1+H240)*(1-((1+H240)/(1+I240))^5)/(I240-H240))+((ASSUMPTIONS!$C$18*J240*(1-ASSUMPTIONS!$C$20)+ASSUMPTIONS!$C$18*ASSUMPTIONS!$C$21-ASSUMPTIONS!$C$18*ASSUMPTIONS!$C$22)*(1+H240)^5*(1+K240)/(I240-K240)/(1+I240)^5)-DCF!$C$12)/ASSUMPTIONS!$C$7</f>
        <v/>
      </c>
    </row>
    <row r="241">
      <c r="H241" s="83">
        <f>_xlfn.NORM.INV(RAND(),AVERAGE(ASSUMPTIONS!$C$38,ASSUMPTIONS!$C$39,ASSUMPTIONS!$C$40,ASSUMPTIONS!$C$41,ASSUMPTIONS!$C$42),ASSUMPTIONS!$C$68)</f>
        <v/>
      </c>
      <c r="I241" s="83">
        <f>MAX(_xlfn.NORM.INV(RAND(),DCF!$C$11,ASSUMPTIONS!$C$69),K241+0.005)</f>
        <v/>
      </c>
      <c r="J241" s="83">
        <f>_xlfn.NORM.INV(RAND(),ASSUMPTIONS!$C$19,ASSUMPTIONS!$C$70)</f>
        <v/>
      </c>
      <c r="K241" s="83">
        <f>_xlfn.NORM.INV(RAND(),ASSUMPTIONS!$C$43,ASSUMPTIONS!$C$71)</f>
        <v/>
      </c>
      <c r="L241" s="84">
        <f>(((ASSUMPTIONS!$C$18*J241*(1-ASSUMPTIONS!$C$20)+ASSUMPTIONS!$C$18*ASSUMPTIONS!$C$21-ASSUMPTIONS!$C$18*ASSUMPTIONS!$C$22)*(1+H241)*(1-((1+H241)/(1+I241))^5)/(I241-H241))+((ASSUMPTIONS!$C$18*J241*(1-ASSUMPTIONS!$C$20)+ASSUMPTIONS!$C$18*ASSUMPTIONS!$C$21-ASSUMPTIONS!$C$18*ASSUMPTIONS!$C$22)*(1+H241)^5*(1+K241)/(I241-K241)/(1+I241)^5)-DCF!$C$12)/ASSUMPTIONS!$C$7</f>
        <v/>
      </c>
    </row>
    <row r="242">
      <c r="H242" s="83">
        <f>_xlfn.NORM.INV(RAND(),AVERAGE(ASSUMPTIONS!$C$38,ASSUMPTIONS!$C$39,ASSUMPTIONS!$C$40,ASSUMPTIONS!$C$41,ASSUMPTIONS!$C$42),ASSUMPTIONS!$C$68)</f>
        <v/>
      </c>
      <c r="I242" s="83">
        <f>MAX(_xlfn.NORM.INV(RAND(),DCF!$C$11,ASSUMPTIONS!$C$69),K242+0.005)</f>
        <v/>
      </c>
      <c r="J242" s="83">
        <f>_xlfn.NORM.INV(RAND(),ASSUMPTIONS!$C$19,ASSUMPTIONS!$C$70)</f>
        <v/>
      </c>
      <c r="K242" s="83">
        <f>_xlfn.NORM.INV(RAND(),ASSUMPTIONS!$C$43,ASSUMPTIONS!$C$71)</f>
        <v/>
      </c>
      <c r="L242" s="84">
        <f>(((ASSUMPTIONS!$C$18*J242*(1-ASSUMPTIONS!$C$20)+ASSUMPTIONS!$C$18*ASSUMPTIONS!$C$21-ASSUMPTIONS!$C$18*ASSUMPTIONS!$C$22)*(1+H242)*(1-((1+H242)/(1+I242))^5)/(I242-H242))+((ASSUMPTIONS!$C$18*J242*(1-ASSUMPTIONS!$C$20)+ASSUMPTIONS!$C$18*ASSUMPTIONS!$C$21-ASSUMPTIONS!$C$18*ASSUMPTIONS!$C$22)*(1+H242)^5*(1+K242)/(I242-K242)/(1+I242)^5)-DCF!$C$12)/ASSUMPTIONS!$C$7</f>
        <v/>
      </c>
    </row>
    <row r="243">
      <c r="H243" s="83">
        <f>_xlfn.NORM.INV(RAND(),AVERAGE(ASSUMPTIONS!$C$38,ASSUMPTIONS!$C$39,ASSUMPTIONS!$C$40,ASSUMPTIONS!$C$41,ASSUMPTIONS!$C$42),ASSUMPTIONS!$C$68)</f>
        <v/>
      </c>
      <c r="I243" s="83">
        <f>MAX(_xlfn.NORM.INV(RAND(),DCF!$C$11,ASSUMPTIONS!$C$69),K243+0.005)</f>
        <v/>
      </c>
      <c r="J243" s="83">
        <f>_xlfn.NORM.INV(RAND(),ASSUMPTIONS!$C$19,ASSUMPTIONS!$C$70)</f>
        <v/>
      </c>
      <c r="K243" s="83">
        <f>_xlfn.NORM.INV(RAND(),ASSUMPTIONS!$C$43,ASSUMPTIONS!$C$71)</f>
        <v/>
      </c>
      <c r="L243" s="84">
        <f>(((ASSUMPTIONS!$C$18*J243*(1-ASSUMPTIONS!$C$20)+ASSUMPTIONS!$C$18*ASSUMPTIONS!$C$21-ASSUMPTIONS!$C$18*ASSUMPTIONS!$C$22)*(1+H243)*(1-((1+H243)/(1+I243))^5)/(I243-H243))+((ASSUMPTIONS!$C$18*J243*(1-ASSUMPTIONS!$C$20)+ASSUMPTIONS!$C$18*ASSUMPTIONS!$C$21-ASSUMPTIONS!$C$18*ASSUMPTIONS!$C$22)*(1+H243)^5*(1+K243)/(I243-K243)/(1+I243)^5)-DCF!$C$12)/ASSUMPTIONS!$C$7</f>
        <v/>
      </c>
    </row>
    <row r="244">
      <c r="H244" s="83">
        <f>_xlfn.NORM.INV(RAND(),AVERAGE(ASSUMPTIONS!$C$38,ASSUMPTIONS!$C$39,ASSUMPTIONS!$C$40,ASSUMPTIONS!$C$41,ASSUMPTIONS!$C$42),ASSUMPTIONS!$C$68)</f>
        <v/>
      </c>
      <c r="I244" s="83">
        <f>MAX(_xlfn.NORM.INV(RAND(),DCF!$C$11,ASSUMPTIONS!$C$69),K244+0.005)</f>
        <v/>
      </c>
      <c r="J244" s="83">
        <f>_xlfn.NORM.INV(RAND(),ASSUMPTIONS!$C$19,ASSUMPTIONS!$C$70)</f>
        <v/>
      </c>
      <c r="K244" s="83">
        <f>_xlfn.NORM.INV(RAND(),ASSUMPTIONS!$C$43,ASSUMPTIONS!$C$71)</f>
        <v/>
      </c>
      <c r="L244" s="84">
        <f>(((ASSUMPTIONS!$C$18*J244*(1-ASSUMPTIONS!$C$20)+ASSUMPTIONS!$C$18*ASSUMPTIONS!$C$21-ASSUMPTIONS!$C$18*ASSUMPTIONS!$C$22)*(1+H244)*(1-((1+H244)/(1+I244))^5)/(I244-H244))+((ASSUMPTIONS!$C$18*J244*(1-ASSUMPTIONS!$C$20)+ASSUMPTIONS!$C$18*ASSUMPTIONS!$C$21-ASSUMPTIONS!$C$18*ASSUMPTIONS!$C$22)*(1+H244)^5*(1+K244)/(I244-K244)/(1+I244)^5)-DCF!$C$12)/ASSUMPTIONS!$C$7</f>
        <v/>
      </c>
    </row>
    <row r="245">
      <c r="H245" s="83">
        <f>_xlfn.NORM.INV(RAND(),AVERAGE(ASSUMPTIONS!$C$38,ASSUMPTIONS!$C$39,ASSUMPTIONS!$C$40,ASSUMPTIONS!$C$41,ASSUMPTIONS!$C$42),ASSUMPTIONS!$C$68)</f>
        <v/>
      </c>
      <c r="I245" s="83">
        <f>MAX(_xlfn.NORM.INV(RAND(),DCF!$C$11,ASSUMPTIONS!$C$69),K245+0.005)</f>
        <v/>
      </c>
      <c r="J245" s="83">
        <f>_xlfn.NORM.INV(RAND(),ASSUMPTIONS!$C$19,ASSUMPTIONS!$C$70)</f>
        <v/>
      </c>
      <c r="K245" s="83">
        <f>_xlfn.NORM.INV(RAND(),ASSUMPTIONS!$C$43,ASSUMPTIONS!$C$71)</f>
        <v/>
      </c>
      <c r="L245" s="84">
        <f>(((ASSUMPTIONS!$C$18*J245*(1-ASSUMPTIONS!$C$20)+ASSUMPTIONS!$C$18*ASSUMPTIONS!$C$21-ASSUMPTIONS!$C$18*ASSUMPTIONS!$C$22)*(1+H245)*(1-((1+H245)/(1+I245))^5)/(I245-H245))+((ASSUMPTIONS!$C$18*J245*(1-ASSUMPTIONS!$C$20)+ASSUMPTIONS!$C$18*ASSUMPTIONS!$C$21-ASSUMPTIONS!$C$18*ASSUMPTIONS!$C$22)*(1+H245)^5*(1+K245)/(I245-K245)/(1+I245)^5)-DCF!$C$12)/ASSUMPTIONS!$C$7</f>
        <v/>
      </c>
    </row>
    <row r="246">
      <c r="H246" s="83">
        <f>_xlfn.NORM.INV(RAND(),AVERAGE(ASSUMPTIONS!$C$38,ASSUMPTIONS!$C$39,ASSUMPTIONS!$C$40,ASSUMPTIONS!$C$41,ASSUMPTIONS!$C$42),ASSUMPTIONS!$C$68)</f>
        <v/>
      </c>
      <c r="I246" s="83">
        <f>MAX(_xlfn.NORM.INV(RAND(),DCF!$C$11,ASSUMPTIONS!$C$69),K246+0.005)</f>
        <v/>
      </c>
      <c r="J246" s="83">
        <f>_xlfn.NORM.INV(RAND(),ASSUMPTIONS!$C$19,ASSUMPTIONS!$C$70)</f>
        <v/>
      </c>
      <c r="K246" s="83">
        <f>_xlfn.NORM.INV(RAND(),ASSUMPTIONS!$C$43,ASSUMPTIONS!$C$71)</f>
        <v/>
      </c>
      <c r="L246" s="84">
        <f>(((ASSUMPTIONS!$C$18*J246*(1-ASSUMPTIONS!$C$20)+ASSUMPTIONS!$C$18*ASSUMPTIONS!$C$21-ASSUMPTIONS!$C$18*ASSUMPTIONS!$C$22)*(1+H246)*(1-((1+H246)/(1+I246))^5)/(I246-H246))+((ASSUMPTIONS!$C$18*J246*(1-ASSUMPTIONS!$C$20)+ASSUMPTIONS!$C$18*ASSUMPTIONS!$C$21-ASSUMPTIONS!$C$18*ASSUMPTIONS!$C$22)*(1+H246)^5*(1+K246)/(I246-K246)/(1+I246)^5)-DCF!$C$12)/ASSUMPTIONS!$C$7</f>
        <v/>
      </c>
    </row>
    <row r="247">
      <c r="H247" s="83">
        <f>_xlfn.NORM.INV(RAND(),AVERAGE(ASSUMPTIONS!$C$38,ASSUMPTIONS!$C$39,ASSUMPTIONS!$C$40,ASSUMPTIONS!$C$41,ASSUMPTIONS!$C$42),ASSUMPTIONS!$C$68)</f>
        <v/>
      </c>
      <c r="I247" s="83">
        <f>MAX(_xlfn.NORM.INV(RAND(),DCF!$C$11,ASSUMPTIONS!$C$69),K247+0.005)</f>
        <v/>
      </c>
      <c r="J247" s="83">
        <f>_xlfn.NORM.INV(RAND(),ASSUMPTIONS!$C$19,ASSUMPTIONS!$C$70)</f>
        <v/>
      </c>
      <c r="K247" s="83">
        <f>_xlfn.NORM.INV(RAND(),ASSUMPTIONS!$C$43,ASSUMPTIONS!$C$71)</f>
        <v/>
      </c>
      <c r="L247" s="84">
        <f>(((ASSUMPTIONS!$C$18*J247*(1-ASSUMPTIONS!$C$20)+ASSUMPTIONS!$C$18*ASSUMPTIONS!$C$21-ASSUMPTIONS!$C$18*ASSUMPTIONS!$C$22)*(1+H247)*(1-((1+H247)/(1+I247))^5)/(I247-H247))+((ASSUMPTIONS!$C$18*J247*(1-ASSUMPTIONS!$C$20)+ASSUMPTIONS!$C$18*ASSUMPTIONS!$C$21-ASSUMPTIONS!$C$18*ASSUMPTIONS!$C$22)*(1+H247)^5*(1+K247)/(I247-K247)/(1+I247)^5)-DCF!$C$12)/ASSUMPTIONS!$C$7</f>
        <v/>
      </c>
    </row>
    <row r="248">
      <c r="H248" s="83">
        <f>_xlfn.NORM.INV(RAND(),AVERAGE(ASSUMPTIONS!$C$38,ASSUMPTIONS!$C$39,ASSUMPTIONS!$C$40,ASSUMPTIONS!$C$41,ASSUMPTIONS!$C$42),ASSUMPTIONS!$C$68)</f>
        <v/>
      </c>
      <c r="I248" s="83">
        <f>MAX(_xlfn.NORM.INV(RAND(),DCF!$C$11,ASSUMPTIONS!$C$69),K248+0.005)</f>
        <v/>
      </c>
      <c r="J248" s="83">
        <f>_xlfn.NORM.INV(RAND(),ASSUMPTIONS!$C$19,ASSUMPTIONS!$C$70)</f>
        <v/>
      </c>
      <c r="K248" s="83">
        <f>_xlfn.NORM.INV(RAND(),ASSUMPTIONS!$C$43,ASSUMPTIONS!$C$71)</f>
        <v/>
      </c>
      <c r="L248" s="84">
        <f>(((ASSUMPTIONS!$C$18*J248*(1-ASSUMPTIONS!$C$20)+ASSUMPTIONS!$C$18*ASSUMPTIONS!$C$21-ASSUMPTIONS!$C$18*ASSUMPTIONS!$C$22)*(1+H248)*(1-((1+H248)/(1+I248))^5)/(I248-H248))+((ASSUMPTIONS!$C$18*J248*(1-ASSUMPTIONS!$C$20)+ASSUMPTIONS!$C$18*ASSUMPTIONS!$C$21-ASSUMPTIONS!$C$18*ASSUMPTIONS!$C$22)*(1+H248)^5*(1+K248)/(I248-K248)/(1+I248)^5)-DCF!$C$12)/ASSUMPTIONS!$C$7</f>
        <v/>
      </c>
    </row>
    <row r="249">
      <c r="H249" s="83">
        <f>_xlfn.NORM.INV(RAND(),AVERAGE(ASSUMPTIONS!$C$38,ASSUMPTIONS!$C$39,ASSUMPTIONS!$C$40,ASSUMPTIONS!$C$41,ASSUMPTIONS!$C$42),ASSUMPTIONS!$C$68)</f>
        <v/>
      </c>
      <c r="I249" s="83">
        <f>MAX(_xlfn.NORM.INV(RAND(),DCF!$C$11,ASSUMPTIONS!$C$69),K249+0.005)</f>
        <v/>
      </c>
      <c r="J249" s="83">
        <f>_xlfn.NORM.INV(RAND(),ASSUMPTIONS!$C$19,ASSUMPTIONS!$C$70)</f>
        <v/>
      </c>
      <c r="K249" s="83">
        <f>_xlfn.NORM.INV(RAND(),ASSUMPTIONS!$C$43,ASSUMPTIONS!$C$71)</f>
        <v/>
      </c>
      <c r="L249" s="84">
        <f>(((ASSUMPTIONS!$C$18*J249*(1-ASSUMPTIONS!$C$20)+ASSUMPTIONS!$C$18*ASSUMPTIONS!$C$21-ASSUMPTIONS!$C$18*ASSUMPTIONS!$C$22)*(1+H249)*(1-((1+H249)/(1+I249))^5)/(I249-H249))+((ASSUMPTIONS!$C$18*J249*(1-ASSUMPTIONS!$C$20)+ASSUMPTIONS!$C$18*ASSUMPTIONS!$C$21-ASSUMPTIONS!$C$18*ASSUMPTIONS!$C$22)*(1+H249)^5*(1+K249)/(I249-K249)/(1+I249)^5)-DCF!$C$12)/ASSUMPTIONS!$C$7</f>
        <v/>
      </c>
    </row>
    <row r="250">
      <c r="H250" s="83">
        <f>_xlfn.NORM.INV(RAND(),AVERAGE(ASSUMPTIONS!$C$38,ASSUMPTIONS!$C$39,ASSUMPTIONS!$C$40,ASSUMPTIONS!$C$41,ASSUMPTIONS!$C$42),ASSUMPTIONS!$C$68)</f>
        <v/>
      </c>
      <c r="I250" s="83">
        <f>MAX(_xlfn.NORM.INV(RAND(),DCF!$C$11,ASSUMPTIONS!$C$69),K250+0.005)</f>
        <v/>
      </c>
      <c r="J250" s="83">
        <f>_xlfn.NORM.INV(RAND(),ASSUMPTIONS!$C$19,ASSUMPTIONS!$C$70)</f>
        <v/>
      </c>
      <c r="K250" s="83">
        <f>_xlfn.NORM.INV(RAND(),ASSUMPTIONS!$C$43,ASSUMPTIONS!$C$71)</f>
        <v/>
      </c>
      <c r="L250" s="84">
        <f>(((ASSUMPTIONS!$C$18*J250*(1-ASSUMPTIONS!$C$20)+ASSUMPTIONS!$C$18*ASSUMPTIONS!$C$21-ASSUMPTIONS!$C$18*ASSUMPTIONS!$C$22)*(1+H250)*(1-((1+H250)/(1+I250))^5)/(I250-H250))+((ASSUMPTIONS!$C$18*J250*(1-ASSUMPTIONS!$C$20)+ASSUMPTIONS!$C$18*ASSUMPTIONS!$C$21-ASSUMPTIONS!$C$18*ASSUMPTIONS!$C$22)*(1+H250)^5*(1+K250)/(I250-K250)/(1+I250)^5)-DCF!$C$12)/ASSUMPTIONS!$C$7</f>
        <v/>
      </c>
    </row>
    <row r="251">
      <c r="H251" s="83">
        <f>_xlfn.NORM.INV(RAND(),AVERAGE(ASSUMPTIONS!$C$38,ASSUMPTIONS!$C$39,ASSUMPTIONS!$C$40,ASSUMPTIONS!$C$41,ASSUMPTIONS!$C$42),ASSUMPTIONS!$C$68)</f>
        <v/>
      </c>
      <c r="I251" s="83">
        <f>MAX(_xlfn.NORM.INV(RAND(),DCF!$C$11,ASSUMPTIONS!$C$69),K251+0.005)</f>
        <v/>
      </c>
      <c r="J251" s="83">
        <f>_xlfn.NORM.INV(RAND(),ASSUMPTIONS!$C$19,ASSUMPTIONS!$C$70)</f>
        <v/>
      </c>
      <c r="K251" s="83">
        <f>_xlfn.NORM.INV(RAND(),ASSUMPTIONS!$C$43,ASSUMPTIONS!$C$71)</f>
        <v/>
      </c>
      <c r="L251" s="84">
        <f>(((ASSUMPTIONS!$C$18*J251*(1-ASSUMPTIONS!$C$20)+ASSUMPTIONS!$C$18*ASSUMPTIONS!$C$21-ASSUMPTIONS!$C$18*ASSUMPTIONS!$C$22)*(1+H251)*(1-((1+H251)/(1+I251))^5)/(I251-H251))+((ASSUMPTIONS!$C$18*J251*(1-ASSUMPTIONS!$C$20)+ASSUMPTIONS!$C$18*ASSUMPTIONS!$C$21-ASSUMPTIONS!$C$18*ASSUMPTIONS!$C$22)*(1+H251)^5*(1+K251)/(I251-K251)/(1+I251)^5)-DCF!$C$12)/ASSUMPTIONS!$C$7</f>
        <v/>
      </c>
    </row>
    <row r="252">
      <c r="H252" s="83">
        <f>_xlfn.NORM.INV(RAND(),AVERAGE(ASSUMPTIONS!$C$38,ASSUMPTIONS!$C$39,ASSUMPTIONS!$C$40,ASSUMPTIONS!$C$41,ASSUMPTIONS!$C$42),ASSUMPTIONS!$C$68)</f>
        <v/>
      </c>
      <c r="I252" s="83">
        <f>MAX(_xlfn.NORM.INV(RAND(),DCF!$C$11,ASSUMPTIONS!$C$69),K252+0.005)</f>
        <v/>
      </c>
      <c r="J252" s="83">
        <f>_xlfn.NORM.INV(RAND(),ASSUMPTIONS!$C$19,ASSUMPTIONS!$C$70)</f>
        <v/>
      </c>
      <c r="K252" s="83">
        <f>_xlfn.NORM.INV(RAND(),ASSUMPTIONS!$C$43,ASSUMPTIONS!$C$71)</f>
        <v/>
      </c>
      <c r="L252" s="84">
        <f>(((ASSUMPTIONS!$C$18*J252*(1-ASSUMPTIONS!$C$20)+ASSUMPTIONS!$C$18*ASSUMPTIONS!$C$21-ASSUMPTIONS!$C$18*ASSUMPTIONS!$C$22)*(1+H252)*(1-((1+H252)/(1+I252))^5)/(I252-H252))+((ASSUMPTIONS!$C$18*J252*(1-ASSUMPTIONS!$C$20)+ASSUMPTIONS!$C$18*ASSUMPTIONS!$C$21-ASSUMPTIONS!$C$18*ASSUMPTIONS!$C$22)*(1+H252)^5*(1+K252)/(I252-K252)/(1+I252)^5)-DCF!$C$12)/ASSUMPTIONS!$C$7</f>
        <v/>
      </c>
    </row>
    <row r="253">
      <c r="H253" s="83">
        <f>_xlfn.NORM.INV(RAND(),AVERAGE(ASSUMPTIONS!$C$38,ASSUMPTIONS!$C$39,ASSUMPTIONS!$C$40,ASSUMPTIONS!$C$41,ASSUMPTIONS!$C$42),ASSUMPTIONS!$C$68)</f>
        <v/>
      </c>
      <c r="I253" s="83">
        <f>MAX(_xlfn.NORM.INV(RAND(),DCF!$C$11,ASSUMPTIONS!$C$69),K253+0.005)</f>
        <v/>
      </c>
      <c r="J253" s="83">
        <f>_xlfn.NORM.INV(RAND(),ASSUMPTIONS!$C$19,ASSUMPTIONS!$C$70)</f>
        <v/>
      </c>
      <c r="K253" s="83">
        <f>_xlfn.NORM.INV(RAND(),ASSUMPTIONS!$C$43,ASSUMPTIONS!$C$71)</f>
        <v/>
      </c>
      <c r="L253" s="84">
        <f>(((ASSUMPTIONS!$C$18*J253*(1-ASSUMPTIONS!$C$20)+ASSUMPTIONS!$C$18*ASSUMPTIONS!$C$21-ASSUMPTIONS!$C$18*ASSUMPTIONS!$C$22)*(1+H253)*(1-((1+H253)/(1+I253))^5)/(I253-H253))+((ASSUMPTIONS!$C$18*J253*(1-ASSUMPTIONS!$C$20)+ASSUMPTIONS!$C$18*ASSUMPTIONS!$C$21-ASSUMPTIONS!$C$18*ASSUMPTIONS!$C$22)*(1+H253)^5*(1+K253)/(I253-K253)/(1+I253)^5)-DCF!$C$12)/ASSUMPTIONS!$C$7</f>
        <v/>
      </c>
    </row>
    <row r="254">
      <c r="H254" s="83">
        <f>_xlfn.NORM.INV(RAND(),AVERAGE(ASSUMPTIONS!$C$38,ASSUMPTIONS!$C$39,ASSUMPTIONS!$C$40,ASSUMPTIONS!$C$41,ASSUMPTIONS!$C$42),ASSUMPTIONS!$C$68)</f>
        <v/>
      </c>
      <c r="I254" s="83">
        <f>MAX(_xlfn.NORM.INV(RAND(),DCF!$C$11,ASSUMPTIONS!$C$69),K254+0.005)</f>
        <v/>
      </c>
      <c r="J254" s="83">
        <f>_xlfn.NORM.INV(RAND(),ASSUMPTIONS!$C$19,ASSUMPTIONS!$C$70)</f>
        <v/>
      </c>
      <c r="K254" s="83">
        <f>_xlfn.NORM.INV(RAND(),ASSUMPTIONS!$C$43,ASSUMPTIONS!$C$71)</f>
        <v/>
      </c>
      <c r="L254" s="84">
        <f>(((ASSUMPTIONS!$C$18*J254*(1-ASSUMPTIONS!$C$20)+ASSUMPTIONS!$C$18*ASSUMPTIONS!$C$21-ASSUMPTIONS!$C$18*ASSUMPTIONS!$C$22)*(1+H254)*(1-((1+H254)/(1+I254))^5)/(I254-H254))+((ASSUMPTIONS!$C$18*J254*(1-ASSUMPTIONS!$C$20)+ASSUMPTIONS!$C$18*ASSUMPTIONS!$C$21-ASSUMPTIONS!$C$18*ASSUMPTIONS!$C$22)*(1+H254)^5*(1+K254)/(I254-K254)/(1+I254)^5)-DCF!$C$12)/ASSUMPTIONS!$C$7</f>
        <v/>
      </c>
    </row>
    <row r="255">
      <c r="H255" s="83">
        <f>_xlfn.NORM.INV(RAND(),AVERAGE(ASSUMPTIONS!$C$38,ASSUMPTIONS!$C$39,ASSUMPTIONS!$C$40,ASSUMPTIONS!$C$41,ASSUMPTIONS!$C$42),ASSUMPTIONS!$C$68)</f>
        <v/>
      </c>
      <c r="I255" s="83">
        <f>MAX(_xlfn.NORM.INV(RAND(),DCF!$C$11,ASSUMPTIONS!$C$69),K255+0.005)</f>
        <v/>
      </c>
      <c r="J255" s="83">
        <f>_xlfn.NORM.INV(RAND(),ASSUMPTIONS!$C$19,ASSUMPTIONS!$C$70)</f>
        <v/>
      </c>
      <c r="K255" s="83">
        <f>_xlfn.NORM.INV(RAND(),ASSUMPTIONS!$C$43,ASSUMPTIONS!$C$71)</f>
        <v/>
      </c>
      <c r="L255" s="84">
        <f>(((ASSUMPTIONS!$C$18*J255*(1-ASSUMPTIONS!$C$20)+ASSUMPTIONS!$C$18*ASSUMPTIONS!$C$21-ASSUMPTIONS!$C$18*ASSUMPTIONS!$C$22)*(1+H255)*(1-((1+H255)/(1+I255))^5)/(I255-H255))+((ASSUMPTIONS!$C$18*J255*(1-ASSUMPTIONS!$C$20)+ASSUMPTIONS!$C$18*ASSUMPTIONS!$C$21-ASSUMPTIONS!$C$18*ASSUMPTIONS!$C$22)*(1+H255)^5*(1+K255)/(I255-K255)/(1+I255)^5)-DCF!$C$12)/ASSUMPTIONS!$C$7</f>
        <v/>
      </c>
    </row>
    <row r="256">
      <c r="H256" s="83">
        <f>_xlfn.NORM.INV(RAND(),AVERAGE(ASSUMPTIONS!$C$38,ASSUMPTIONS!$C$39,ASSUMPTIONS!$C$40,ASSUMPTIONS!$C$41,ASSUMPTIONS!$C$42),ASSUMPTIONS!$C$68)</f>
        <v/>
      </c>
      <c r="I256" s="83">
        <f>MAX(_xlfn.NORM.INV(RAND(),DCF!$C$11,ASSUMPTIONS!$C$69),K256+0.005)</f>
        <v/>
      </c>
      <c r="J256" s="83">
        <f>_xlfn.NORM.INV(RAND(),ASSUMPTIONS!$C$19,ASSUMPTIONS!$C$70)</f>
        <v/>
      </c>
      <c r="K256" s="83">
        <f>_xlfn.NORM.INV(RAND(),ASSUMPTIONS!$C$43,ASSUMPTIONS!$C$71)</f>
        <v/>
      </c>
      <c r="L256" s="84">
        <f>(((ASSUMPTIONS!$C$18*J256*(1-ASSUMPTIONS!$C$20)+ASSUMPTIONS!$C$18*ASSUMPTIONS!$C$21-ASSUMPTIONS!$C$18*ASSUMPTIONS!$C$22)*(1+H256)*(1-((1+H256)/(1+I256))^5)/(I256-H256))+((ASSUMPTIONS!$C$18*J256*(1-ASSUMPTIONS!$C$20)+ASSUMPTIONS!$C$18*ASSUMPTIONS!$C$21-ASSUMPTIONS!$C$18*ASSUMPTIONS!$C$22)*(1+H256)^5*(1+K256)/(I256-K256)/(1+I256)^5)-DCF!$C$12)/ASSUMPTIONS!$C$7</f>
        <v/>
      </c>
    </row>
    <row r="257">
      <c r="H257" s="83">
        <f>_xlfn.NORM.INV(RAND(),AVERAGE(ASSUMPTIONS!$C$38,ASSUMPTIONS!$C$39,ASSUMPTIONS!$C$40,ASSUMPTIONS!$C$41,ASSUMPTIONS!$C$42),ASSUMPTIONS!$C$68)</f>
        <v/>
      </c>
      <c r="I257" s="83">
        <f>MAX(_xlfn.NORM.INV(RAND(),DCF!$C$11,ASSUMPTIONS!$C$69),K257+0.005)</f>
        <v/>
      </c>
      <c r="J257" s="83">
        <f>_xlfn.NORM.INV(RAND(),ASSUMPTIONS!$C$19,ASSUMPTIONS!$C$70)</f>
        <v/>
      </c>
      <c r="K257" s="83">
        <f>_xlfn.NORM.INV(RAND(),ASSUMPTIONS!$C$43,ASSUMPTIONS!$C$71)</f>
        <v/>
      </c>
      <c r="L257" s="84">
        <f>(((ASSUMPTIONS!$C$18*J257*(1-ASSUMPTIONS!$C$20)+ASSUMPTIONS!$C$18*ASSUMPTIONS!$C$21-ASSUMPTIONS!$C$18*ASSUMPTIONS!$C$22)*(1+H257)*(1-((1+H257)/(1+I257))^5)/(I257-H257))+((ASSUMPTIONS!$C$18*J257*(1-ASSUMPTIONS!$C$20)+ASSUMPTIONS!$C$18*ASSUMPTIONS!$C$21-ASSUMPTIONS!$C$18*ASSUMPTIONS!$C$22)*(1+H257)^5*(1+K257)/(I257-K257)/(1+I257)^5)-DCF!$C$12)/ASSUMPTIONS!$C$7</f>
        <v/>
      </c>
    </row>
    <row r="258">
      <c r="H258" s="83">
        <f>_xlfn.NORM.INV(RAND(),AVERAGE(ASSUMPTIONS!$C$38,ASSUMPTIONS!$C$39,ASSUMPTIONS!$C$40,ASSUMPTIONS!$C$41,ASSUMPTIONS!$C$42),ASSUMPTIONS!$C$68)</f>
        <v/>
      </c>
      <c r="I258" s="83">
        <f>MAX(_xlfn.NORM.INV(RAND(),DCF!$C$11,ASSUMPTIONS!$C$69),K258+0.005)</f>
        <v/>
      </c>
      <c r="J258" s="83">
        <f>_xlfn.NORM.INV(RAND(),ASSUMPTIONS!$C$19,ASSUMPTIONS!$C$70)</f>
        <v/>
      </c>
      <c r="K258" s="83">
        <f>_xlfn.NORM.INV(RAND(),ASSUMPTIONS!$C$43,ASSUMPTIONS!$C$71)</f>
        <v/>
      </c>
      <c r="L258" s="84">
        <f>(((ASSUMPTIONS!$C$18*J258*(1-ASSUMPTIONS!$C$20)+ASSUMPTIONS!$C$18*ASSUMPTIONS!$C$21-ASSUMPTIONS!$C$18*ASSUMPTIONS!$C$22)*(1+H258)*(1-((1+H258)/(1+I258))^5)/(I258-H258))+((ASSUMPTIONS!$C$18*J258*(1-ASSUMPTIONS!$C$20)+ASSUMPTIONS!$C$18*ASSUMPTIONS!$C$21-ASSUMPTIONS!$C$18*ASSUMPTIONS!$C$22)*(1+H258)^5*(1+K258)/(I258-K258)/(1+I258)^5)-DCF!$C$12)/ASSUMPTIONS!$C$7</f>
        <v/>
      </c>
    </row>
    <row r="259">
      <c r="H259" s="83">
        <f>_xlfn.NORM.INV(RAND(),AVERAGE(ASSUMPTIONS!$C$38,ASSUMPTIONS!$C$39,ASSUMPTIONS!$C$40,ASSUMPTIONS!$C$41,ASSUMPTIONS!$C$42),ASSUMPTIONS!$C$68)</f>
        <v/>
      </c>
      <c r="I259" s="83">
        <f>MAX(_xlfn.NORM.INV(RAND(),DCF!$C$11,ASSUMPTIONS!$C$69),K259+0.005)</f>
        <v/>
      </c>
      <c r="J259" s="83">
        <f>_xlfn.NORM.INV(RAND(),ASSUMPTIONS!$C$19,ASSUMPTIONS!$C$70)</f>
        <v/>
      </c>
      <c r="K259" s="83">
        <f>_xlfn.NORM.INV(RAND(),ASSUMPTIONS!$C$43,ASSUMPTIONS!$C$71)</f>
        <v/>
      </c>
      <c r="L259" s="84">
        <f>(((ASSUMPTIONS!$C$18*J259*(1-ASSUMPTIONS!$C$20)+ASSUMPTIONS!$C$18*ASSUMPTIONS!$C$21-ASSUMPTIONS!$C$18*ASSUMPTIONS!$C$22)*(1+H259)*(1-((1+H259)/(1+I259))^5)/(I259-H259))+((ASSUMPTIONS!$C$18*J259*(1-ASSUMPTIONS!$C$20)+ASSUMPTIONS!$C$18*ASSUMPTIONS!$C$21-ASSUMPTIONS!$C$18*ASSUMPTIONS!$C$22)*(1+H259)^5*(1+K259)/(I259-K259)/(1+I259)^5)-DCF!$C$12)/ASSUMPTIONS!$C$7</f>
        <v/>
      </c>
    </row>
    <row r="260">
      <c r="H260" s="83">
        <f>_xlfn.NORM.INV(RAND(),AVERAGE(ASSUMPTIONS!$C$38,ASSUMPTIONS!$C$39,ASSUMPTIONS!$C$40,ASSUMPTIONS!$C$41,ASSUMPTIONS!$C$42),ASSUMPTIONS!$C$68)</f>
        <v/>
      </c>
      <c r="I260" s="83">
        <f>MAX(_xlfn.NORM.INV(RAND(),DCF!$C$11,ASSUMPTIONS!$C$69),K260+0.005)</f>
        <v/>
      </c>
      <c r="J260" s="83">
        <f>_xlfn.NORM.INV(RAND(),ASSUMPTIONS!$C$19,ASSUMPTIONS!$C$70)</f>
        <v/>
      </c>
      <c r="K260" s="83">
        <f>_xlfn.NORM.INV(RAND(),ASSUMPTIONS!$C$43,ASSUMPTIONS!$C$71)</f>
        <v/>
      </c>
      <c r="L260" s="84">
        <f>(((ASSUMPTIONS!$C$18*J260*(1-ASSUMPTIONS!$C$20)+ASSUMPTIONS!$C$18*ASSUMPTIONS!$C$21-ASSUMPTIONS!$C$18*ASSUMPTIONS!$C$22)*(1+H260)*(1-((1+H260)/(1+I260))^5)/(I260-H260))+((ASSUMPTIONS!$C$18*J260*(1-ASSUMPTIONS!$C$20)+ASSUMPTIONS!$C$18*ASSUMPTIONS!$C$21-ASSUMPTIONS!$C$18*ASSUMPTIONS!$C$22)*(1+H260)^5*(1+K260)/(I260-K260)/(1+I260)^5)-DCF!$C$12)/ASSUMPTIONS!$C$7</f>
        <v/>
      </c>
    </row>
    <row r="261">
      <c r="H261" s="83">
        <f>_xlfn.NORM.INV(RAND(),AVERAGE(ASSUMPTIONS!$C$38,ASSUMPTIONS!$C$39,ASSUMPTIONS!$C$40,ASSUMPTIONS!$C$41,ASSUMPTIONS!$C$42),ASSUMPTIONS!$C$68)</f>
        <v/>
      </c>
      <c r="I261" s="83">
        <f>MAX(_xlfn.NORM.INV(RAND(),DCF!$C$11,ASSUMPTIONS!$C$69),K261+0.005)</f>
        <v/>
      </c>
      <c r="J261" s="83">
        <f>_xlfn.NORM.INV(RAND(),ASSUMPTIONS!$C$19,ASSUMPTIONS!$C$70)</f>
        <v/>
      </c>
      <c r="K261" s="83">
        <f>_xlfn.NORM.INV(RAND(),ASSUMPTIONS!$C$43,ASSUMPTIONS!$C$71)</f>
        <v/>
      </c>
      <c r="L261" s="84">
        <f>(((ASSUMPTIONS!$C$18*J261*(1-ASSUMPTIONS!$C$20)+ASSUMPTIONS!$C$18*ASSUMPTIONS!$C$21-ASSUMPTIONS!$C$18*ASSUMPTIONS!$C$22)*(1+H261)*(1-((1+H261)/(1+I261))^5)/(I261-H261))+((ASSUMPTIONS!$C$18*J261*(1-ASSUMPTIONS!$C$20)+ASSUMPTIONS!$C$18*ASSUMPTIONS!$C$21-ASSUMPTIONS!$C$18*ASSUMPTIONS!$C$22)*(1+H261)^5*(1+K261)/(I261-K261)/(1+I261)^5)-DCF!$C$12)/ASSUMPTIONS!$C$7</f>
        <v/>
      </c>
    </row>
    <row r="262">
      <c r="H262" s="83">
        <f>_xlfn.NORM.INV(RAND(),AVERAGE(ASSUMPTIONS!$C$38,ASSUMPTIONS!$C$39,ASSUMPTIONS!$C$40,ASSUMPTIONS!$C$41,ASSUMPTIONS!$C$42),ASSUMPTIONS!$C$68)</f>
        <v/>
      </c>
      <c r="I262" s="83">
        <f>MAX(_xlfn.NORM.INV(RAND(),DCF!$C$11,ASSUMPTIONS!$C$69),K262+0.005)</f>
        <v/>
      </c>
      <c r="J262" s="83">
        <f>_xlfn.NORM.INV(RAND(),ASSUMPTIONS!$C$19,ASSUMPTIONS!$C$70)</f>
        <v/>
      </c>
      <c r="K262" s="83">
        <f>_xlfn.NORM.INV(RAND(),ASSUMPTIONS!$C$43,ASSUMPTIONS!$C$71)</f>
        <v/>
      </c>
      <c r="L262" s="84">
        <f>(((ASSUMPTIONS!$C$18*J262*(1-ASSUMPTIONS!$C$20)+ASSUMPTIONS!$C$18*ASSUMPTIONS!$C$21-ASSUMPTIONS!$C$18*ASSUMPTIONS!$C$22)*(1+H262)*(1-((1+H262)/(1+I262))^5)/(I262-H262))+((ASSUMPTIONS!$C$18*J262*(1-ASSUMPTIONS!$C$20)+ASSUMPTIONS!$C$18*ASSUMPTIONS!$C$21-ASSUMPTIONS!$C$18*ASSUMPTIONS!$C$22)*(1+H262)^5*(1+K262)/(I262-K262)/(1+I262)^5)-DCF!$C$12)/ASSUMPTIONS!$C$7</f>
        <v/>
      </c>
    </row>
    <row r="263">
      <c r="H263" s="83">
        <f>_xlfn.NORM.INV(RAND(),AVERAGE(ASSUMPTIONS!$C$38,ASSUMPTIONS!$C$39,ASSUMPTIONS!$C$40,ASSUMPTIONS!$C$41,ASSUMPTIONS!$C$42),ASSUMPTIONS!$C$68)</f>
        <v/>
      </c>
      <c r="I263" s="83">
        <f>MAX(_xlfn.NORM.INV(RAND(),DCF!$C$11,ASSUMPTIONS!$C$69),K263+0.005)</f>
        <v/>
      </c>
      <c r="J263" s="83">
        <f>_xlfn.NORM.INV(RAND(),ASSUMPTIONS!$C$19,ASSUMPTIONS!$C$70)</f>
        <v/>
      </c>
      <c r="K263" s="83">
        <f>_xlfn.NORM.INV(RAND(),ASSUMPTIONS!$C$43,ASSUMPTIONS!$C$71)</f>
        <v/>
      </c>
      <c r="L263" s="84">
        <f>(((ASSUMPTIONS!$C$18*J263*(1-ASSUMPTIONS!$C$20)+ASSUMPTIONS!$C$18*ASSUMPTIONS!$C$21-ASSUMPTIONS!$C$18*ASSUMPTIONS!$C$22)*(1+H263)*(1-((1+H263)/(1+I263))^5)/(I263-H263))+((ASSUMPTIONS!$C$18*J263*(1-ASSUMPTIONS!$C$20)+ASSUMPTIONS!$C$18*ASSUMPTIONS!$C$21-ASSUMPTIONS!$C$18*ASSUMPTIONS!$C$22)*(1+H263)^5*(1+K263)/(I263-K263)/(1+I263)^5)-DCF!$C$12)/ASSUMPTIONS!$C$7</f>
        <v/>
      </c>
    </row>
    <row r="264">
      <c r="H264" s="83">
        <f>_xlfn.NORM.INV(RAND(),AVERAGE(ASSUMPTIONS!$C$38,ASSUMPTIONS!$C$39,ASSUMPTIONS!$C$40,ASSUMPTIONS!$C$41,ASSUMPTIONS!$C$42),ASSUMPTIONS!$C$68)</f>
        <v/>
      </c>
      <c r="I264" s="83">
        <f>MAX(_xlfn.NORM.INV(RAND(),DCF!$C$11,ASSUMPTIONS!$C$69),K264+0.005)</f>
        <v/>
      </c>
      <c r="J264" s="83">
        <f>_xlfn.NORM.INV(RAND(),ASSUMPTIONS!$C$19,ASSUMPTIONS!$C$70)</f>
        <v/>
      </c>
      <c r="K264" s="83">
        <f>_xlfn.NORM.INV(RAND(),ASSUMPTIONS!$C$43,ASSUMPTIONS!$C$71)</f>
        <v/>
      </c>
      <c r="L264" s="84">
        <f>(((ASSUMPTIONS!$C$18*J264*(1-ASSUMPTIONS!$C$20)+ASSUMPTIONS!$C$18*ASSUMPTIONS!$C$21-ASSUMPTIONS!$C$18*ASSUMPTIONS!$C$22)*(1+H264)*(1-((1+H264)/(1+I264))^5)/(I264-H264))+((ASSUMPTIONS!$C$18*J264*(1-ASSUMPTIONS!$C$20)+ASSUMPTIONS!$C$18*ASSUMPTIONS!$C$21-ASSUMPTIONS!$C$18*ASSUMPTIONS!$C$22)*(1+H264)^5*(1+K264)/(I264-K264)/(1+I264)^5)-DCF!$C$12)/ASSUMPTIONS!$C$7</f>
        <v/>
      </c>
    </row>
    <row r="265">
      <c r="H265" s="83">
        <f>_xlfn.NORM.INV(RAND(),AVERAGE(ASSUMPTIONS!$C$38,ASSUMPTIONS!$C$39,ASSUMPTIONS!$C$40,ASSUMPTIONS!$C$41,ASSUMPTIONS!$C$42),ASSUMPTIONS!$C$68)</f>
        <v/>
      </c>
      <c r="I265" s="83">
        <f>MAX(_xlfn.NORM.INV(RAND(),DCF!$C$11,ASSUMPTIONS!$C$69),K265+0.005)</f>
        <v/>
      </c>
      <c r="J265" s="83">
        <f>_xlfn.NORM.INV(RAND(),ASSUMPTIONS!$C$19,ASSUMPTIONS!$C$70)</f>
        <v/>
      </c>
      <c r="K265" s="83">
        <f>_xlfn.NORM.INV(RAND(),ASSUMPTIONS!$C$43,ASSUMPTIONS!$C$71)</f>
        <v/>
      </c>
      <c r="L265" s="84">
        <f>(((ASSUMPTIONS!$C$18*J265*(1-ASSUMPTIONS!$C$20)+ASSUMPTIONS!$C$18*ASSUMPTIONS!$C$21-ASSUMPTIONS!$C$18*ASSUMPTIONS!$C$22)*(1+H265)*(1-((1+H265)/(1+I265))^5)/(I265-H265))+((ASSUMPTIONS!$C$18*J265*(1-ASSUMPTIONS!$C$20)+ASSUMPTIONS!$C$18*ASSUMPTIONS!$C$21-ASSUMPTIONS!$C$18*ASSUMPTIONS!$C$22)*(1+H265)^5*(1+K265)/(I265-K265)/(1+I265)^5)-DCF!$C$12)/ASSUMPTIONS!$C$7</f>
        <v/>
      </c>
    </row>
    <row r="266">
      <c r="H266" s="83">
        <f>_xlfn.NORM.INV(RAND(),AVERAGE(ASSUMPTIONS!$C$38,ASSUMPTIONS!$C$39,ASSUMPTIONS!$C$40,ASSUMPTIONS!$C$41,ASSUMPTIONS!$C$42),ASSUMPTIONS!$C$68)</f>
        <v/>
      </c>
      <c r="I266" s="83">
        <f>MAX(_xlfn.NORM.INV(RAND(),DCF!$C$11,ASSUMPTIONS!$C$69),K266+0.005)</f>
        <v/>
      </c>
      <c r="J266" s="83">
        <f>_xlfn.NORM.INV(RAND(),ASSUMPTIONS!$C$19,ASSUMPTIONS!$C$70)</f>
        <v/>
      </c>
      <c r="K266" s="83">
        <f>_xlfn.NORM.INV(RAND(),ASSUMPTIONS!$C$43,ASSUMPTIONS!$C$71)</f>
        <v/>
      </c>
      <c r="L266" s="84">
        <f>(((ASSUMPTIONS!$C$18*J266*(1-ASSUMPTIONS!$C$20)+ASSUMPTIONS!$C$18*ASSUMPTIONS!$C$21-ASSUMPTIONS!$C$18*ASSUMPTIONS!$C$22)*(1+H266)*(1-((1+H266)/(1+I266))^5)/(I266-H266))+((ASSUMPTIONS!$C$18*J266*(1-ASSUMPTIONS!$C$20)+ASSUMPTIONS!$C$18*ASSUMPTIONS!$C$21-ASSUMPTIONS!$C$18*ASSUMPTIONS!$C$22)*(1+H266)^5*(1+K266)/(I266-K266)/(1+I266)^5)-DCF!$C$12)/ASSUMPTIONS!$C$7</f>
        <v/>
      </c>
    </row>
    <row r="267">
      <c r="H267" s="83">
        <f>_xlfn.NORM.INV(RAND(),AVERAGE(ASSUMPTIONS!$C$38,ASSUMPTIONS!$C$39,ASSUMPTIONS!$C$40,ASSUMPTIONS!$C$41,ASSUMPTIONS!$C$42),ASSUMPTIONS!$C$68)</f>
        <v/>
      </c>
      <c r="I267" s="83">
        <f>MAX(_xlfn.NORM.INV(RAND(),DCF!$C$11,ASSUMPTIONS!$C$69),K267+0.005)</f>
        <v/>
      </c>
      <c r="J267" s="83">
        <f>_xlfn.NORM.INV(RAND(),ASSUMPTIONS!$C$19,ASSUMPTIONS!$C$70)</f>
        <v/>
      </c>
      <c r="K267" s="83">
        <f>_xlfn.NORM.INV(RAND(),ASSUMPTIONS!$C$43,ASSUMPTIONS!$C$71)</f>
        <v/>
      </c>
      <c r="L267" s="84">
        <f>(((ASSUMPTIONS!$C$18*J267*(1-ASSUMPTIONS!$C$20)+ASSUMPTIONS!$C$18*ASSUMPTIONS!$C$21-ASSUMPTIONS!$C$18*ASSUMPTIONS!$C$22)*(1+H267)*(1-((1+H267)/(1+I267))^5)/(I267-H267))+((ASSUMPTIONS!$C$18*J267*(1-ASSUMPTIONS!$C$20)+ASSUMPTIONS!$C$18*ASSUMPTIONS!$C$21-ASSUMPTIONS!$C$18*ASSUMPTIONS!$C$22)*(1+H267)^5*(1+K267)/(I267-K267)/(1+I267)^5)-DCF!$C$12)/ASSUMPTIONS!$C$7</f>
        <v/>
      </c>
    </row>
    <row r="268">
      <c r="H268" s="83">
        <f>_xlfn.NORM.INV(RAND(),AVERAGE(ASSUMPTIONS!$C$38,ASSUMPTIONS!$C$39,ASSUMPTIONS!$C$40,ASSUMPTIONS!$C$41,ASSUMPTIONS!$C$42),ASSUMPTIONS!$C$68)</f>
        <v/>
      </c>
      <c r="I268" s="83">
        <f>MAX(_xlfn.NORM.INV(RAND(),DCF!$C$11,ASSUMPTIONS!$C$69),K268+0.005)</f>
        <v/>
      </c>
      <c r="J268" s="83">
        <f>_xlfn.NORM.INV(RAND(),ASSUMPTIONS!$C$19,ASSUMPTIONS!$C$70)</f>
        <v/>
      </c>
      <c r="K268" s="83">
        <f>_xlfn.NORM.INV(RAND(),ASSUMPTIONS!$C$43,ASSUMPTIONS!$C$71)</f>
        <v/>
      </c>
      <c r="L268" s="84">
        <f>(((ASSUMPTIONS!$C$18*J268*(1-ASSUMPTIONS!$C$20)+ASSUMPTIONS!$C$18*ASSUMPTIONS!$C$21-ASSUMPTIONS!$C$18*ASSUMPTIONS!$C$22)*(1+H268)*(1-((1+H268)/(1+I268))^5)/(I268-H268))+((ASSUMPTIONS!$C$18*J268*(1-ASSUMPTIONS!$C$20)+ASSUMPTIONS!$C$18*ASSUMPTIONS!$C$21-ASSUMPTIONS!$C$18*ASSUMPTIONS!$C$22)*(1+H268)^5*(1+K268)/(I268-K268)/(1+I268)^5)-DCF!$C$12)/ASSUMPTIONS!$C$7</f>
        <v/>
      </c>
    </row>
    <row r="269">
      <c r="H269" s="83">
        <f>_xlfn.NORM.INV(RAND(),AVERAGE(ASSUMPTIONS!$C$38,ASSUMPTIONS!$C$39,ASSUMPTIONS!$C$40,ASSUMPTIONS!$C$41,ASSUMPTIONS!$C$42),ASSUMPTIONS!$C$68)</f>
        <v/>
      </c>
      <c r="I269" s="83">
        <f>MAX(_xlfn.NORM.INV(RAND(),DCF!$C$11,ASSUMPTIONS!$C$69),K269+0.005)</f>
        <v/>
      </c>
      <c r="J269" s="83">
        <f>_xlfn.NORM.INV(RAND(),ASSUMPTIONS!$C$19,ASSUMPTIONS!$C$70)</f>
        <v/>
      </c>
      <c r="K269" s="83">
        <f>_xlfn.NORM.INV(RAND(),ASSUMPTIONS!$C$43,ASSUMPTIONS!$C$71)</f>
        <v/>
      </c>
      <c r="L269" s="84">
        <f>(((ASSUMPTIONS!$C$18*J269*(1-ASSUMPTIONS!$C$20)+ASSUMPTIONS!$C$18*ASSUMPTIONS!$C$21-ASSUMPTIONS!$C$18*ASSUMPTIONS!$C$22)*(1+H269)*(1-((1+H269)/(1+I269))^5)/(I269-H269))+((ASSUMPTIONS!$C$18*J269*(1-ASSUMPTIONS!$C$20)+ASSUMPTIONS!$C$18*ASSUMPTIONS!$C$21-ASSUMPTIONS!$C$18*ASSUMPTIONS!$C$22)*(1+H269)^5*(1+K269)/(I269-K269)/(1+I269)^5)-DCF!$C$12)/ASSUMPTIONS!$C$7</f>
        <v/>
      </c>
    </row>
    <row r="270">
      <c r="H270" s="83">
        <f>_xlfn.NORM.INV(RAND(),AVERAGE(ASSUMPTIONS!$C$38,ASSUMPTIONS!$C$39,ASSUMPTIONS!$C$40,ASSUMPTIONS!$C$41,ASSUMPTIONS!$C$42),ASSUMPTIONS!$C$68)</f>
        <v/>
      </c>
      <c r="I270" s="83">
        <f>MAX(_xlfn.NORM.INV(RAND(),DCF!$C$11,ASSUMPTIONS!$C$69),K270+0.005)</f>
        <v/>
      </c>
      <c r="J270" s="83">
        <f>_xlfn.NORM.INV(RAND(),ASSUMPTIONS!$C$19,ASSUMPTIONS!$C$70)</f>
        <v/>
      </c>
      <c r="K270" s="83">
        <f>_xlfn.NORM.INV(RAND(),ASSUMPTIONS!$C$43,ASSUMPTIONS!$C$71)</f>
        <v/>
      </c>
      <c r="L270" s="84">
        <f>(((ASSUMPTIONS!$C$18*J270*(1-ASSUMPTIONS!$C$20)+ASSUMPTIONS!$C$18*ASSUMPTIONS!$C$21-ASSUMPTIONS!$C$18*ASSUMPTIONS!$C$22)*(1+H270)*(1-((1+H270)/(1+I270))^5)/(I270-H270))+((ASSUMPTIONS!$C$18*J270*(1-ASSUMPTIONS!$C$20)+ASSUMPTIONS!$C$18*ASSUMPTIONS!$C$21-ASSUMPTIONS!$C$18*ASSUMPTIONS!$C$22)*(1+H270)^5*(1+K270)/(I270-K270)/(1+I270)^5)-DCF!$C$12)/ASSUMPTIONS!$C$7</f>
        <v/>
      </c>
    </row>
    <row r="271">
      <c r="H271" s="83">
        <f>_xlfn.NORM.INV(RAND(),AVERAGE(ASSUMPTIONS!$C$38,ASSUMPTIONS!$C$39,ASSUMPTIONS!$C$40,ASSUMPTIONS!$C$41,ASSUMPTIONS!$C$42),ASSUMPTIONS!$C$68)</f>
        <v/>
      </c>
      <c r="I271" s="83">
        <f>MAX(_xlfn.NORM.INV(RAND(),DCF!$C$11,ASSUMPTIONS!$C$69),K271+0.005)</f>
        <v/>
      </c>
      <c r="J271" s="83">
        <f>_xlfn.NORM.INV(RAND(),ASSUMPTIONS!$C$19,ASSUMPTIONS!$C$70)</f>
        <v/>
      </c>
      <c r="K271" s="83">
        <f>_xlfn.NORM.INV(RAND(),ASSUMPTIONS!$C$43,ASSUMPTIONS!$C$71)</f>
        <v/>
      </c>
      <c r="L271" s="84">
        <f>(((ASSUMPTIONS!$C$18*J271*(1-ASSUMPTIONS!$C$20)+ASSUMPTIONS!$C$18*ASSUMPTIONS!$C$21-ASSUMPTIONS!$C$18*ASSUMPTIONS!$C$22)*(1+H271)*(1-((1+H271)/(1+I271))^5)/(I271-H271))+((ASSUMPTIONS!$C$18*J271*(1-ASSUMPTIONS!$C$20)+ASSUMPTIONS!$C$18*ASSUMPTIONS!$C$21-ASSUMPTIONS!$C$18*ASSUMPTIONS!$C$22)*(1+H271)^5*(1+K271)/(I271-K271)/(1+I271)^5)-DCF!$C$12)/ASSUMPTIONS!$C$7</f>
        <v/>
      </c>
    </row>
    <row r="272">
      <c r="H272" s="83">
        <f>_xlfn.NORM.INV(RAND(),AVERAGE(ASSUMPTIONS!$C$38,ASSUMPTIONS!$C$39,ASSUMPTIONS!$C$40,ASSUMPTIONS!$C$41,ASSUMPTIONS!$C$42),ASSUMPTIONS!$C$68)</f>
        <v/>
      </c>
      <c r="I272" s="83">
        <f>MAX(_xlfn.NORM.INV(RAND(),DCF!$C$11,ASSUMPTIONS!$C$69),K272+0.005)</f>
        <v/>
      </c>
      <c r="J272" s="83">
        <f>_xlfn.NORM.INV(RAND(),ASSUMPTIONS!$C$19,ASSUMPTIONS!$C$70)</f>
        <v/>
      </c>
      <c r="K272" s="83">
        <f>_xlfn.NORM.INV(RAND(),ASSUMPTIONS!$C$43,ASSUMPTIONS!$C$71)</f>
        <v/>
      </c>
      <c r="L272" s="84">
        <f>(((ASSUMPTIONS!$C$18*J272*(1-ASSUMPTIONS!$C$20)+ASSUMPTIONS!$C$18*ASSUMPTIONS!$C$21-ASSUMPTIONS!$C$18*ASSUMPTIONS!$C$22)*(1+H272)*(1-((1+H272)/(1+I272))^5)/(I272-H272))+((ASSUMPTIONS!$C$18*J272*(1-ASSUMPTIONS!$C$20)+ASSUMPTIONS!$C$18*ASSUMPTIONS!$C$21-ASSUMPTIONS!$C$18*ASSUMPTIONS!$C$22)*(1+H272)^5*(1+K272)/(I272-K272)/(1+I272)^5)-DCF!$C$12)/ASSUMPTIONS!$C$7</f>
        <v/>
      </c>
    </row>
    <row r="273">
      <c r="H273" s="83">
        <f>_xlfn.NORM.INV(RAND(),AVERAGE(ASSUMPTIONS!$C$38,ASSUMPTIONS!$C$39,ASSUMPTIONS!$C$40,ASSUMPTIONS!$C$41,ASSUMPTIONS!$C$42),ASSUMPTIONS!$C$68)</f>
        <v/>
      </c>
      <c r="I273" s="83">
        <f>MAX(_xlfn.NORM.INV(RAND(),DCF!$C$11,ASSUMPTIONS!$C$69),K273+0.005)</f>
        <v/>
      </c>
      <c r="J273" s="83">
        <f>_xlfn.NORM.INV(RAND(),ASSUMPTIONS!$C$19,ASSUMPTIONS!$C$70)</f>
        <v/>
      </c>
      <c r="K273" s="83">
        <f>_xlfn.NORM.INV(RAND(),ASSUMPTIONS!$C$43,ASSUMPTIONS!$C$71)</f>
        <v/>
      </c>
      <c r="L273" s="84">
        <f>(((ASSUMPTIONS!$C$18*J273*(1-ASSUMPTIONS!$C$20)+ASSUMPTIONS!$C$18*ASSUMPTIONS!$C$21-ASSUMPTIONS!$C$18*ASSUMPTIONS!$C$22)*(1+H273)*(1-((1+H273)/(1+I273))^5)/(I273-H273))+((ASSUMPTIONS!$C$18*J273*(1-ASSUMPTIONS!$C$20)+ASSUMPTIONS!$C$18*ASSUMPTIONS!$C$21-ASSUMPTIONS!$C$18*ASSUMPTIONS!$C$22)*(1+H273)^5*(1+K273)/(I273-K273)/(1+I273)^5)-DCF!$C$12)/ASSUMPTIONS!$C$7</f>
        <v/>
      </c>
    </row>
    <row r="274">
      <c r="H274" s="83">
        <f>_xlfn.NORM.INV(RAND(),AVERAGE(ASSUMPTIONS!$C$38,ASSUMPTIONS!$C$39,ASSUMPTIONS!$C$40,ASSUMPTIONS!$C$41,ASSUMPTIONS!$C$42),ASSUMPTIONS!$C$68)</f>
        <v/>
      </c>
      <c r="I274" s="83">
        <f>MAX(_xlfn.NORM.INV(RAND(),DCF!$C$11,ASSUMPTIONS!$C$69),K274+0.005)</f>
        <v/>
      </c>
      <c r="J274" s="83">
        <f>_xlfn.NORM.INV(RAND(),ASSUMPTIONS!$C$19,ASSUMPTIONS!$C$70)</f>
        <v/>
      </c>
      <c r="K274" s="83">
        <f>_xlfn.NORM.INV(RAND(),ASSUMPTIONS!$C$43,ASSUMPTIONS!$C$71)</f>
        <v/>
      </c>
      <c r="L274" s="84">
        <f>(((ASSUMPTIONS!$C$18*J274*(1-ASSUMPTIONS!$C$20)+ASSUMPTIONS!$C$18*ASSUMPTIONS!$C$21-ASSUMPTIONS!$C$18*ASSUMPTIONS!$C$22)*(1+H274)*(1-((1+H274)/(1+I274))^5)/(I274-H274))+((ASSUMPTIONS!$C$18*J274*(1-ASSUMPTIONS!$C$20)+ASSUMPTIONS!$C$18*ASSUMPTIONS!$C$21-ASSUMPTIONS!$C$18*ASSUMPTIONS!$C$22)*(1+H274)^5*(1+K274)/(I274-K274)/(1+I274)^5)-DCF!$C$12)/ASSUMPTIONS!$C$7</f>
        <v/>
      </c>
    </row>
    <row r="275">
      <c r="H275" s="83">
        <f>_xlfn.NORM.INV(RAND(),AVERAGE(ASSUMPTIONS!$C$38,ASSUMPTIONS!$C$39,ASSUMPTIONS!$C$40,ASSUMPTIONS!$C$41,ASSUMPTIONS!$C$42),ASSUMPTIONS!$C$68)</f>
        <v/>
      </c>
      <c r="I275" s="83">
        <f>MAX(_xlfn.NORM.INV(RAND(),DCF!$C$11,ASSUMPTIONS!$C$69),K275+0.005)</f>
        <v/>
      </c>
      <c r="J275" s="83">
        <f>_xlfn.NORM.INV(RAND(),ASSUMPTIONS!$C$19,ASSUMPTIONS!$C$70)</f>
        <v/>
      </c>
      <c r="K275" s="83">
        <f>_xlfn.NORM.INV(RAND(),ASSUMPTIONS!$C$43,ASSUMPTIONS!$C$71)</f>
        <v/>
      </c>
      <c r="L275" s="84">
        <f>(((ASSUMPTIONS!$C$18*J275*(1-ASSUMPTIONS!$C$20)+ASSUMPTIONS!$C$18*ASSUMPTIONS!$C$21-ASSUMPTIONS!$C$18*ASSUMPTIONS!$C$22)*(1+H275)*(1-((1+H275)/(1+I275))^5)/(I275-H275))+((ASSUMPTIONS!$C$18*J275*(1-ASSUMPTIONS!$C$20)+ASSUMPTIONS!$C$18*ASSUMPTIONS!$C$21-ASSUMPTIONS!$C$18*ASSUMPTIONS!$C$22)*(1+H275)^5*(1+K275)/(I275-K275)/(1+I275)^5)-DCF!$C$12)/ASSUMPTIONS!$C$7</f>
        <v/>
      </c>
    </row>
    <row r="276">
      <c r="H276" s="83">
        <f>_xlfn.NORM.INV(RAND(),AVERAGE(ASSUMPTIONS!$C$38,ASSUMPTIONS!$C$39,ASSUMPTIONS!$C$40,ASSUMPTIONS!$C$41,ASSUMPTIONS!$C$42),ASSUMPTIONS!$C$68)</f>
        <v/>
      </c>
      <c r="I276" s="83">
        <f>MAX(_xlfn.NORM.INV(RAND(),DCF!$C$11,ASSUMPTIONS!$C$69),K276+0.005)</f>
        <v/>
      </c>
      <c r="J276" s="83">
        <f>_xlfn.NORM.INV(RAND(),ASSUMPTIONS!$C$19,ASSUMPTIONS!$C$70)</f>
        <v/>
      </c>
      <c r="K276" s="83">
        <f>_xlfn.NORM.INV(RAND(),ASSUMPTIONS!$C$43,ASSUMPTIONS!$C$71)</f>
        <v/>
      </c>
      <c r="L276" s="84">
        <f>(((ASSUMPTIONS!$C$18*J276*(1-ASSUMPTIONS!$C$20)+ASSUMPTIONS!$C$18*ASSUMPTIONS!$C$21-ASSUMPTIONS!$C$18*ASSUMPTIONS!$C$22)*(1+H276)*(1-((1+H276)/(1+I276))^5)/(I276-H276))+((ASSUMPTIONS!$C$18*J276*(1-ASSUMPTIONS!$C$20)+ASSUMPTIONS!$C$18*ASSUMPTIONS!$C$21-ASSUMPTIONS!$C$18*ASSUMPTIONS!$C$22)*(1+H276)^5*(1+K276)/(I276-K276)/(1+I276)^5)-DCF!$C$12)/ASSUMPTIONS!$C$7</f>
        <v/>
      </c>
    </row>
    <row r="277">
      <c r="H277" s="83">
        <f>_xlfn.NORM.INV(RAND(),AVERAGE(ASSUMPTIONS!$C$38,ASSUMPTIONS!$C$39,ASSUMPTIONS!$C$40,ASSUMPTIONS!$C$41,ASSUMPTIONS!$C$42),ASSUMPTIONS!$C$68)</f>
        <v/>
      </c>
      <c r="I277" s="83">
        <f>MAX(_xlfn.NORM.INV(RAND(),DCF!$C$11,ASSUMPTIONS!$C$69),K277+0.005)</f>
        <v/>
      </c>
      <c r="J277" s="83">
        <f>_xlfn.NORM.INV(RAND(),ASSUMPTIONS!$C$19,ASSUMPTIONS!$C$70)</f>
        <v/>
      </c>
      <c r="K277" s="83">
        <f>_xlfn.NORM.INV(RAND(),ASSUMPTIONS!$C$43,ASSUMPTIONS!$C$71)</f>
        <v/>
      </c>
      <c r="L277" s="84">
        <f>(((ASSUMPTIONS!$C$18*J277*(1-ASSUMPTIONS!$C$20)+ASSUMPTIONS!$C$18*ASSUMPTIONS!$C$21-ASSUMPTIONS!$C$18*ASSUMPTIONS!$C$22)*(1+H277)*(1-((1+H277)/(1+I277))^5)/(I277-H277))+((ASSUMPTIONS!$C$18*J277*(1-ASSUMPTIONS!$C$20)+ASSUMPTIONS!$C$18*ASSUMPTIONS!$C$21-ASSUMPTIONS!$C$18*ASSUMPTIONS!$C$22)*(1+H277)^5*(1+K277)/(I277-K277)/(1+I277)^5)-DCF!$C$12)/ASSUMPTIONS!$C$7</f>
        <v/>
      </c>
    </row>
    <row r="278">
      <c r="H278" s="83">
        <f>_xlfn.NORM.INV(RAND(),AVERAGE(ASSUMPTIONS!$C$38,ASSUMPTIONS!$C$39,ASSUMPTIONS!$C$40,ASSUMPTIONS!$C$41,ASSUMPTIONS!$C$42),ASSUMPTIONS!$C$68)</f>
        <v/>
      </c>
      <c r="I278" s="83">
        <f>MAX(_xlfn.NORM.INV(RAND(),DCF!$C$11,ASSUMPTIONS!$C$69),K278+0.005)</f>
        <v/>
      </c>
      <c r="J278" s="83">
        <f>_xlfn.NORM.INV(RAND(),ASSUMPTIONS!$C$19,ASSUMPTIONS!$C$70)</f>
        <v/>
      </c>
      <c r="K278" s="83">
        <f>_xlfn.NORM.INV(RAND(),ASSUMPTIONS!$C$43,ASSUMPTIONS!$C$71)</f>
        <v/>
      </c>
      <c r="L278" s="84">
        <f>(((ASSUMPTIONS!$C$18*J278*(1-ASSUMPTIONS!$C$20)+ASSUMPTIONS!$C$18*ASSUMPTIONS!$C$21-ASSUMPTIONS!$C$18*ASSUMPTIONS!$C$22)*(1+H278)*(1-((1+H278)/(1+I278))^5)/(I278-H278))+((ASSUMPTIONS!$C$18*J278*(1-ASSUMPTIONS!$C$20)+ASSUMPTIONS!$C$18*ASSUMPTIONS!$C$21-ASSUMPTIONS!$C$18*ASSUMPTIONS!$C$22)*(1+H278)^5*(1+K278)/(I278-K278)/(1+I278)^5)-DCF!$C$12)/ASSUMPTIONS!$C$7</f>
        <v/>
      </c>
    </row>
    <row r="279">
      <c r="H279" s="83">
        <f>_xlfn.NORM.INV(RAND(),AVERAGE(ASSUMPTIONS!$C$38,ASSUMPTIONS!$C$39,ASSUMPTIONS!$C$40,ASSUMPTIONS!$C$41,ASSUMPTIONS!$C$42),ASSUMPTIONS!$C$68)</f>
        <v/>
      </c>
      <c r="I279" s="83">
        <f>MAX(_xlfn.NORM.INV(RAND(),DCF!$C$11,ASSUMPTIONS!$C$69),K279+0.005)</f>
        <v/>
      </c>
      <c r="J279" s="83">
        <f>_xlfn.NORM.INV(RAND(),ASSUMPTIONS!$C$19,ASSUMPTIONS!$C$70)</f>
        <v/>
      </c>
      <c r="K279" s="83">
        <f>_xlfn.NORM.INV(RAND(),ASSUMPTIONS!$C$43,ASSUMPTIONS!$C$71)</f>
        <v/>
      </c>
      <c r="L279" s="84">
        <f>(((ASSUMPTIONS!$C$18*J279*(1-ASSUMPTIONS!$C$20)+ASSUMPTIONS!$C$18*ASSUMPTIONS!$C$21-ASSUMPTIONS!$C$18*ASSUMPTIONS!$C$22)*(1+H279)*(1-((1+H279)/(1+I279))^5)/(I279-H279))+((ASSUMPTIONS!$C$18*J279*(1-ASSUMPTIONS!$C$20)+ASSUMPTIONS!$C$18*ASSUMPTIONS!$C$21-ASSUMPTIONS!$C$18*ASSUMPTIONS!$C$22)*(1+H279)^5*(1+K279)/(I279-K279)/(1+I279)^5)-DCF!$C$12)/ASSUMPTIONS!$C$7</f>
        <v/>
      </c>
    </row>
    <row r="280">
      <c r="H280" s="83">
        <f>_xlfn.NORM.INV(RAND(),AVERAGE(ASSUMPTIONS!$C$38,ASSUMPTIONS!$C$39,ASSUMPTIONS!$C$40,ASSUMPTIONS!$C$41,ASSUMPTIONS!$C$42),ASSUMPTIONS!$C$68)</f>
        <v/>
      </c>
      <c r="I280" s="83">
        <f>MAX(_xlfn.NORM.INV(RAND(),DCF!$C$11,ASSUMPTIONS!$C$69),K280+0.005)</f>
        <v/>
      </c>
      <c r="J280" s="83">
        <f>_xlfn.NORM.INV(RAND(),ASSUMPTIONS!$C$19,ASSUMPTIONS!$C$70)</f>
        <v/>
      </c>
      <c r="K280" s="83">
        <f>_xlfn.NORM.INV(RAND(),ASSUMPTIONS!$C$43,ASSUMPTIONS!$C$71)</f>
        <v/>
      </c>
      <c r="L280" s="84">
        <f>(((ASSUMPTIONS!$C$18*J280*(1-ASSUMPTIONS!$C$20)+ASSUMPTIONS!$C$18*ASSUMPTIONS!$C$21-ASSUMPTIONS!$C$18*ASSUMPTIONS!$C$22)*(1+H280)*(1-((1+H280)/(1+I280))^5)/(I280-H280))+((ASSUMPTIONS!$C$18*J280*(1-ASSUMPTIONS!$C$20)+ASSUMPTIONS!$C$18*ASSUMPTIONS!$C$21-ASSUMPTIONS!$C$18*ASSUMPTIONS!$C$22)*(1+H280)^5*(1+K280)/(I280-K280)/(1+I280)^5)-DCF!$C$12)/ASSUMPTIONS!$C$7</f>
        <v/>
      </c>
    </row>
    <row r="281">
      <c r="H281" s="83">
        <f>_xlfn.NORM.INV(RAND(),AVERAGE(ASSUMPTIONS!$C$38,ASSUMPTIONS!$C$39,ASSUMPTIONS!$C$40,ASSUMPTIONS!$C$41,ASSUMPTIONS!$C$42),ASSUMPTIONS!$C$68)</f>
        <v/>
      </c>
      <c r="I281" s="83">
        <f>MAX(_xlfn.NORM.INV(RAND(),DCF!$C$11,ASSUMPTIONS!$C$69),K281+0.005)</f>
        <v/>
      </c>
      <c r="J281" s="83">
        <f>_xlfn.NORM.INV(RAND(),ASSUMPTIONS!$C$19,ASSUMPTIONS!$C$70)</f>
        <v/>
      </c>
      <c r="K281" s="83">
        <f>_xlfn.NORM.INV(RAND(),ASSUMPTIONS!$C$43,ASSUMPTIONS!$C$71)</f>
        <v/>
      </c>
      <c r="L281" s="84">
        <f>(((ASSUMPTIONS!$C$18*J281*(1-ASSUMPTIONS!$C$20)+ASSUMPTIONS!$C$18*ASSUMPTIONS!$C$21-ASSUMPTIONS!$C$18*ASSUMPTIONS!$C$22)*(1+H281)*(1-((1+H281)/(1+I281))^5)/(I281-H281))+((ASSUMPTIONS!$C$18*J281*(1-ASSUMPTIONS!$C$20)+ASSUMPTIONS!$C$18*ASSUMPTIONS!$C$21-ASSUMPTIONS!$C$18*ASSUMPTIONS!$C$22)*(1+H281)^5*(1+K281)/(I281-K281)/(1+I281)^5)-DCF!$C$12)/ASSUMPTIONS!$C$7</f>
        <v/>
      </c>
    </row>
    <row r="282">
      <c r="H282" s="83">
        <f>_xlfn.NORM.INV(RAND(),AVERAGE(ASSUMPTIONS!$C$38,ASSUMPTIONS!$C$39,ASSUMPTIONS!$C$40,ASSUMPTIONS!$C$41,ASSUMPTIONS!$C$42),ASSUMPTIONS!$C$68)</f>
        <v/>
      </c>
      <c r="I282" s="83">
        <f>MAX(_xlfn.NORM.INV(RAND(),DCF!$C$11,ASSUMPTIONS!$C$69),K282+0.005)</f>
        <v/>
      </c>
      <c r="J282" s="83">
        <f>_xlfn.NORM.INV(RAND(),ASSUMPTIONS!$C$19,ASSUMPTIONS!$C$70)</f>
        <v/>
      </c>
      <c r="K282" s="83">
        <f>_xlfn.NORM.INV(RAND(),ASSUMPTIONS!$C$43,ASSUMPTIONS!$C$71)</f>
        <v/>
      </c>
      <c r="L282" s="84">
        <f>(((ASSUMPTIONS!$C$18*J282*(1-ASSUMPTIONS!$C$20)+ASSUMPTIONS!$C$18*ASSUMPTIONS!$C$21-ASSUMPTIONS!$C$18*ASSUMPTIONS!$C$22)*(1+H282)*(1-((1+H282)/(1+I282))^5)/(I282-H282))+((ASSUMPTIONS!$C$18*J282*(1-ASSUMPTIONS!$C$20)+ASSUMPTIONS!$C$18*ASSUMPTIONS!$C$21-ASSUMPTIONS!$C$18*ASSUMPTIONS!$C$22)*(1+H282)^5*(1+K282)/(I282-K282)/(1+I282)^5)-DCF!$C$12)/ASSUMPTIONS!$C$7</f>
        <v/>
      </c>
    </row>
    <row r="283">
      <c r="H283" s="83">
        <f>_xlfn.NORM.INV(RAND(),AVERAGE(ASSUMPTIONS!$C$38,ASSUMPTIONS!$C$39,ASSUMPTIONS!$C$40,ASSUMPTIONS!$C$41,ASSUMPTIONS!$C$42),ASSUMPTIONS!$C$68)</f>
        <v/>
      </c>
      <c r="I283" s="83">
        <f>MAX(_xlfn.NORM.INV(RAND(),DCF!$C$11,ASSUMPTIONS!$C$69),K283+0.005)</f>
        <v/>
      </c>
      <c r="J283" s="83">
        <f>_xlfn.NORM.INV(RAND(),ASSUMPTIONS!$C$19,ASSUMPTIONS!$C$70)</f>
        <v/>
      </c>
      <c r="K283" s="83">
        <f>_xlfn.NORM.INV(RAND(),ASSUMPTIONS!$C$43,ASSUMPTIONS!$C$71)</f>
        <v/>
      </c>
      <c r="L283" s="84">
        <f>(((ASSUMPTIONS!$C$18*J283*(1-ASSUMPTIONS!$C$20)+ASSUMPTIONS!$C$18*ASSUMPTIONS!$C$21-ASSUMPTIONS!$C$18*ASSUMPTIONS!$C$22)*(1+H283)*(1-((1+H283)/(1+I283))^5)/(I283-H283))+((ASSUMPTIONS!$C$18*J283*(1-ASSUMPTIONS!$C$20)+ASSUMPTIONS!$C$18*ASSUMPTIONS!$C$21-ASSUMPTIONS!$C$18*ASSUMPTIONS!$C$22)*(1+H283)^5*(1+K283)/(I283-K283)/(1+I283)^5)-DCF!$C$12)/ASSUMPTIONS!$C$7</f>
        <v/>
      </c>
    </row>
    <row r="284">
      <c r="H284" s="83">
        <f>_xlfn.NORM.INV(RAND(),AVERAGE(ASSUMPTIONS!$C$38,ASSUMPTIONS!$C$39,ASSUMPTIONS!$C$40,ASSUMPTIONS!$C$41,ASSUMPTIONS!$C$42),ASSUMPTIONS!$C$68)</f>
        <v/>
      </c>
      <c r="I284" s="83">
        <f>MAX(_xlfn.NORM.INV(RAND(),DCF!$C$11,ASSUMPTIONS!$C$69),K284+0.005)</f>
        <v/>
      </c>
      <c r="J284" s="83">
        <f>_xlfn.NORM.INV(RAND(),ASSUMPTIONS!$C$19,ASSUMPTIONS!$C$70)</f>
        <v/>
      </c>
      <c r="K284" s="83">
        <f>_xlfn.NORM.INV(RAND(),ASSUMPTIONS!$C$43,ASSUMPTIONS!$C$71)</f>
        <v/>
      </c>
      <c r="L284" s="84">
        <f>(((ASSUMPTIONS!$C$18*J284*(1-ASSUMPTIONS!$C$20)+ASSUMPTIONS!$C$18*ASSUMPTIONS!$C$21-ASSUMPTIONS!$C$18*ASSUMPTIONS!$C$22)*(1+H284)*(1-((1+H284)/(1+I284))^5)/(I284-H284))+((ASSUMPTIONS!$C$18*J284*(1-ASSUMPTIONS!$C$20)+ASSUMPTIONS!$C$18*ASSUMPTIONS!$C$21-ASSUMPTIONS!$C$18*ASSUMPTIONS!$C$22)*(1+H284)^5*(1+K284)/(I284-K284)/(1+I284)^5)-DCF!$C$12)/ASSUMPTIONS!$C$7</f>
        <v/>
      </c>
    </row>
    <row r="285">
      <c r="H285" s="83">
        <f>_xlfn.NORM.INV(RAND(),AVERAGE(ASSUMPTIONS!$C$38,ASSUMPTIONS!$C$39,ASSUMPTIONS!$C$40,ASSUMPTIONS!$C$41,ASSUMPTIONS!$C$42),ASSUMPTIONS!$C$68)</f>
        <v/>
      </c>
      <c r="I285" s="83">
        <f>MAX(_xlfn.NORM.INV(RAND(),DCF!$C$11,ASSUMPTIONS!$C$69),K285+0.005)</f>
        <v/>
      </c>
      <c r="J285" s="83">
        <f>_xlfn.NORM.INV(RAND(),ASSUMPTIONS!$C$19,ASSUMPTIONS!$C$70)</f>
        <v/>
      </c>
      <c r="K285" s="83">
        <f>_xlfn.NORM.INV(RAND(),ASSUMPTIONS!$C$43,ASSUMPTIONS!$C$71)</f>
        <v/>
      </c>
      <c r="L285" s="84">
        <f>(((ASSUMPTIONS!$C$18*J285*(1-ASSUMPTIONS!$C$20)+ASSUMPTIONS!$C$18*ASSUMPTIONS!$C$21-ASSUMPTIONS!$C$18*ASSUMPTIONS!$C$22)*(1+H285)*(1-((1+H285)/(1+I285))^5)/(I285-H285))+((ASSUMPTIONS!$C$18*J285*(1-ASSUMPTIONS!$C$20)+ASSUMPTIONS!$C$18*ASSUMPTIONS!$C$21-ASSUMPTIONS!$C$18*ASSUMPTIONS!$C$22)*(1+H285)^5*(1+K285)/(I285-K285)/(1+I285)^5)-DCF!$C$12)/ASSUMPTIONS!$C$7</f>
        <v/>
      </c>
    </row>
    <row r="286">
      <c r="H286" s="83">
        <f>_xlfn.NORM.INV(RAND(),AVERAGE(ASSUMPTIONS!$C$38,ASSUMPTIONS!$C$39,ASSUMPTIONS!$C$40,ASSUMPTIONS!$C$41,ASSUMPTIONS!$C$42),ASSUMPTIONS!$C$68)</f>
        <v/>
      </c>
      <c r="I286" s="83">
        <f>MAX(_xlfn.NORM.INV(RAND(),DCF!$C$11,ASSUMPTIONS!$C$69),K286+0.005)</f>
        <v/>
      </c>
      <c r="J286" s="83">
        <f>_xlfn.NORM.INV(RAND(),ASSUMPTIONS!$C$19,ASSUMPTIONS!$C$70)</f>
        <v/>
      </c>
      <c r="K286" s="83">
        <f>_xlfn.NORM.INV(RAND(),ASSUMPTIONS!$C$43,ASSUMPTIONS!$C$71)</f>
        <v/>
      </c>
      <c r="L286" s="84">
        <f>(((ASSUMPTIONS!$C$18*J286*(1-ASSUMPTIONS!$C$20)+ASSUMPTIONS!$C$18*ASSUMPTIONS!$C$21-ASSUMPTIONS!$C$18*ASSUMPTIONS!$C$22)*(1+H286)*(1-((1+H286)/(1+I286))^5)/(I286-H286))+((ASSUMPTIONS!$C$18*J286*(1-ASSUMPTIONS!$C$20)+ASSUMPTIONS!$C$18*ASSUMPTIONS!$C$21-ASSUMPTIONS!$C$18*ASSUMPTIONS!$C$22)*(1+H286)^5*(1+K286)/(I286-K286)/(1+I286)^5)-DCF!$C$12)/ASSUMPTIONS!$C$7</f>
        <v/>
      </c>
    </row>
    <row r="287">
      <c r="H287" s="83">
        <f>_xlfn.NORM.INV(RAND(),AVERAGE(ASSUMPTIONS!$C$38,ASSUMPTIONS!$C$39,ASSUMPTIONS!$C$40,ASSUMPTIONS!$C$41,ASSUMPTIONS!$C$42),ASSUMPTIONS!$C$68)</f>
        <v/>
      </c>
      <c r="I287" s="83">
        <f>MAX(_xlfn.NORM.INV(RAND(),DCF!$C$11,ASSUMPTIONS!$C$69),K287+0.005)</f>
        <v/>
      </c>
      <c r="J287" s="83">
        <f>_xlfn.NORM.INV(RAND(),ASSUMPTIONS!$C$19,ASSUMPTIONS!$C$70)</f>
        <v/>
      </c>
      <c r="K287" s="83">
        <f>_xlfn.NORM.INV(RAND(),ASSUMPTIONS!$C$43,ASSUMPTIONS!$C$71)</f>
        <v/>
      </c>
      <c r="L287" s="84">
        <f>(((ASSUMPTIONS!$C$18*J287*(1-ASSUMPTIONS!$C$20)+ASSUMPTIONS!$C$18*ASSUMPTIONS!$C$21-ASSUMPTIONS!$C$18*ASSUMPTIONS!$C$22)*(1+H287)*(1-((1+H287)/(1+I287))^5)/(I287-H287))+((ASSUMPTIONS!$C$18*J287*(1-ASSUMPTIONS!$C$20)+ASSUMPTIONS!$C$18*ASSUMPTIONS!$C$21-ASSUMPTIONS!$C$18*ASSUMPTIONS!$C$22)*(1+H287)^5*(1+K287)/(I287-K287)/(1+I287)^5)-DCF!$C$12)/ASSUMPTIONS!$C$7</f>
        <v/>
      </c>
    </row>
    <row r="288">
      <c r="H288" s="83">
        <f>_xlfn.NORM.INV(RAND(),AVERAGE(ASSUMPTIONS!$C$38,ASSUMPTIONS!$C$39,ASSUMPTIONS!$C$40,ASSUMPTIONS!$C$41,ASSUMPTIONS!$C$42),ASSUMPTIONS!$C$68)</f>
        <v/>
      </c>
      <c r="I288" s="83">
        <f>MAX(_xlfn.NORM.INV(RAND(),DCF!$C$11,ASSUMPTIONS!$C$69),K288+0.005)</f>
        <v/>
      </c>
      <c r="J288" s="83">
        <f>_xlfn.NORM.INV(RAND(),ASSUMPTIONS!$C$19,ASSUMPTIONS!$C$70)</f>
        <v/>
      </c>
      <c r="K288" s="83">
        <f>_xlfn.NORM.INV(RAND(),ASSUMPTIONS!$C$43,ASSUMPTIONS!$C$71)</f>
        <v/>
      </c>
      <c r="L288" s="84">
        <f>(((ASSUMPTIONS!$C$18*J288*(1-ASSUMPTIONS!$C$20)+ASSUMPTIONS!$C$18*ASSUMPTIONS!$C$21-ASSUMPTIONS!$C$18*ASSUMPTIONS!$C$22)*(1+H288)*(1-((1+H288)/(1+I288))^5)/(I288-H288))+((ASSUMPTIONS!$C$18*J288*(1-ASSUMPTIONS!$C$20)+ASSUMPTIONS!$C$18*ASSUMPTIONS!$C$21-ASSUMPTIONS!$C$18*ASSUMPTIONS!$C$22)*(1+H288)^5*(1+K288)/(I288-K288)/(1+I288)^5)-DCF!$C$12)/ASSUMPTIONS!$C$7</f>
        <v/>
      </c>
    </row>
    <row r="289">
      <c r="H289" s="83">
        <f>_xlfn.NORM.INV(RAND(),AVERAGE(ASSUMPTIONS!$C$38,ASSUMPTIONS!$C$39,ASSUMPTIONS!$C$40,ASSUMPTIONS!$C$41,ASSUMPTIONS!$C$42),ASSUMPTIONS!$C$68)</f>
        <v/>
      </c>
      <c r="I289" s="83">
        <f>MAX(_xlfn.NORM.INV(RAND(),DCF!$C$11,ASSUMPTIONS!$C$69),K289+0.005)</f>
        <v/>
      </c>
      <c r="J289" s="83">
        <f>_xlfn.NORM.INV(RAND(),ASSUMPTIONS!$C$19,ASSUMPTIONS!$C$70)</f>
        <v/>
      </c>
      <c r="K289" s="83">
        <f>_xlfn.NORM.INV(RAND(),ASSUMPTIONS!$C$43,ASSUMPTIONS!$C$71)</f>
        <v/>
      </c>
      <c r="L289" s="84">
        <f>(((ASSUMPTIONS!$C$18*J289*(1-ASSUMPTIONS!$C$20)+ASSUMPTIONS!$C$18*ASSUMPTIONS!$C$21-ASSUMPTIONS!$C$18*ASSUMPTIONS!$C$22)*(1+H289)*(1-((1+H289)/(1+I289))^5)/(I289-H289))+((ASSUMPTIONS!$C$18*J289*(1-ASSUMPTIONS!$C$20)+ASSUMPTIONS!$C$18*ASSUMPTIONS!$C$21-ASSUMPTIONS!$C$18*ASSUMPTIONS!$C$22)*(1+H289)^5*(1+K289)/(I289-K289)/(1+I289)^5)-DCF!$C$12)/ASSUMPTIONS!$C$7</f>
        <v/>
      </c>
    </row>
    <row r="290">
      <c r="H290" s="83">
        <f>_xlfn.NORM.INV(RAND(),AVERAGE(ASSUMPTIONS!$C$38,ASSUMPTIONS!$C$39,ASSUMPTIONS!$C$40,ASSUMPTIONS!$C$41,ASSUMPTIONS!$C$42),ASSUMPTIONS!$C$68)</f>
        <v/>
      </c>
      <c r="I290" s="83">
        <f>MAX(_xlfn.NORM.INV(RAND(),DCF!$C$11,ASSUMPTIONS!$C$69),K290+0.005)</f>
        <v/>
      </c>
      <c r="J290" s="83">
        <f>_xlfn.NORM.INV(RAND(),ASSUMPTIONS!$C$19,ASSUMPTIONS!$C$70)</f>
        <v/>
      </c>
      <c r="K290" s="83">
        <f>_xlfn.NORM.INV(RAND(),ASSUMPTIONS!$C$43,ASSUMPTIONS!$C$71)</f>
        <v/>
      </c>
      <c r="L290" s="84">
        <f>(((ASSUMPTIONS!$C$18*J290*(1-ASSUMPTIONS!$C$20)+ASSUMPTIONS!$C$18*ASSUMPTIONS!$C$21-ASSUMPTIONS!$C$18*ASSUMPTIONS!$C$22)*(1+H290)*(1-((1+H290)/(1+I290))^5)/(I290-H290))+((ASSUMPTIONS!$C$18*J290*(1-ASSUMPTIONS!$C$20)+ASSUMPTIONS!$C$18*ASSUMPTIONS!$C$21-ASSUMPTIONS!$C$18*ASSUMPTIONS!$C$22)*(1+H290)^5*(1+K290)/(I290-K290)/(1+I290)^5)-DCF!$C$12)/ASSUMPTIONS!$C$7</f>
        <v/>
      </c>
    </row>
    <row r="291">
      <c r="H291" s="83">
        <f>_xlfn.NORM.INV(RAND(),AVERAGE(ASSUMPTIONS!$C$38,ASSUMPTIONS!$C$39,ASSUMPTIONS!$C$40,ASSUMPTIONS!$C$41,ASSUMPTIONS!$C$42),ASSUMPTIONS!$C$68)</f>
        <v/>
      </c>
      <c r="I291" s="83">
        <f>MAX(_xlfn.NORM.INV(RAND(),DCF!$C$11,ASSUMPTIONS!$C$69),K291+0.005)</f>
        <v/>
      </c>
      <c r="J291" s="83">
        <f>_xlfn.NORM.INV(RAND(),ASSUMPTIONS!$C$19,ASSUMPTIONS!$C$70)</f>
        <v/>
      </c>
      <c r="K291" s="83">
        <f>_xlfn.NORM.INV(RAND(),ASSUMPTIONS!$C$43,ASSUMPTIONS!$C$71)</f>
        <v/>
      </c>
      <c r="L291" s="84">
        <f>(((ASSUMPTIONS!$C$18*J291*(1-ASSUMPTIONS!$C$20)+ASSUMPTIONS!$C$18*ASSUMPTIONS!$C$21-ASSUMPTIONS!$C$18*ASSUMPTIONS!$C$22)*(1+H291)*(1-((1+H291)/(1+I291))^5)/(I291-H291))+((ASSUMPTIONS!$C$18*J291*(1-ASSUMPTIONS!$C$20)+ASSUMPTIONS!$C$18*ASSUMPTIONS!$C$21-ASSUMPTIONS!$C$18*ASSUMPTIONS!$C$22)*(1+H291)^5*(1+K291)/(I291-K291)/(1+I291)^5)-DCF!$C$12)/ASSUMPTIONS!$C$7</f>
        <v/>
      </c>
    </row>
    <row r="292">
      <c r="H292" s="83">
        <f>_xlfn.NORM.INV(RAND(),AVERAGE(ASSUMPTIONS!$C$38,ASSUMPTIONS!$C$39,ASSUMPTIONS!$C$40,ASSUMPTIONS!$C$41,ASSUMPTIONS!$C$42),ASSUMPTIONS!$C$68)</f>
        <v/>
      </c>
      <c r="I292" s="83">
        <f>MAX(_xlfn.NORM.INV(RAND(),DCF!$C$11,ASSUMPTIONS!$C$69),K292+0.005)</f>
        <v/>
      </c>
      <c r="J292" s="83">
        <f>_xlfn.NORM.INV(RAND(),ASSUMPTIONS!$C$19,ASSUMPTIONS!$C$70)</f>
        <v/>
      </c>
      <c r="K292" s="83">
        <f>_xlfn.NORM.INV(RAND(),ASSUMPTIONS!$C$43,ASSUMPTIONS!$C$71)</f>
        <v/>
      </c>
      <c r="L292" s="84">
        <f>(((ASSUMPTIONS!$C$18*J292*(1-ASSUMPTIONS!$C$20)+ASSUMPTIONS!$C$18*ASSUMPTIONS!$C$21-ASSUMPTIONS!$C$18*ASSUMPTIONS!$C$22)*(1+H292)*(1-((1+H292)/(1+I292))^5)/(I292-H292))+((ASSUMPTIONS!$C$18*J292*(1-ASSUMPTIONS!$C$20)+ASSUMPTIONS!$C$18*ASSUMPTIONS!$C$21-ASSUMPTIONS!$C$18*ASSUMPTIONS!$C$22)*(1+H292)^5*(1+K292)/(I292-K292)/(1+I292)^5)-DCF!$C$12)/ASSUMPTIONS!$C$7</f>
        <v/>
      </c>
    </row>
    <row r="293">
      <c r="H293" s="83">
        <f>_xlfn.NORM.INV(RAND(),AVERAGE(ASSUMPTIONS!$C$38,ASSUMPTIONS!$C$39,ASSUMPTIONS!$C$40,ASSUMPTIONS!$C$41,ASSUMPTIONS!$C$42),ASSUMPTIONS!$C$68)</f>
        <v/>
      </c>
      <c r="I293" s="83">
        <f>MAX(_xlfn.NORM.INV(RAND(),DCF!$C$11,ASSUMPTIONS!$C$69),K293+0.005)</f>
        <v/>
      </c>
      <c r="J293" s="83">
        <f>_xlfn.NORM.INV(RAND(),ASSUMPTIONS!$C$19,ASSUMPTIONS!$C$70)</f>
        <v/>
      </c>
      <c r="K293" s="83">
        <f>_xlfn.NORM.INV(RAND(),ASSUMPTIONS!$C$43,ASSUMPTIONS!$C$71)</f>
        <v/>
      </c>
      <c r="L293" s="84">
        <f>(((ASSUMPTIONS!$C$18*J293*(1-ASSUMPTIONS!$C$20)+ASSUMPTIONS!$C$18*ASSUMPTIONS!$C$21-ASSUMPTIONS!$C$18*ASSUMPTIONS!$C$22)*(1+H293)*(1-((1+H293)/(1+I293))^5)/(I293-H293))+((ASSUMPTIONS!$C$18*J293*(1-ASSUMPTIONS!$C$20)+ASSUMPTIONS!$C$18*ASSUMPTIONS!$C$21-ASSUMPTIONS!$C$18*ASSUMPTIONS!$C$22)*(1+H293)^5*(1+K293)/(I293-K293)/(1+I293)^5)-DCF!$C$12)/ASSUMPTIONS!$C$7</f>
        <v/>
      </c>
    </row>
    <row r="294">
      <c r="H294" s="83">
        <f>_xlfn.NORM.INV(RAND(),AVERAGE(ASSUMPTIONS!$C$38,ASSUMPTIONS!$C$39,ASSUMPTIONS!$C$40,ASSUMPTIONS!$C$41,ASSUMPTIONS!$C$42),ASSUMPTIONS!$C$68)</f>
        <v/>
      </c>
      <c r="I294" s="83">
        <f>MAX(_xlfn.NORM.INV(RAND(),DCF!$C$11,ASSUMPTIONS!$C$69),K294+0.005)</f>
        <v/>
      </c>
      <c r="J294" s="83">
        <f>_xlfn.NORM.INV(RAND(),ASSUMPTIONS!$C$19,ASSUMPTIONS!$C$70)</f>
        <v/>
      </c>
      <c r="K294" s="83">
        <f>_xlfn.NORM.INV(RAND(),ASSUMPTIONS!$C$43,ASSUMPTIONS!$C$71)</f>
        <v/>
      </c>
      <c r="L294" s="84">
        <f>(((ASSUMPTIONS!$C$18*J294*(1-ASSUMPTIONS!$C$20)+ASSUMPTIONS!$C$18*ASSUMPTIONS!$C$21-ASSUMPTIONS!$C$18*ASSUMPTIONS!$C$22)*(1+H294)*(1-((1+H294)/(1+I294))^5)/(I294-H294))+((ASSUMPTIONS!$C$18*J294*(1-ASSUMPTIONS!$C$20)+ASSUMPTIONS!$C$18*ASSUMPTIONS!$C$21-ASSUMPTIONS!$C$18*ASSUMPTIONS!$C$22)*(1+H294)^5*(1+K294)/(I294-K294)/(1+I294)^5)-DCF!$C$12)/ASSUMPTIONS!$C$7</f>
        <v/>
      </c>
    </row>
    <row r="295">
      <c r="H295" s="83">
        <f>_xlfn.NORM.INV(RAND(),AVERAGE(ASSUMPTIONS!$C$38,ASSUMPTIONS!$C$39,ASSUMPTIONS!$C$40,ASSUMPTIONS!$C$41,ASSUMPTIONS!$C$42),ASSUMPTIONS!$C$68)</f>
        <v/>
      </c>
      <c r="I295" s="83">
        <f>MAX(_xlfn.NORM.INV(RAND(),DCF!$C$11,ASSUMPTIONS!$C$69),K295+0.005)</f>
        <v/>
      </c>
      <c r="J295" s="83">
        <f>_xlfn.NORM.INV(RAND(),ASSUMPTIONS!$C$19,ASSUMPTIONS!$C$70)</f>
        <v/>
      </c>
      <c r="K295" s="83">
        <f>_xlfn.NORM.INV(RAND(),ASSUMPTIONS!$C$43,ASSUMPTIONS!$C$71)</f>
        <v/>
      </c>
      <c r="L295" s="84">
        <f>(((ASSUMPTIONS!$C$18*J295*(1-ASSUMPTIONS!$C$20)+ASSUMPTIONS!$C$18*ASSUMPTIONS!$C$21-ASSUMPTIONS!$C$18*ASSUMPTIONS!$C$22)*(1+H295)*(1-((1+H295)/(1+I295))^5)/(I295-H295))+((ASSUMPTIONS!$C$18*J295*(1-ASSUMPTIONS!$C$20)+ASSUMPTIONS!$C$18*ASSUMPTIONS!$C$21-ASSUMPTIONS!$C$18*ASSUMPTIONS!$C$22)*(1+H295)^5*(1+K295)/(I295-K295)/(1+I295)^5)-DCF!$C$12)/ASSUMPTIONS!$C$7</f>
        <v/>
      </c>
    </row>
    <row r="296">
      <c r="H296" s="83">
        <f>_xlfn.NORM.INV(RAND(),AVERAGE(ASSUMPTIONS!$C$38,ASSUMPTIONS!$C$39,ASSUMPTIONS!$C$40,ASSUMPTIONS!$C$41,ASSUMPTIONS!$C$42),ASSUMPTIONS!$C$68)</f>
        <v/>
      </c>
      <c r="I296" s="83">
        <f>MAX(_xlfn.NORM.INV(RAND(),DCF!$C$11,ASSUMPTIONS!$C$69),K296+0.005)</f>
        <v/>
      </c>
      <c r="J296" s="83">
        <f>_xlfn.NORM.INV(RAND(),ASSUMPTIONS!$C$19,ASSUMPTIONS!$C$70)</f>
        <v/>
      </c>
      <c r="K296" s="83">
        <f>_xlfn.NORM.INV(RAND(),ASSUMPTIONS!$C$43,ASSUMPTIONS!$C$71)</f>
        <v/>
      </c>
      <c r="L296" s="84">
        <f>(((ASSUMPTIONS!$C$18*J296*(1-ASSUMPTIONS!$C$20)+ASSUMPTIONS!$C$18*ASSUMPTIONS!$C$21-ASSUMPTIONS!$C$18*ASSUMPTIONS!$C$22)*(1+H296)*(1-((1+H296)/(1+I296))^5)/(I296-H296))+((ASSUMPTIONS!$C$18*J296*(1-ASSUMPTIONS!$C$20)+ASSUMPTIONS!$C$18*ASSUMPTIONS!$C$21-ASSUMPTIONS!$C$18*ASSUMPTIONS!$C$22)*(1+H296)^5*(1+K296)/(I296-K296)/(1+I296)^5)-DCF!$C$12)/ASSUMPTIONS!$C$7</f>
        <v/>
      </c>
    </row>
    <row r="297">
      <c r="H297" s="83">
        <f>_xlfn.NORM.INV(RAND(),AVERAGE(ASSUMPTIONS!$C$38,ASSUMPTIONS!$C$39,ASSUMPTIONS!$C$40,ASSUMPTIONS!$C$41,ASSUMPTIONS!$C$42),ASSUMPTIONS!$C$68)</f>
        <v/>
      </c>
      <c r="I297" s="83">
        <f>MAX(_xlfn.NORM.INV(RAND(),DCF!$C$11,ASSUMPTIONS!$C$69),K297+0.005)</f>
        <v/>
      </c>
      <c r="J297" s="83">
        <f>_xlfn.NORM.INV(RAND(),ASSUMPTIONS!$C$19,ASSUMPTIONS!$C$70)</f>
        <v/>
      </c>
      <c r="K297" s="83">
        <f>_xlfn.NORM.INV(RAND(),ASSUMPTIONS!$C$43,ASSUMPTIONS!$C$71)</f>
        <v/>
      </c>
      <c r="L297" s="84">
        <f>(((ASSUMPTIONS!$C$18*J297*(1-ASSUMPTIONS!$C$20)+ASSUMPTIONS!$C$18*ASSUMPTIONS!$C$21-ASSUMPTIONS!$C$18*ASSUMPTIONS!$C$22)*(1+H297)*(1-((1+H297)/(1+I297))^5)/(I297-H297))+((ASSUMPTIONS!$C$18*J297*(1-ASSUMPTIONS!$C$20)+ASSUMPTIONS!$C$18*ASSUMPTIONS!$C$21-ASSUMPTIONS!$C$18*ASSUMPTIONS!$C$22)*(1+H297)^5*(1+K297)/(I297-K297)/(1+I297)^5)-DCF!$C$12)/ASSUMPTIONS!$C$7</f>
        <v/>
      </c>
    </row>
    <row r="298">
      <c r="H298" s="83">
        <f>_xlfn.NORM.INV(RAND(),AVERAGE(ASSUMPTIONS!$C$38,ASSUMPTIONS!$C$39,ASSUMPTIONS!$C$40,ASSUMPTIONS!$C$41,ASSUMPTIONS!$C$42),ASSUMPTIONS!$C$68)</f>
        <v/>
      </c>
      <c r="I298" s="83">
        <f>MAX(_xlfn.NORM.INV(RAND(),DCF!$C$11,ASSUMPTIONS!$C$69),K298+0.005)</f>
        <v/>
      </c>
      <c r="J298" s="83">
        <f>_xlfn.NORM.INV(RAND(),ASSUMPTIONS!$C$19,ASSUMPTIONS!$C$70)</f>
        <v/>
      </c>
      <c r="K298" s="83">
        <f>_xlfn.NORM.INV(RAND(),ASSUMPTIONS!$C$43,ASSUMPTIONS!$C$71)</f>
        <v/>
      </c>
      <c r="L298" s="84">
        <f>(((ASSUMPTIONS!$C$18*J298*(1-ASSUMPTIONS!$C$20)+ASSUMPTIONS!$C$18*ASSUMPTIONS!$C$21-ASSUMPTIONS!$C$18*ASSUMPTIONS!$C$22)*(1+H298)*(1-((1+H298)/(1+I298))^5)/(I298-H298))+((ASSUMPTIONS!$C$18*J298*(1-ASSUMPTIONS!$C$20)+ASSUMPTIONS!$C$18*ASSUMPTIONS!$C$21-ASSUMPTIONS!$C$18*ASSUMPTIONS!$C$22)*(1+H298)^5*(1+K298)/(I298-K298)/(1+I298)^5)-DCF!$C$12)/ASSUMPTIONS!$C$7</f>
        <v/>
      </c>
    </row>
    <row r="299">
      <c r="H299" s="83">
        <f>_xlfn.NORM.INV(RAND(),AVERAGE(ASSUMPTIONS!$C$38,ASSUMPTIONS!$C$39,ASSUMPTIONS!$C$40,ASSUMPTIONS!$C$41,ASSUMPTIONS!$C$42),ASSUMPTIONS!$C$68)</f>
        <v/>
      </c>
      <c r="I299" s="83">
        <f>MAX(_xlfn.NORM.INV(RAND(),DCF!$C$11,ASSUMPTIONS!$C$69),K299+0.005)</f>
        <v/>
      </c>
      <c r="J299" s="83">
        <f>_xlfn.NORM.INV(RAND(),ASSUMPTIONS!$C$19,ASSUMPTIONS!$C$70)</f>
        <v/>
      </c>
      <c r="K299" s="83">
        <f>_xlfn.NORM.INV(RAND(),ASSUMPTIONS!$C$43,ASSUMPTIONS!$C$71)</f>
        <v/>
      </c>
      <c r="L299" s="84">
        <f>(((ASSUMPTIONS!$C$18*J299*(1-ASSUMPTIONS!$C$20)+ASSUMPTIONS!$C$18*ASSUMPTIONS!$C$21-ASSUMPTIONS!$C$18*ASSUMPTIONS!$C$22)*(1+H299)*(1-((1+H299)/(1+I299))^5)/(I299-H299))+((ASSUMPTIONS!$C$18*J299*(1-ASSUMPTIONS!$C$20)+ASSUMPTIONS!$C$18*ASSUMPTIONS!$C$21-ASSUMPTIONS!$C$18*ASSUMPTIONS!$C$22)*(1+H299)^5*(1+K299)/(I299-K299)/(1+I299)^5)-DCF!$C$12)/ASSUMPTIONS!$C$7</f>
        <v/>
      </c>
    </row>
    <row r="300">
      <c r="H300" s="83">
        <f>_xlfn.NORM.INV(RAND(),AVERAGE(ASSUMPTIONS!$C$38,ASSUMPTIONS!$C$39,ASSUMPTIONS!$C$40,ASSUMPTIONS!$C$41,ASSUMPTIONS!$C$42),ASSUMPTIONS!$C$68)</f>
        <v/>
      </c>
      <c r="I300" s="83">
        <f>MAX(_xlfn.NORM.INV(RAND(),DCF!$C$11,ASSUMPTIONS!$C$69),K300+0.005)</f>
        <v/>
      </c>
      <c r="J300" s="83">
        <f>_xlfn.NORM.INV(RAND(),ASSUMPTIONS!$C$19,ASSUMPTIONS!$C$70)</f>
        <v/>
      </c>
      <c r="K300" s="83">
        <f>_xlfn.NORM.INV(RAND(),ASSUMPTIONS!$C$43,ASSUMPTIONS!$C$71)</f>
        <v/>
      </c>
      <c r="L300" s="84">
        <f>(((ASSUMPTIONS!$C$18*J300*(1-ASSUMPTIONS!$C$20)+ASSUMPTIONS!$C$18*ASSUMPTIONS!$C$21-ASSUMPTIONS!$C$18*ASSUMPTIONS!$C$22)*(1+H300)*(1-((1+H300)/(1+I300))^5)/(I300-H300))+((ASSUMPTIONS!$C$18*J300*(1-ASSUMPTIONS!$C$20)+ASSUMPTIONS!$C$18*ASSUMPTIONS!$C$21-ASSUMPTIONS!$C$18*ASSUMPTIONS!$C$22)*(1+H300)^5*(1+K300)/(I300-K300)/(1+I300)^5)-DCF!$C$12)/ASSUMPTIONS!$C$7</f>
        <v/>
      </c>
    </row>
    <row r="301">
      <c r="H301" s="83">
        <f>_xlfn.NORM.INV(RAND(),AVERAGE(ASSUMPTIONS!$C$38,ASSUMPTIONS!$C$39,ASSUMPTIONS!$C$40,ASSUMPTIONS!$C$41,ASSUMPTIONS!$C$42),ASSUMPTIONS!$C$68)</f>
        <v/>
      </c>
      <c r="I301" s="83">
        <f>MAX(_xlfn.NORM.INV(RAND(),DCF!$C$11,ASSUMPTIONS!$C$69),K301+0.005)</f>
        <v/>
      </c>
      <c r="J301" s="83">
        <f>_xlfn.NORM.INV(RAND(),ASSUMPTIONS!$C$19,ASSUMPTIONS!$C$70)</f>
        <v/>
      </c>
      <c r="K301" s="83">
        <f>_xlfn.NORM.INV(RAND(),ASSUMPTIONS!$C$43,ASSUMPTIONS!$C$71)</f>
        <v/>
      </c>
      <c r="L301" s="84">
        <f>(((ASSUMPTIONS!$C$18*J301*(1-ASSUMPTIONS!$C$20)+ASSUMPTIONS!$C$18*ASSUMPTIONS!$C$21-ASSUMPTIONS!$C$18*ASSUMPTIONS!$C$22)*(1+H301)*(1-((1+H301)/(1+I301))^5)/(I301-H301))+((ASSUMPTIONS!$C$18*J301*(1-ASSUMPTIONS!$C$20)+ASSUMPTIONS!$C$18*ASSUMPTIONS!$C$21-ASSUMPTIONS!$C$18*ASSUMPTIONS!$C$22)*(1+H301)^5*(1+K301)/(I301-K301)/(1+I301)^5)-DCF!$C$12)/ASSUMPTIONS!$C$7</f>
        <v/>
      </c>
    </row>
    <row r="302">
      <c r="H302" s="83">
        <f>_xlfn.NORM.INV(RAND(),AVERAGE(ASSUMPTIONS!$C$38,ASSUMPTIONS!$C$39,ASSUMPTIONS!$C$40,ASSUMPTIONS!$C$41,ASSUMPTIONS!$C$42),ASSUMPTIONS!$C$68)</f>
        <v/>
      </c>
      <c r="I302" s="83">
        <f>MAX(_xlfn.NORM.INV(RAND(),DCF!$C$11,ASSUMPTIONS!$C$69),K302+0.005)</f>
        <v/>
      </c>
      <c r="J302" s="83">
        <f>_xlfn.NORM.INV(RAND(),ASSUMPTIONS!$C$19,ASSUMPTIONS!$C$70)</f>
        <v/>
      </c>
      <c r="K302" s="83">
        <f>_xlfn.NORM.INV(RAND(),ASSUMPTIONS!$C$43,ASSUMPTIONS!$C$71)</f>
        <v/>
      </c>
      <c r="L302" s="84">
        <f>(((ASSUMPTIONS!$C$18*J302*(1-ASSUMPTIONS!$C$20)+ASSUMPTIONS!$C$18*ASSUMPTIONS!$C$21-ASSUMPTIONS!$C$18*ASSUMPTIONS!$C$22)*(1+H302)*(1-((1+H302)/(1+I302))^5)/(I302-H302))+((ASSUMPTIONS!$C$18*J302*(1-ASSUMPTIONS!$C$20)+ASSUMPTIONS!$C$18*ASSUMPTIONS!$C$21-ASSUMPTIONS!$C$18*ASSUMPTIONS!$C$22)*(1+H302)^5*(1+K302)/(I302-K302)/(1+I302)^5)-DCF!$C$12)/ASSUMPTIONS!$C$7</f>
        <v/>
      </c>
    </row>
    <row r="303">
      <c r="H303" s="83">
        <f>_xlfn.NORM.INV(RAND(),AVERAGE(ASSUMPTIONS!$C$38,ASSUMPTIONS!$C$39,ASSUMPTIONS!$C$40,ASSUMPTIONS!$C$41,ASSUMPTIONS!$C$42),ASSUMPTIONS!$C$68)</f>
        <v/>
      </c>
      <c r="I303" s="83">
        <f>MAX(_xlfn.NORM.INV(RAND(),DCF!$C$11,ASSUMPTIONS!$C$69),K303+0.005)</f>
        <v/>
      </c>
      <c r="J303" s="83">
        <f>_xlfn.NORM.INV(RAND(),ASSUMPTIONS!$C$19,ASSUMPTIONS!$C$70)</f>
        <v/>
      </c>
      <c r="K303" s="83">
        <f>_xlfn.NORM.INV(RAND(),ASSUMPTIONS!$C$43,ASSUMPTIONS!$C$71)</f>
        <v/>
      </c>
      <c r="L303" s="84">
        <f>(((ASSUMPTIONS!$C$18*J303*(1-ASSUMPTIONS!$C$20)+ASSUMPTIONS!$C$18*ASSUMPTIONS!$C$21-ASSUMPTIONS!$C$18*ASSUMPTIONS!$C$22)*(1+H303)*(1-((1+H303)/(1+I303))^5)/(I303-H303))+((ASSUMPTIONS!$C$18*J303*(1-ASSUMPTIONS!$C$20)+ASSUMPTIONS!$C$18*ASSUMPTIONS!$C$21-ASSUMPTIONS!$C$18*ASSUMPTIONS!$C$22)*(1+H303)^5*(1+K303)/(I303-K303)/(1+I303)^5)-DCF!$C$12)/ASSUMPTIONS!$C$7</f>
        <v/>
      </c>
    </row>
    <row r="304">
      <c r="H304" s="83">
        <f>_xlfn.NORM.INV(RAND(),AVERAGE(ASSUMPTIONS!$C$38,ASSUMPTIONS!$C$39,ASSUMPTIONS!$C$40,ASSUMPTIONS!$C$41,ASSUMPTIONS!$C$42),ASSUMPTIONS!$C$68)</f>
        <v/>
      </c>
      <c r="I304" s="83">
        <f>MAX(_xlfn.NORM.INV(RAND(),DCF!$C$11,ASSUMPTIONS!$C$69),K304+0.005)</f>
        <v/>
      </c>
      <c r="J304" s="83">
        <f>_xlfn.NORM.INV(RAND(),ASSUMPTIONS!$C$19,ASSUMPTIONS!$C$70)</f>
        <v/>
      </c>
      <c r="K304" s="83">
        <f>_xlfn.NORM.INV(RAND(),ASSUMPTIONS!$C$43,ASSUMPTIONS!$C$71)</f>
        <v/>
      </c>
      <c r="L304" s="84">
        <f>(((ASSUMPTIONS!$C$18*J304*(1-ASSUMPTIONS!$C$20)+ASSUMPTIONS!$C$18*ASSUMPTIONS!$C$21-ASSUMPTIONS!$C$18*ASSUMPTIONS!$C$22)*(1+H304)*(1-((1+H304)/(1+I304))^5)/(I304-H304))+((ASSUMPTIONS!$C$18*J304*(1-ASSUMPTIONS!$C$20)+ASSUMPTIONS!$C$18*ASSUMPTIONS!$C$21-ASSUMPTIONS!$C$18*ASSUMPTIONS!$C$22)*(1+H304)^5*(1+K304)/(I304-K304)/(1+I304)^5)-DCF!$C$12)/ASSUMPTIONS!$C$7</f>
        <v/>
      </c>
    </row>
    <row r="305">
      <c r="H305" s="83">
        <f>_xlfn.NORM.INV(RAND(),AVERAGE(ASSUMPTIONS!$C$38,ASSUMPTIONS!$C$39,ASSUMPTIONS!$C$40,ASSUMPTIONS!$C$41,ASSUMPTIONS!$C$42),ASSUMPTIONS!$C$68)</f>
        <v/>
      </c>
      <c r="I305" s="83">
        <f>MAX(_xlfn.NORM.INV(RAND(),DCF!$C$11,ASSUMPTIONS!$C$69),K305+0.005)</f>
        <v/>
      </c>
      <c r="J305" s="83">
        <f>_xlfn.NORM.INV(RAND(),ASSUMPTIONS!$C$19,ASSUMPTIONS!$C$70)</f>
        <v/>
      </c>
      <c r="K305" s="83">
        <f>_xlfn.NORM.INV(RAND(),ASSUMPTIONS!$C$43,ASSUMPTIONS!$C$71)</f>
        <v/>
      </c>
      <c r="L305" s="84">
        <f>(((ASSUMPTIONS!$C$18*J305*(1-ASSUMPTIONS!$C$20)+ASSUMPTIONS!$C$18*ASSUMPTIONS!$C$21-ASSUMPTIONS!$C$18*ASSUMPTIONS!$C$22)*(1+H305)*(1-((1+H305)/(1+I305))^5)/(I305-H305))+((ASSUMPTIONS!$C$18*J305*(1-ASSUMPTIONS!$C$20)+ASSUMPTIONS!$C$18*ASSUMPTIONS!$C$21-ASSUMPTIONS!$C$18*ASSUMPTIONS!$C$22)*(1+H305)^5*(1+K305)/(I305-K305)/(1+I305)^5)-DCF!$C$12)/ASSUMPTIONS!$C$7</f>
        <v/>
      </c>
    </row>
    <row r="306">
      <c r="H306" s="83">
        <f>_xlfn.NORM.INV(RAND(),AVERAGE(ASSUMPTIONS!$C$38,ASSUMPTIONS!$C$39,ASSUMPTIONS!$C$40,ASSUMPTIONS!$C$41,ASSUMPTIONS!$C$42),ASSUMPTIONS!$C$68)</f>
        <v/>
      </c>
      <c r="I306" s="83">
        <f>MAX(_xlfn.NORM.INV(RAND(),DCF!$C$11,ASSUMPTIONS!$C$69),K306+0.005)</f>
        <v/>
      </c>
      <c r="J306" s="83">
        <f>_xlfn.NORM.INV(RAND(),ASSUMPTIONS!$C$19,ASSUMPTIONS!$C$70)</f>
        <v/>
      </c>
      <c r="K306" s="83">
        <f>_xlfn.NORM.INV(RAND(),ASSUMPTIONS!$C$43,ASSUMPTIONS!$C$71)</f>
        <v/>
      </c>
      <c r="L306" s="84">
        <f>(((ASSUMPTIONS!$C$18*J306*(1-ASSUMPTIONS!$C$20)+ASSUMPTIONS!$C$18*ASSUMPTIONS!$C$21-ASSUMPTIONS!$C$18*ASSUMPTIONS!$C$22)*(1+H306)*(1-((1+H306)/(1+I306))^5)/(I306-H306))+((ASSUMPTIONS!$C$18*J306*(1-ASSUMPTIONS!$C$20)+ASSUMPTIONS!$C$18*ASSUMPTIONS!$C$21-ASSUMPTIONS!$C$18*ASSUMPTIONS!$C$22)*(1+H306)^5*(1+K306)/(I306-K306)/(1+I306)^5)-DCF!$C$12)/ASSUMPTIONS!$C$7</f>
        <v/>
      </c>
    </row>
    <row r="307">
      <c r="H307" s="83">
        <f>_xlfn.NORM.INV(RAND(),AVERAGE(ASSUMPTIONS!$C$38,ASSUMPTIONS!$C$39,ASSUMPTIONS!$C$40,ASSUMPTIONS!$C$41,ASSUMPTIONS!$C$42),ASSUMPTIONS!$C$68)</f>
        <v/>
      </c>
      <c r="I307" s="83">
        <f>MAX(_xlfn.NORM.INV(RAND(),DCF!$C$11,ASSUMPTIONS!$C$69),K307+0.005)</f>
        <v/>
      </c>
      <c r="J307" s="83">
        <f>_xlfn.NORM.INV(RAND(),ASSUMPTIONS!$C$19,ASSUMPTIONS!$C$70)</f>
        <v/>
      </c>
      <c r="K307" s="83">
        <f>_xlfn.NORM.INV(RAND(),ASSUMPTIONS!$C$43,ASSUMPTIONS!$C$71)</f>
        <v/>
      </c>
      <c r="L307" s="84">
        <f>(((ASSUMPTIONS!$C$18*J307*(1-ASSUMPTIONS!$C$20)+ASSUMPTIONS!$C$18*ASSUMPTIONS!$C$21-ASSUMPTIONS!$C$18*ASSUMPTIONS!$C$22)*(1+H307)*(1-((1+H307)/(1+I307))^5)/(I307-H307))+((ASSUMPTIONS!$C$18*J307*(1-ASSUMPTIONS!$C$20)+ASSUMPTIONS!$C$18*ASSUMPTIONS!$C$21-ASSUMPTIONS!$C$18*ASSUMPTIONS!$C$22)*(1+H307)^5*(1+K307)/(I307-K307)/(1+I307)^5)-DCF!$C$12)/ASSUMPTIONS!$C$7</f>
        <v/>
      </c>
    </row>
    <row r="308">
      <c r="H308" s="83">
        <f>_xlfn.NORM.INV(RAND(),AVERAGE(ASSUMPTIONS!$C$38,ASSUMPTIONS!$C$39,ASSUMPTIONS!$C$40,ASSUMPTIONS!$C$41,ASSUMPTIONS!$C$42),ASSUMPTIONS!$C$68)</f>
        <v/>
      </c>
      <c r="I308" s="83">
        <f>MAX(_xlfn.NORM.INV(RAND(),DCF!$C$11,ASSUMPTIONS!$C$69),K308+0.005)</f>
        <v/>
      </c>
      <c r="J308" s="83">
        <f>_xlfn.NORM.INV(RAND(),ASSUMPTIONS!$C$19,ASSUMPTIONS!$C$70)</f>
        <v/>
      </c>
      <c r="K308" s="83">
        <f>_xlfn.NORM.INV(RAND(),ASSUMPTIONS!$C$43,ASSUMPTIONS!$C$71)</f>
        <v/>
      </c>
      <c r="L308" s="84">
        <f>(((ASSUMPTIONS!$C$18*J308*(1-ASSUMPTIONS!$C$20)+ASSUMPTIONS!$C$18*ASSUMPTIONS!$C$21-ASSUMPTIONS!$C$18*ASSUMPTIONS!$C$22)*(1+H308)*(1-((1+H308)/(1+I308))^5)/(I308-H308))+((ASSUMPTIONS!$C$18*J308*(1-ASSUMPTIONS!$C$20)+ASSUMPTIONS!$C$18*ASSUMPTIONS!$C$21-ASSUMPTIONS!$C$18*ASSUMPTIONS!$C$22)*(1+H308)^5*(1+K308)/(I308-K308)/(1+I308)^5)-DCF!$C$12)/ASSUMPTIONS!$C$7</f>
        <v/>
      </c>
    </row>
    <row r="309">
      <c r="H309" s="83">
        <f>_xlfn.NORM.INV(RAND(),AVERAGE(ASSUMPTIONS!$C$38,ASSUMPTIONS!$C$39,ASSUMPTIONS!$C$40,ASSUMPTIONS!$C$41,ASSUMPTIONS!$C$42),ASSUMPTIONS!$C$68)</f>
        <v/>
      </c>
      <c r="I309" s="83">
        <f>MAX(_xlfn.NORM.INV(RAND(),DCF!$C$11,ASSUMPTIONS!$C$69),K309+0.005)</f>
        <v/>
      </c>
      <c r="J309" s="83">
        <f>_xlfn.NORM.INV(RAND(),ASSUMPTIONS!$C$19,ASSUMPTIONS!$C$70)</f>
        <v/>
      </c>
      <c r="K309" s="83">
        <f>_xlfn.NORM.INV(RAND(),ASSUMPTIONS!$C$43,ASSUMPTIONS!$C$71)</f>
        <v/>
      </c>
      <c r="L309" s="84">
        <f>(((ASSUMPTIONS!$C$18*J309*(1-ASSUMPTIONS!$C$20)+ASSUMPTIONS!$C$18*ASSUMPTIONS!$C$21-ASSUMPTIONS!$C$18*ASSUMPTIONS!$C$22)*(1+H309)*(1-((1+H309)/(1+I309))^5)/(I309-H309))+((ASSUMPTIONS!$C$18*J309*(1-ASSUMPTIONS!$C$20)+ASSUMPTIONS!$C$18*ASSUMPTIONS!$C$21-ASSUMPTIONS!$C$18*ASSUMPTIONS!$C$22)*(1+H309)^5*(1+K309)/(I309-K309)/(1+I309)^5)-DCF!$C$12)/ASSUMPTIONS!$C$7</f>
        <v/>
      </c>
    </row>
    <row r="310">
      <c r="H310" s="83">
        <f>_xlfn.NORM.INV(RAND(),AVERAGE(ASSUMPTIONS!$C$38,ASSUMPTIONS!$C$39,ASSUMPTIONS!$C$40,ASSUMPTIONS!$C$41,ASSUMPTIONS!$C$42),ASSUMPTIONS!$C$68)</f>
        <v/>
      </c>
      <c r="I310" s="83">
        <f>MAX(_xlfn.NORM.INV(RAND(),DCF!$C$11,ASSUMPTIONS!$C$69),K310+0.005)</f>
        <v/>
      </c>
      <c r="J310" s="83">
        <f>_xlfn.NORM.INV(RAND(),ASSUMPTIONS!$C$19,ASSUMPTIONS!$C$70)</f>
        <v/>
      </c>
      <c r="K310" s="83">
        <f>_xlfn.NORM.INV(RAND(),ASSUMPTIONS!$C$43,ASSUMPTIONS!$C$71)</f>
        <v/>
      </c>
      <c r="L310" s="84">
        <f>(((ASSUMPTIONS!$C$18*J310*(1-ASSUMPTIONS!$C$20)+ASSUMPTIONS!$C$18*ASSUMPTIONS!$C$21-ASSUMPTIONS!$C$18*ASSUMPTIONS!$C$22)*(1+H310)*(1-((1+H310)/(1+I310))^5)/(I310-H310))+((ASSUMPTIONS!$C$18*J310*(1-ASSUMPTIONS!$C$20)+ASSUMPTIONS!$C$18*ASSUMPTIONS!$C$21-ASSUMPTIONS!$C$18*ASSUMPTIONS!$C$22)*(1+H310)^5*(1+K310)/(I310-K310)/(1+I310)^5)-DCF!$C$12)/ASSUMPTIONS!$C$7</f>
        <v/>
      </c>
    </row>
    <row r="311">
      <c r="H311" s="83">
        <f>_xlfn.NORM.INV(RAND(),AVERAGE(ASSUMPTIONS!$C$38,ASSUMPTIONS!$C$39,ASSUMPTIONS!$C$40,ASSUMPTIONS!$C$41,ASSUMPTIONS!$C$42),ASSUMPTIONS!$C$68)</f>
        <v/>
      </c>
      <c r="I311" s="83">
        <f>MAX(_xlfn.NORM.INV(RAND(),DCF!$C$11,ASSUMPTIONS!$C$69),K311+0.005)</f>
        <v/>
      </c>
      <c r="J311" s="83">
        <f>_xlfn.NORM.INV(RAND(),ASSUMPTIONS!$C$19,ASSUMPTIONS!$C$70)</f>
        <v/>
      </c>
      <c r="K311" s="83">
        <f>_xlfn.NORM.INV(RAND(),ASSUMPTIONS!$C$43,ASSUMPTIONS!$C$71)</f>
        <v/>
      </c>
      <c r="L311" s="84">
        <f>(((ASSUMPTIONS!$C$18*J311*(1-ASSUMPTIONS!$C$20)+ASSUMPTIONS!$C$18*ASSUMPTIONS!$C$21-ASSUMPTIONS!$C$18*ASSUMPTIONS!$C$22)*(1+H311)*(1-((1+H311)/(1+I311))^5)/(I311-H311))+((ASSUMPTIONS!$C$18*J311*(1-ASSUMPTIONS!$C$20)+ASSUMPTIONS!$C$18*ASSUMPTIONS!$C$21-ASSUMPTIONS!$C$18*ASSUMPTIONS!$C$22)*(1+H311)^5*(1+K311)/(I311-K311)/(1+I311)^5)-DCF!$C$12)/ASSUMPTIONS!$C$7</f>
        <v/>
      </c>
    </row>
    <row r="312">
      <c r="H312" s="83">
        <f>_xlfn.NORM.INV(RAND(),AVERAGE(ASSUMPTIONS!$C$38,ASSUMPTIONS!$C$39,ASSUMPTIONS!$C$40,ASSUMPTIONS!$C$41,ASSUMPTIONS!$C$42),ASSUMPTIONS!$C$68)</f>
        <v/>
      </c>
      <c r="I312" s="83">
        <f>MAX(_xlfn.NORM.INV(RAND(),DCF!$C$11,ASSUMPTIONS!$C$69),K312+0.005)</f>
        <v/>
      </c>
      <c r="J312" s="83">
        <f>_xlfn.NORM.INV(RAND(),ASSUMPTIONS!$C$19,ASSUMPTIONS!$C$70)</f>
        <v/>
      </c>
      <c r="K312" s="83">
        <f>_xlfn.NORM.INV(RAND(),ASSUMPTIONS!$C$43,ASSUMPTIONS!$C$71)</f>
        <v/>
      </c>
      <c r="L312" s="84">
        <f>(((ASSUMPTIONS!$C$18*J312*(1-ASSUMPTIONS!$C$20)+ASSUMPTIONS!$C$18*ASSUMPTIONS!$C$21-ASSUMPTIONS!$C$18*ASSUMPTIONS!$C$22)*(1+H312)*(1-((1+H312)/(1+I312))^5)/(I312-H312))+((ASSUMPTIONS!$C$18*J312*(1-ASSUMPTIONS!$C$20)+ASSUMPTIONS!$C$18*ASSUMPTIONS!$C$21-ASSUMPTIONS!$C$18*ASSUMPTIONS!$C$22)*(1+H312)^5*(1+K312)/(I312-K312)/(1+I312)^5)-DCF!$C$12)/ASSUMPTIONS!$C$7</f>
        <v/>
      </c>
    </row>
    <row r="313">
      <c r="H313" s="83">
        <f>_xlfn.NORM.INV(RAND(),AVERAGE(ASSUMPTIONS!$C$38,ASSUMPTIONS!$C$39,ASSUMPTIONS!$C$40,ASSUMPTIONS!$C$41,ASSUMPTIONS!$C$42),ASSUMPTIONS!$C$68)</f>
        <v/>
      </c>
      <c r="I313" s="83">
        <f>MAX(_xlfn.NORM.INV(RAND(),DCF!$C$11,ASSUMPTIONS!$C$69),K313+0.005)</f>
        <v/>
      </c>
      <c r="J313" s="83">
        <f>_xlfn.NORM.INV(RAND(),ASSUMPTIONS!$C$19,ASSUMPTIONS!$C$70)</f>
        <v/>
      </c>
      <c r="K313" s="83">
        <f>_xlfn.NORM.INV(RAND(),ASSUMPTIONS!$C$43,ASSUMPTIONS!$C$71)</f>
        <v/>
      </c>
      <c r="L313" s="84">
        <f>(((ASSUMPTIONS!$C$18*J313*(1-ASSUMPTIONS!$C$20)+ASSUMPTIONS!$C$18*ASSUMPTIONS!$C$21-ASSUMPTIONS!$C$18*ASSUMPTIONS!$C$22)*(1+H313)*(1-((1+H313)/(1+I313))^5)/(I313-H313))+((ASSUMPTIONS!$C$18*J313*(1-ASSUMPTIONS!$C$20)+ASSUMPTIONS!$C$18*ASSUMPTIONS!$C$21-ASSUMPTIONS!$C$18*ASSUMPTIONS!$C$22)*(1+H313)^5*(1+K313)/(I313-K313)/(1+I313)^5)-DCF!$C$12)/ASSUMPTIONS!$C$7</f>
        <v/>
      </c>
    </row>
    <row r="314">
      <c r="H314" s="83">
        <f>_xlfn.NORM.INV(RAND(),AVERAGE(ASSUMPTIONS!$C$38,ASSUMPTIONS!$C$39,ASSUMPTIONS!$C$40,ASSUMPTIONS!$C$41,ASSUMPTIONS!$C$42),ASSUMPTIONS!$C$68)</f>
        <v/>
      </c>
      <c r="I314" s="83">
        <f>MAX(_xlfn.NORM.INV(RAND(),DCF!$C$11,ASSUMPTIONS!$C$69),K314+0.005)</f>
        <v/>
      </c>
      <c r="J314" s="83">
        <f>_xlfn.NORM.INV(RAND(),ASSUMPTIONS!$C$19,ASSUMPTIONS!$C$70)</f>
        <v/>
      </c>
      <c r="K314" s="83">
        <f>_xlfn.NORM.INV(RAND(),ASSUMPTIONS!$C$43,ASSUMPTIONS!$C$71)</f>
        <v/>
      </c>
      <c r="L314" s="84">
        <f>(((ASSUMPTIONS!$C$18*J314*(1-ASSUMPTIONS!$C$20)+ASSUMPTIONS!$C$18*ASSUMPTIONS!$C$21-ASSUMPTIONS!$C$18*ASSUMPTIONS!$C$22)*(1+H314)*(1-((1+H314)/(1+I314))^5)/(I314-H314))+((ASSUMPTIONS!$C$18*J314*(1-ASSUMPTIONS!$C$20)+ASSUMPTIONS!$C$18*ASSUMPTIONS!$C$21-ASSUMPTIONS!$C$18*ASSUMPTIONS!$C$22)*(1+H314)^5*(1+K314)/(I314-K314)/(1+I314)^5)-DCF!$C$12)/ASSUMPTIONS!$C$7</f>
        <v/>
      </c>
    </row>
    <row r="315">
      <c r="H315" s="83">
        <f>_xlfn.NORM.INV(RAND(),AVERAGE(ASSUMPTIONS!$C$38,ASSUMPTIONS!$C$39,ASSUMPTIONS!$C$40,ASSUMPTIONS!$C$41,ASSUMPTIONS!$C$42),ASSUMPTIONS!$C$68)</f>
        <v/>
      </c>
      <c r="I315" s="83">
        <f>MAX(_xlfn.NORM.INV(RAND(),DCF!$C$11,ASSUMPTIONS!$C$69),K315+0.005)</f>
        <v/>
      </c>
      <c r="J315" s="83">
        <f>_xlfn.NORM.INV(RAND(),ASSUMPTIONS!$C$19,ASSUMPTIONS!$C$70)</f>
        <v/>
      </c>
      <c r="K315" s="83">
        <f>_xlfn.NORM.INV(RAND(),ASSUMPTIONS!$C$43,ASSUMPTIONS!$C$71)</f>
        <v/>
      </c>
      <c r="L315" s="84">
        <f>(((ASSUMPTIONS!$C$18*J315*(1-ASSUMPTIONS!$C$20)+ASSUMPTIONS!$C$18*ASSUMPTIONS!$C$21-ASSUMPTIONS!$C$18*ASSUMPTIONS!$C$22)*(1+H315)*(1-((1+H315)/(1+I315))^5)/(I315-H315))+((ASSUMPTIONS!$C$18*J315*(1-ASSUMPTIONS!$C$20)+ASSUMPTIONS!$C$18*ASSUMPTIONS!$C$21-ASSUMPTIONS!$C$18*ASSUMPTIONS!$C$22)*(1+H315)^5*(1+K315)/(I315-K315)/(1+I315)^5)-DCF!$C$12)/ASSUMPTIONS!$C$7</f>
        <v/>
      </c>
    </row>
    <row r="316">
      <c r="H316" s="83">
        <f>_xlfn.NORM.INV(RAND(),AVERAGE(ASSUMPTIONS!$C$38,ASSUMPTIONS!$C$39,ASSUMPTIONS!$C$40,ASSUMPTIONS!$C$41,ASSUMPTIONS!$C$42),ASSUMPTIONS!$C$68)</f>
        <v/>
      </c>
      <c r="I316" s="83">
        <f>MAX(_xlfn.NORM.INV(RAND(),DCF!$C$11,ASSUMPTIONS!$C$69),K316+0.005)</f>
        <v/>
      </c>
      <c r="J316" s="83">
        <f>_xlfn.NORM.INV(RAND(),ASSUMPTIONS!$C$19,ASSUMPTIONS!$C$70)</f>
        <v/>
      </c>
      <c r="K316" s="83">
        <f>_xlfn.NORM.INV(RAND(),ASSUMPTIONS!$C$43,ASSUMPTIONS!$C$71)</f>
        <v/>
      </c>
      <c r="L316" s="84">
        <f>(((ASSUMPTIONS!$C$18*J316*(1-ASSUMPTIONS!$C$20)+ASSUMPTIONS!$C$18*ASSUMPTIONS!$C$21-ASSUMPTIONS!$C$18*ASSUMPTIONS!$C$22)*(1+H316)*(1-((1+H316)/(1+I316))^5)/(I316-H316))+((ASSUMPTIONS!$C$18*J316*(1-ASSUMPTIONS!$C$20)+ASSUMPTIONS!$C$18*ASSUMPTIONS!$C$21-ASSUMPTIONS!$C$18*ASSUMPTIONS!$C$22)*(1+H316)^5*(1+K316)/(I316-K316)/(1+I316)^5)-DCF!$C$12)/ASSUMPTIONS!$C$7</f>
        <v/>
      </c>
    </row>
    <row r="317">
      <c r="H317" s="83">
        <f>_xlfn.NORM.INV(RAND(),AVERAGE(ASSUMPTIONS!$C$38,ASSUMPTIONS!$C$39,ASSUMPTIONS!$C$40,ASSUMPTIONS!$C$41,ASSUMPTIONS!$C$42),ASSUMPTIONS!$C$68)</f>
        <v/>
      </c>
      <c r="I317" s="83">
        <f>MAX(_xlfn.NORM.INV(RAND(),DCF!$C$11,ASSUMPTIONS!$C$69),K317+0.005)</f>
        <v/>
      </c>
      <c r="J317" s="83">
        <f>_xlfn.NORM.INV(RAND(),ASSUMPTIONS!$C$19,ASSUMPTIONS!$C$70)</f>
        <v/>
      </c>
      <c r="K317" s="83">
        <f>_xlfn.NORM.INV(RAND(),ASSUMPTIONS!$C$43,ASSUMPTIONS!$C$71)</f>
        <v/>
      </c>
      <c r="L317" s="84">
        <f>(((ASSUMPTIONS!$C$18*J317*(1-ASSUMPTIONS!$C$20)+ASSUMPTIONS!$C$18*ASSUMPTIONS!$C$21-ASSUMPTIONS!$C$18*ASSUMPTIONS!$C$22)*(1+H317)*(1-((1+H317)/(1+I317))^5)/(I317-H317))+((ASSUMPTIONS!$C$18*J317*(1-ASSUMPTIONS!$C$20)+ASSUMPTIONS!$C$18*ASSUMPTIONS!$C$21-ASSUMPTIONS!$C$18*ASSUMPTIONS!$C$22)*(1+H317)^5*(1+K317)/(I317-K317)/(1+I317)^5)-DCF!$C$12)/ASSUMPTIONS!$C$7</f>
        <v/>
      </c>
    </row>
    <row r="318">
      <c r="H318" s="83">
        <f>_xlfn.NORM.INV(RAND(),AVERAGE(ASSUMPTIONS!$C$38,ASSUMPTIONS!$C$39,ASSUMPTIONS!$C$40,ASSUMPTIONS!$C$41,ASSUMPTIONS!$C$42),ASSUMPTIONS!$C$68)</f>
        <v/>
      </c>
      <c r="I318" s="83">
        <f>MAX(_xlfn.NORM.INV(RAND(),DCF!$C$11,ASSUMPTIONS!$C$69),K318+0.005)</f>
        <v/>
      </c>
      <c r="J318" s="83">
        <f>_xlfn.NORM.INV(RAND(),ASSUMPTIONS!$C$19,ASSUMPTIONS!$C$70)</f>
        <v/>
      </c>
      <c r="K318" s="83">
        <f>_xlfn.NORM.INV(RAND(),ASSUMPTIONS!$C$43,ASSUMPTIONS!$C$71)</f>
        <v/>
      </c>
      <c r="L318" s="84">
        <f>(((ASSUMPTIONS!$C$18*J318*(1-ASSUMPTIONS!$C$20)+ASSUMPTIONS!$C$18*ASSUMPTIONS!$C$21-ASSUMPTIONS!$C$18*ASSUMPTIONS!$C$22)*(1+H318)*(1-((1+H318)/(1+I318))^5)/(I318-H318))+((ASSUMPTIONS!$C$18*J318*(1-ASSUMPTIONS!$C$20)+ASSUMPTIONS!$C$18*ASSUMPTIONS!$C$21-ASSUMPTIONS!$C$18*ASSUMPTIONS!$C$22)*(1+H318)^5*(1+K318)/(I318-K318)/(1+I318)^5)-DCF!$C$12)/ASSUMPTIONS!$C$7</f>
        <v/>
      </c>
    </row>
    <row r="319">
      <c r="H319" s="83">
        <f>_xlfn.NORM.INV(RAND(),AVERAGE(ASSUMPTIONS!$C$38,ASSUMPTIONS!$C$39,ASSUMPTIONS!$C$40,ASSUMPTIONS!$C$41,ASSUMPTIONS!$C$42),ASSUMPTIONS!$C$68)</f>
        <v/>
      </c>
      <c r="I319" s="83">
        <f>MAX(_xlfn.NORM.INV(RAND(),DCF!$C$11,ASSUMPTIONS!$C$69),K319+0.005)</f>
        <v/>
      </c>
      <c r="J319" s="83">
        <f>_xlfn.NORM.INV(RAND(),ASSUMPTIONS!$C$19,ASSUMPTIONS!$C$70)</f>
        <v/>
      </c>
      <c r="K319" s="83">
        <f>_xlfn.NORM.INV(RAND(),ASSUMPTIONS!$C$43,ASSUMPTIONS!$C$71)</f>
        <v/>
      </c>
      <c r="L319" s="84">
        <f>(((ASSUMPTIONS!$C$18*J319*(1-ASSUMPTIONS!$C$20)+ASSUMPTIONS!$C$18*ASSUMPTIONS!$C$21-ASSUMPTIONS!$C$18*ASSUMPTIONS!$C$22)*(1+H319)*(1-((1+H319)/(1+I319))^5)/(I319-H319))+((ASSUMPTIONS!$C$18*J319*(1-ASSUMPTIONS!$C$20)+ASSUMPTIONS!$C$18*ASSUMPTIONS!$C$21-ASSUMPTIONS!$C$18*ASSUMPTIONS!$C$22)*(1+H319)^5*(1+K319)/(I319-K319)/(1+I319)^5)-DCF!$C$12)/ASSUMPTIONS!$C$7</f>
        <v/>
      </c>
    </row>
    <row r="320">
      <c r="H320" s="83">
        <f>_xlfn.NORM.INV(RAND(),AVERAGE(ASSUMPTIONS!$C$38,ASSUMPTIONS!$C$39,ASSUMPTIONS!$C$40,ASSUMPTIONS!$C$41,ASSUMPTIONS!$C$42),ASSUMPTIONS!$C$68)</f>
        <v/>
      </c>
      <c r="I320" s="83">
        <f>MAX(_xlfn.NORM.INV(RAND(),DCF!$C$11,ASSUMPTIONS!$C$69),K320+0.005)</f>
        <v/>
      </c>
      <c r="J320" s="83">
        <f>_xlfn.NORM.INV(RAND(),ASSUMPTIONS!$C$19,ASSUMPTIONS!$C$70)</f>
        <v/>
      </c>
      <c r="K320" s="83">
        <f>_xlfn.NORM.INV(RAND(),ASSUMPTIONS!$C$43,ASSUMPTIONS!$C$71)</f>
        <v/>
      </c>
      <c r="L320" s="84">
        <f>(((ASSUMPTIONS!$C$18*J320*(1-ASSUMPTIONS!$C$20)+ASSUMPTIONS!$C$18*ASSUMPTIONS!$C$21-ASSUMPTIONS!$C$18*ASSUMPTIONS!$C$22)*(1+H320)*(1-((1+H320)/(1+I320))^5)/(I320-H320))+((ASSUMPTIONS!$C$18*J320*(1-ASSUMPTIONS!$C$20)+ASSUMPTIONS!$C$18*ASSUMPTIONS!$C$21-ASSUMPTIONS!$C$18*ASSUMPTIONS!$C$22)*(1+H320)^5*(1+K320)/(I320-K320)/(1+I320)^5)-DCF!$C$12)/ASSUMPTIONS!$C$7</f>
        <v/>
      </c>
    </row>
    <row r="321">
      <c r="H321" s="83">
        <f>_xlfn.NORM.INV(RAND(),AVERAGE(ASSUMPTIONS!$C$38,ASSUMPTIONS!$C$39,ASSUMPTIONS!$C$40,ASSUMPTIONS!$C$41,ASSUMPTIONS!$C$42),ASSUMPTIONS!$C$68)</f>
        <v/>
      </c>
      <c r="I321" s="83">
        <f>MAX(_xlfn.NORM.INV(RAND(),DCF!$C$11,ASSUMPTIONS!$C$69),K321+0.005)</f>
        <v/>
      </c>
      <c r="J321" s="83">
        <f>_xlfn.NORM.INV(RAND(),ASSUMPTIONS!$C$19,ASSUMPTIONS!$C$70)</f>
        <v/>
      </c>
      <c r="K321" s="83">
        <f>_xlfn.NORM.INV(RAND(),ASSUMPTIONS!$C$43,ASSUMPTIONS!$C$71)</f>
        <v/>
      </c>
      <c r="L321" s="84">
        <f>(((ASSUMPTIONS!$C$18*J321*(1-ASSUMPTIONS!$C$20)+ASSUMPTIONS!$C$18*ASSUMPTIONS!$C$21-ASSUMPTIONS!$C$18*ASSUMPTIONS!$C$22)*(1+H321)*(1-((1+H321)/(1+I321))^5)/(I321-H321))+((ASSUMPTIONS!$C$18*J321*(1-ASSUMPTIONS!$C$20)+ASSUMPTIONS!$C$18*ASSUMPTIONS!$C$21-ASSUMPTIONS!$C$18*ASSUMPTIONS!$C$22)*(1+H321)^5*(1+K321)/(I321-K321)/(1+I321)^5)-DCF!$C$12)/ASSUMPTIONS!$C$7</f>
        <v/>
      </c>
    </row>
    <row r="322">
      <c r="H322" s="83">
        <f>_xlfn.NORM.INV(RAND(),AVERAGE(ASSUMPTIONS!$C$38,ASSUMPTIONS!$C$39,ASSUMPTIONS!$C$40,ASSUMPTIONS!$C$41,ASSUMPTIONS!$C$42),ASSUMPTIONS!$C$68)</f>
        <v/>
      </c>
      <c r="I322" s="83">
        <f>MAX(_xlfn.NORM.INV(RAND(),DCF!$C$11,ASSUMPTIONS!$C$69),K322+0.005)</f>
        <v/>
      </c>
      <c r="J322" s="83">
        <f>_xlfn.NORM.INV(RAND(),ASSUMPTIONS!$C$19,ASSUMPTIONS!$C$70)</f>
        <v/>
      </c>
      <c r="K322" s="83">
        <f>_xlfn.NORM.INV(RAND(),ASSUMPTIONS!$C$43,ASSUMPTIONS!$C$71)</f>
        <v/>
      </c>
      <c r="L322" s="84">
        <f>(((ASSUMPTIONS!$C$18*J322*(1-ASSUMPTIONS!$C$20)+ASSUMPTIONS!$C$18*ASSUMPTIONS!$C$21-ASSUMPTIONS!$C$18*ASSUMPTIONS!$C$22)*(1+H322)*(1-((1+H322)/(1+I322))^5)/(I322-H322))+((ASSUMPTIONS!$C$18*J322*(1-ASSUMPTIONS!$C$20)+ASSUMPTIONS!$C$18*ASSUMPTIONS!$C$21-ASSUMPTIONS!$C$18*ASSUMPTIONS!$C$22)*(1+H322)^5*(1+K322)/(I322-K322)/(1+I322)^5)-DCF!$C$12)/ASSUMPTIONS!$C$7</f>
        <v/>
      </c>
    </row>
    <row r="323">
      <c r="H323" s="83">
        <f>_xlfn.NORM.INV(RAND(),AVERAGE(ASSUMPTIONS!$C$38,ASSUMPTIONS!$C$39,ASSUMPTIONS!$C$40,ASSUMPTIONS!$C$41,ASSUMPTIONS!$C$42),ASSUMPTIONS!$C$68)</f>
        <v/>
      </c>
      <c r="I323" s="83">
        <f>MAX(_xlfn.NORM.INV(RAND(),DCF!$C$11,ASSUMPTIONS!$C$69),K323+0.005)</f>
        <v/>
      </c>
      <c r="J323" s="83">
        <f>_xlfn.NORM.INV(RAND(),ASSUMPTIONS!$C$19,ASSUMPTIONS!$C$70)</f>
        <v/>
      </c>
      <c r="K323" s="83">
        <f>_xlfn.NORM.INV(RAND(),ASSUMPTIONS!$C$43,ASSUMPTIONS!$C$71)</f>
        <v/>
      </c>
      <c r="L323" s="84">
        <f>(((ASSUMPTIONS!$C$18*J323*(1-ASSUMPTIONS!$C$20)+ASSUMPTIONS!$C$18*ASSUMPTIONS!$C$21-ASSUMPTIONS!$C$18*ASSUMPTIONS!$C$22)*(1+H323)*(1-((1+H323)/(1+I323))^5)/(I323-H323))+((ASSUMPTIONS!$C$18*J323*(1-ASSUMPTIONS!$C$20)+ASSUMPTIONS!$C$18*ASSUMPTIONS!$C$21-ASSUMPTIONS!$C$18*ASSUMPTIONS!$C$22)*(1+H323)^5*(1+K323)/(I323-K323)/(1+I323)^5)-DCF!$C$12)/ASSUMPTIONS!$C$7</f>
        <v/>
      </c>
    </row>
    <row r="324">
      <c r="H324" s="83">
        <f>_xlfn.NORM.INV(RAND(),AVERAGE(ASSUMPTIONS!$C$38,ASSUMPTIONS!$C$39,ASSUMPTIONS!$C$40,ASSUMPTIONS!$C$41,ASSUMPTIONS!$C$42),ASSUMPTIONS!$C$68)</f>
        <v/>
      </c>
      <c r="I324" s="83">
        <f>MAX(_xlfn.NORM.INV(RAND(),DCF!$C$11,ASSUMPTIONS!$C$69),K324+0.005)</f>
        <v/>
      </c>
      <c r="J324" s="83">
        <f>_xlfn.NORM.INV(RAND(),ASSUMPTIONS!$C$19,ASSUMPTIONS!$C$70)</f>
        <v/>
      </c>
      <c r="K324" s="83">
        <f>_xlfn.NORM.INV(RAND(),ASSUMPTIONS!$C$43,ASSUMPTIONS!$C$71)</f>
        <v/>
      </c>
      <c r="L324" s="84">
        <f>(((ASSUMPTIONS!$C$18*J324*(1-ASSUMPTIONS!$C$20)+ASSUMPTIONS!$C$18*ASSUMPTIONS!$C$21-ASSUMPTIONS!$C$18*ASSUMPTIONS!$C$22)*(1+H324)*(1-((1+H324)/(1+I324))^5)/(I324-H324))+((ASSUMPTIONS!$C$18*J324*(1-ASSUMPTIONS!$C$20)+ASSUMPTIONS!$C$18*ASSUMPTIONS!$C$21-ASSUMPTIONS!$C$18*ASSUMPTIONS!$C$22)*(1+H324)^5*(1+K324)/(I324-K324)/(1+I324)^5)-DCF!$C$12)/ASSUMPTIONS!$C$7</f>
        <v/>
      </c>
    </row>
    <row r="325">
      <c r="H325" s="83">
        <f>_xlfn.NORM.INV(RAND(),AVERAGE(ASSUMPTIONS!$C$38,ASSUMPTIONS!$C$39,ASSUMPTIONS!$C$40,ASSUMPTIONS!$C$41,ASSUMPTIONS!$C$42),ASSUMPTIONS!$C$68)</f>
        <v/>
      </c>
      <c r="I325" s="83">
        <f>MAX(_xlfn.NORM.INV(RAND(),DCF!$C$11,ASSUMPTIONS!$C$69),K325+0.005)</f>
        <v/>
      </c>
      <c r="J325" s="83">
        <f>_xlfn.NORM.INV(RAND(),ASSUMPTIONS!$C$19,ASSUMPTIONS!$C$70)</f>
        <v/>
      </c>
      <c r="K325" s="83">
        <f>_xlfn.NORM.INV(RAND(),ASSUMPTIONS!$C$43,ASSUMPTIONS!$C$71)</f>
        <v/>
      </c>
      <c r="L325" s="84">
        <f>(((ASSUMPTIONS!$C$18*J325*(1-ASSUMPTIONS!$C$20)+ASSUMPTIONS!$C$18*ASSUMPTIONS!$C$21-ASSUMPTIONS!$C$18*ASSUMPTIONS!$C$22)*(1+H325)*(1-((1+H325)/(1+I325))^5)/(I325-H325))+((ASSUMPTIONS!$C$18*J325*(1-ASSUMPTIONS!$C$20)+ASSUMPTIONS!$C$18*ASSUMPTIONS!$C$21-ASSUMPTIONS!$C$18*ASSUMPTIONS!$C$22)*(1+H325)^5*(1+K325)/(I325-K325)/(1+I325)^5)-DCF!$C$12)/ASSUMPTIONS!$C$7</f>
        <v/>
      </c>
    </row>
    <row r="326">
      <c r="H326" s="83">
        <f>_xlfn.NORM.INV(RAND(),AVERAGE(ASSUMPTIONS!$C$38,ASSUMPTIONS!$C$39,ASSUMPTIONS!$C$40,ASSUMPTIONS!$C$41,ASSUMPTIONS!$C$42),ASSUMPTIONS!$C$68)</f>
        <v/>
      </c>
      <c r="I326" s="83">
        <f>MAX(_xlfn.NORM.INV(RAND(),DCF!$C$11,ASSUMPTIONS!$C$69),K326+0.005)</f>
        <v/>
      </c>
      <c r="J326" s="83">
        <f>_xlfn.NORM.INV(RAND(),ASSUMPTIONS!$C$19,ASSUMPTIONS!$C$70)</f>
        <v/>
      </c>
      <c r="K326" s="83">
        <f>_xlfn.NORM.INV(RAND(),ASSUMPTIONS!$C$43,ASSUMPTIONS!$C$71)</f>
        <v/>
      </c>
      <c r="L326" s="84">
        <f>(((ASSUMPTIONS!$C$18*J326*(1-ASSUMPTIONS!$C$20)+ASSUMPTIONS!$C$18*ASSUMPTIONS!$C$21-ASSUMPTIONS!$C$18*ASSUMPTIONS!$C$22)*(1+H326)*(1-((1+H326)/(1+I326))^5)/(I326-H326))+((ASSUMPTIONS!$C$18*J326*(1-ASSUMPTIONS!$C$20)+ASSUMPTIONS!$C$18*ASSUMPTIONS!$C$21-ASSUMPTIONS!$C$18*ASSUMPTIONS!$C$22)*(1+H326)^5*(1+K326)/(I326-K326)/(1+I326)^5)-DCF!$C$12)/ASSUMPTIONS!$C$7</f>
        <v/>
      </c>
    </row>
    <row r="327">
      <c r="H327" s="83">
        <f>_xlfn.NORM.INV(RAND(),AVERAGE(ASSUMPTIONS!$C$38,ASSUMPTIONS!$C$39,ASSUMPTIONS!$C$40,ASSUMPTIONS!$C$41,ASSUMPTIONS!$C$42),ASSUMPTIONS!$C$68)</f>
        <v/>
      </c>
      <c r="I327" s="83">
        <f>MAX(_xlfn.NORM.INV(RAND(),DCF!$C$11,ASSUMPTIONS!$C$69),K327+0.005)</f>
        <v/>
      </c>
      <c r="J327" s="83">
        <f>_xlfn.NORM.INV(RAND(),ASSUMPTIONS!$C$19,ASSUMPTIONS!$C$70)</f>
        <v/>
      </c>
      <c r="K327" s="83">
        <f>_xlfn.NORM.INV(RAND(),ASSUMPTIONS!$C$43,ASSUMPTIONS!$C$71)</f>
        <v/>
      </c>
      <c r="L327" s="84">
        <f>(((ASSUMPTIONS!$C$18*J327*(1-ASSUMPTIONS!$C$20)+ASSUMPTIONS!$C$18*ASSUMPTIONS!$C$21-ASSUMPTIONS!$C$18*ASSUMPTIONS!$C$22)*(1+H327)*(1-((1+H327)/(1+I327))^5)/(I327-H327))+((ASSUMPTIONS!$C$18*J327*(1-ASSUMPTIONS!$C$20)+ASSUMPTIONS!$C$18*ASSUMPTIONS!$C$21-ASSUMPTIONS!$C$18*ASSUMPTIONS!$C$22)*(1+H327)^5*(1+K327)/(I327-K327)/(1+I327)^5)-DCF!$C$12)/ASSUMPTIONS!$C$7</f>
        <v/>
      </c>
    </row>
    <row r="328">
      <c r="H328" s="83">
        <f>_xlfn.NORM.INV(RAND(),AVERAGE(ASSUMPTIONS!$C$38,ASSUMPTIONS!$C$39,ASSUMPTIONS!$C$40,ASSUMPTIONS!$C$41,ASSUMPTIONS!$C$42),ASSUMPTIONS!$C$68)</f>
        <v/>
      </c>
      <c r="I328" s="83">
        <f>MAX(_xlfn.NORM.INV(RAND(),DCF!$C$11,ASSUMPTIONS!$C$69),K328+0.005)</f>
        <v/>
      </c>
      <c r="J328" s="83">
        <f>_xlfn.NORM.INV(RAND(),ASSUMPTIONS!$C$19,ASSUMPTIONS!$C$70)</f>
        <v/>
      </c>
      <c r="K328" s="83">
        <f>_xlfn.NORM.INV(RAND(),ASSUMPTIONS!$C$43,ASSUMPTIONS!$C$71)</f>
        <v/>
      </c>
      <c r="L328" s="84">
        <f>(((ASSUMPTIONS!$C$18*J328*(1-ASSUMPTIONS!$C$20)+ASSUMPTIONS!$C$18*ASSUMPTIONS!$C$21-ASSUMPTIONS!$C$18*ASSUMPTIONS!$C$22)*(1+H328)*(1-((1+H328)/(1+I328))^5)/(I328-H328))+((ASSUMPTIONS!$C$18*J328*(1-ASSUMPTIONS!$C$20)+ASSUMPTIONS!$C$18*ASSUMPTIONS!$C$21-ASSUMPTIONS!$C$18*ASSUMPTIONS!$C$22)*(1+H328)^5*(1+K328)/(I328-K328)/(1+I328)^5)-DCF!$C$12)/ASSUMPTIONS!$C$7</f>
        <v/>
      </c>
    </row>
    <row r="329">
      <c r="H329" s="83">
        <f>_xlfn.NORM.INV(RAND(),AVERAGE(ASSUMPTIONS!$C$38,ASSUMPTIONS!$C$39,ASSUMPTIONS!$C$40,ASSUMPTIONS!$C$41,ASSUMPTIONS!$C$42),ASSUMPTIONS!$C$68)</f>
        <v/>
      </c>
      <c r="I329" s="83">
        <f>MAX(_xlfn.NORM.INV(RAND(),DCF!$C$11,ASSUMPTIONS!$C$69),K329+0.005)</f>
        <v/>
      </c>
      <c r="J329" s="83">
        <f>_xlfn.NORM.INV(RAND(),ASSUMPTIONS!$C$19,ASSUMPTIONS!$C$70)</f>
        <v/>
      </c>
      <c r="K329" s="83">
        <f>_xlfn.NORM.INV(RAND(),ASSUMPTIONS!$C$43,ASSUMPTIONS!$C$71)</f>
        <v/>
      </c>
      <c r="L329" s="84">
        <f>(((ASSUMPTIONS!$C$18*J329*(1-ASSUMPTIONS!$C$20)+ASSUMPTIONS!$C$18*ASSUMPTIONS!$C$21-ASSUMPTIONS!$C$18*ASSUMPTIONS!$C$22)*(1+H329)*(1-((1+H329)/(1+I329))^5)/(I329-H329))+((ASSUMPTIONS!$C$18*J329*(1-ASSUMPTIONS!$C$20)+ASSUMPTIONS!$C$18*ASSUMPTIONS!$C$21-ASSUMPTIONS!$C$18*ASSUMPTIONS!$C$22)*(1+H329)^5*(1+K329)/(I329-K329)/(1+I329)^5)-DCF!$C$12)/ASSUMPTIONS!$C$7</f>
        <v/>
      </c>
    </row>
    <row r="330">
      <c r="H330" s="83">
        <f>_xlfn.NORM.INV(RAND(),AVERAGE(ASSUMPTIONS!$C$38,ASSUMPTIONS!$C$39,ASSUMPTIONS!$C$40,ASSUMPTIONS!$C$41,ASSUMPTIONS!$C$42),ASSUMPTIONS!$C$68)</f>
        <v/>
      </c>
      <c r="I330" s="83">
        <f>MAX(_xlfn.NORM.INV(RAND(),DCF!$C$11,ASSUMPTIONS!$C$69),K330+0.005)</f>
        <v/>
      </c>
      <c r="J330" s="83">
        <f>_xlfn.NORM.INV(RAND(),ASSUMPTIONS!$C$19,ASSUMPTIONS!$C$70)</f>
        <v/>
      </c>
      <c r="K330" s="83">
        <f>_xlfn.NORM.INV(RAND(),ASSUMPTIONS!$C$43,ASSUMPTIONS!$C$71)</f>
        <v/>
      </c>
      <c r="L330" s="84">
        <f>(((ASSUMPTIONS!$C$18*J330*(1-ASSUMPTIONS!$C$20)+ASSUMPTIONS!$C$18*ASSUMPTIONS!$C$21-ASSUMPTIONS!$C$18*ASSUMPTIONS!$C$22)*(1+H330)*(1-((1+H330)/(1+I330))^5)/(I330-H330))+((ASSUMPTIONS!$C$18*J330*(1-ASSUMPTIONS!$C$20)+ASSUMPTIONS!$C$18*ASSUMPTIONS!$C$21-ASSUMPTIONS!$C$18*ASSUMPTIONS!$C$22)*(1+H330)^5*(1+K330)/(I330-K330)/(1+I330)^5)-DCF!$C$12)/ASSUMPTIONS!$C$7</f>
        <v/>
      </c>
    </row>
    <row r="331">
      <c r="H331" s="83">
        <f>_xlfn.NORM.INV(RAND(),AVERAGE(ASSUMPTIONS!$C$38,ASSUMPTIONS!$C$39,ASSUMPTIONS!$C$40,ASSUMPTIONS!$C$41,ASSUMPTIONS!$C$42),ASSUMPTIONS!$C$68)</f>
        <v/>
      </c>
      <c r="I331" s="83">
        <f>MAX(_xlfn.NORM.INV(RAND(),DCF!$C$11,ASSUMPTIONS!$C$69),K331+0.005)</f>
        <v/>
      </c>
      <c r="J331" s="83">
        <f>_xlfn.NORM.INV(RAND(),ASSUMPTIONS!$C$19,ASSUMPTIONS!$C$70)</f>
        <v/>
      </c>
      <c r="K331" s="83">
        <f>_xlfn.NORM.INV(RAND(),ASSUMPTIONS!$C$43,ASSUMPTIONS!$C$71)</f>
        <v/>
      </c>
      <c r="L331" s="84">
        <f>(((ASSUMPTIONS!$C$18*J331*(1-ASSUMPTIONS!$C$20)+ASSUMPTIONS!$C$18*ASSUMPTIONS!$C$21-ASSUMPTIONS!$C$18*ASSUMPTIONS!$C$22)*(1+H331)*(1-((1+H331)/(1+I331))^5)/(I331-H331))+((ASSUMPTIONS!$C$18*J331*(1-ASSUMPTIONS!$C$20)+ASSUMPTIONS!$C$18*ASSUMPTIONS!$C$21-ASSUMPTIONS!$C$18*ASSUMPTIONS!$C$22)*(1+H331)^5*(1+K331)/(I331-K331)/(1+I331)^5)-DCF!$C$12)/ASSUMPTIONS!$C$7</f>
        <v/>
      </c>
    </row>
    <row r="332">
      <c r="H332" s="83">
        <f>_xlfn.NORM.INV(RAND(),AVERAGE(ASSUMPTIONS!$C$38,ASSUMPTIONS!$C$39,ASSUMPTIONS!$C$40,ASSUMPTIONS!$C$41,ASSUMPTIONS!$C$42),ASSUMPTIONS!$C$68)</f>
        <v/>
      </c>
      <c r="I332" s="83">
        <f>MAX(_xlfn.NORM.INV(RAND(),DCF!$C$11,ASSUMPTIONS!$C$69),K332+0.005)</f>
        <v/>
      </c>
      <c r="J332" s="83">
        <f>_xlfn.NORM.INV(RAND(),ASSUMPTIONS!$C$19,ASSUMPTIONS!$C$70)</f>
        <v/>
      </c>
      <c r="K332" s="83">
        <f>_xlfn.NORM.INV(RAND(),ASSUMPTIONS!$C$43,ASSUMPTIONS!$C$71)</f>
        <v/>
      </c>
      <c r="L332" s="84">
        <f>(((ASSUMPTIONS!$C$18*J332*(1-ASSUMPTIONS!$C$20)+ASSUMPTIONS!$C$18*ASSUMPTIONS!$C$21-ASSUMPTIONS!$C$18*ASSUMPTIONS!$C$22)*(1+H332)*(1-((1+H332)/(1+I332))^5)/(I332-H332))+((ASSUMPTIONS!$C$18*J332*(1-ASSUMPTIONS!$C$20)+ASSUMPTIONS!$C$18*ASSUMPTIONS!$C$21-ASSUMPTIONS!$C$18*ASSUMPTIONS!$C$22)*(1+H332)^5*(1+K332)/(I332-K332)/(1+I332)^5)-DCF!$C$12)/ASSUMPTIONS!$C$7</f>
        <v/>
      </c>
    </row>
    <row r="333">
      <c r="H333" s="83">
        <f>_xlfn.NORM.INV(RAND(),AVERAGE(ASSUMPTIONS!$C$38,ASSUMPTIONS!$C$39,ASSUMPTIONS!$C$40,ASSUMPTIONS!$C$41,ASSUMPTIONS!$C$42),ASSUMPTIONS!$C$68)</f>
        <v/>
      </c>
      <c r="I333" s="83">
        <f>MAX(_xlfn.NORM.INV(RAND(),DCF!$C$11,ASSUMPTIONS!$C$69),K333+0.005)</f>
        <v/>
      </c>
      <c r="J333" s="83">
        <f>_xlfn.NORM.INV(RAND(),ASSUMPTIONS!$C$19,ASSUMPTIONS!$C$70)</f>
        <v/>
      </c>
      <c r="K333" s="83">
        <f>_xlfn.NORM.INV(RAND(),ASSUMPTIONS!$C$43,ASSUMPTIONS!$C$71)</f>
        <v/>
      </c>
      <c r="L333" s="84">
        <f>(((ASSUMPTIONS!$C$18*J333*(1-ASSUMPTIONS!$C$20)+ASSUMPTIONS!$C$18*ASSUMPTIONS!$C$21-ASSUMPTIONS!$C$18*ASSUMPTIONS!$C$22)*(1+H333)*(1-((1+H333)/(1+I333))^5)/(I333-H333))+((ASSUMPTIONS!$C$18*J333*(1-ASSUMPTIONS!$C$20)+ASSUMPTIONS!$C$18*ASSUMPTIONS!$C$21-ASSUMPTIONS!$C$18*ASSUMPTIONS!$C$22)*(1+H333)^5*(1+K333)/(I333-K333)/(1+I333)^5)-DCF!$C$12)/ASSUMPTIONS!$C$7</f>
        <v/>
      </c>
    </row>
    <row r="334">
      <c r="H334" s="83">
        <f>_xlfn.NORM.INV(RAND(),AVERAGE(ASSUMPTIONS!$C$38,ASSUMPTIONS!$C$39,ASSUMPTIONS!$C$40,ASSUMPTIONS!$C$41,ASSUMPTIONS!$C$42),ASSUMPTIONS!$C$68)</f>
        <v/>
      </c>
      <c r="I334" s="83">
        <f>MAX(_xlfn.NORM.INV(RAND(),DCF!$C$11,ASSUMPTIONS!$C$69),K334+0.005)</f>
        <v/>
      </c>
      <c r="J334" s="83">
        <f>_xlfn.NORM.INV(RAND(),ASSUMPTIONS!$C$19,ASSUMPTIONS!$C$70)</f>
        <v/>
      </c>
      <c r="K334" s="83">
        <f>_xlfn.NORM.INV(RAND(),ASSUMPTIONS!$C$43,ASSUMPTIONS!$C$71)</f>
        <v/>
      </c>
      <c r="L334" s="84">
        <f>(((ASSUMPTIONS!$C$18*J334*(1-ASSUMPTIONS!$C$20)+ASSUMPTIONS!$C$18*ASSUMPTIONS!$C$21-ASSUMPTIONS!$C$18*ASSUMPTIONS!$C$22)*(1+H334)*(1-((1+H334)/(1+I334))^5)/(I334-H334))+((ASSUMPTIONS!$C$18*J334*(1-ASSUMPTIONS!$C$20)+ASSUMPTIONS!$C$18*ASSUMPTIONS!$C$21-ASSUMPTIONS!$C$18*ASSUMPTIONS!$C$22)*(1+H334)^5*(1+K334)/(I334-K334)/(1+I334)^5)-DCF!$C$12)/ASSUMPTIONS!$C$7</f>
        <v/>
      </c>
    </row>
    <row r="335">
      <c r="H335" s="83">
        <f>_xlfn.NORM.INV(RAND(),AVERAGE(ASSUMPTIONS!$C$38,ASSUMPTIONS!$C$39,ASSUMPTIONS!$C$40,ASSUMPTIONS!$C$41,ASSUMPTIONS!$C$42),ASSUMPTIONS!$C$68)</f>
        <v/>
      </c>
      <c r="I335" s="83">
        <f>MAX(_xlfn.NORM.INV(RAND(),DCF!$C$11,ASSUMPTIONS!$C$69),K335+0.005)</f>
        <v/>
      </c>
      <c r="J335" s="83">
        <f>_xlfn.NORM.INV(RAND(),ASSUMPTIONS!$C$19,ASSUMPTIONS!$C$70)</f>
        <v/>
      </c>
      <c r="K335" s="83">
        <f>_xlfn.NORM.INV(RAND(),ASSUMPTIONS!$C$43,ASSUMPTIONS!$C$71)</f>
        <v/>
      </c>
      <c r="L335" s="84">
        <f>(((ASSUMPTIONS!$C$18*J335*(1-ASSUMPTIONS!$C$20)+ASSUMPTIONS!$C$18*ASSUMPTIONS!$C$21-ASSUMPTIONS!$C$18*ASSUMPTIONS!$C$22)*(1+H335)*(1-((1+H335)/(1+I335))^5)/(I335-H335))+((ASSUMPTIONS!$C$18*J335*(1-ASSUMPTIONS!$C$20)+ASSUMPTIONS!$C$18*ASSUMPTIONS!$C$21-ASSUMPTIONS!$C$18*ASSUMPTIONS!$C$22)*(1+H335)^5*(1+K335)/(I335-K335)/(1+I335)^5)-DCF!$C$12)/ASSUMPTIONS!$C$7</f>
        <v/>
      </c>
    </row>
    <row r="336">
      <c r="H336" s="83">
        <f>_xlfn.NORM.INV(RAND(),AVERAGE(ASSUMPTIONS!$C$38,ASSUMPTIONS!$C$39,ASSUMPTIONS!$C$40,ASSUMPTIONS!$C$41,ASSUMPTIONS!$C$42),ASSUMPTIONS!$C$68)</f>
        <v/>
      </c>
      <c r="I336" s="83">
        <f>MAX(_xlfn.NORM.INV(RAND(),DCF!$C$11,ASSUMPTIONS!$C$69),K336+0.005)</f>
        <v/>
      </c>
      <c r="J336" s="83">
        <f>_xlfn.NORM.INV(RAND(),ASSUMPTIONS!$C$19,ASSUMPTIONS!$C$70)</f>
        <v/>
      </c>
      <c r="K336" s="83">
        <f>_xlfn.NORM.INV(RAND(),ASSUMPTIONS!$C$43,ASSUMPTIONS!$C$71)</f>
        <v/>
      </c>
      <c r="L336" s="84">
        <f>(((ASSUMPTIONS!$C$18*J336*(1-ASSUMPTIONS!$C$20)+ASSUMPTIONS!$C$18*ASSUMPTIONS!$C$21-ASSUMPTIONS!$C$18*ASSUMPTIONS!$C$22)*(1+H336)*(1-((1+H336)/(1+I336))^5)/(I336-H336))+((ASSUMPTIONS!$C$18*J336*(1-ASSUMPTIONS!$C$20)+ASSUMPTIONS!$C$18*ASSUMPTIONS!$C$21-ASSUMPTIONS!$C$18*ASSUMPTIONS!$C$22)*(1+H336)^5*(1+K336)/(I336-K336)/(1+I336)^5)-DCF!$C$12)/ASSUMPTIONS!$C$7</f>
        <v/>
      </c>
    </row>
    <row r="337">
      <c r="H337" s="83">
        <f>_xlfn.NORM.INV(RAND(),AVERAGE(ASSUMPTIONS!$C$38,ASSUMPTIONS!$C$39,ASSUMPTIONS!$C$40,ASSUMPTIONS!$C$41,ASSUMPTIONS!$C$42),ASSUMPTIONS!$C$68)</f>
        <v/>
      </c>
      <c r="I337" s="83">
        <f>MAX(_xlfn.NORM.INV(RAND(),DCF!$C$11,ASSUMPTIONS!$C$69),K337+0.005)</f>
        <v/>
      </c>
      <c r="J337" s="83">
        <f>_xlfn.NORM.INV(RAND(),ASSUMPTIONS!$C$19,ASSUMPTIONS!$C$70)</f>
        <v/>
      </c>
      <c r="K337" s="83">
        <f>_xlfn.NORM.INV(RAND(),ASSUMPTIONS!$C$43,ASSUMPTIONS!$C$71)</f>
        <v/>
      </c>
      <c r="L337" s="84">
        <f>(((ASSUMPTIONS!$C$18*J337*(1-ASSUMPTIONS!$C$20)+ASSUMPTIONS!$C$18*ASSUMPTIONS!$C$21-ASSUMPTIONS!$C$18*ASSUMPTIONS!$C$22)*(1+H337)*(1-((1+H337)/(1+I337))^5)/(I337-H337))+((ASSUMPTIONS!$C$18*J337*(1-ASSUMPTIONS!$C$20)+ASSUMPTIONS!$C$18*ASSUMPTIONS!$C$21-ASSUMPTIONS!$C$18*ASSUMPTIONS!$C$22)*(1+H337)^5*(1+K337)/(I337-K337)/(1+I337)^5)-DCF!$C$12)/ASSUMPTIONS!$C$7</f>
        <v/>
      </c>
    </row>
    <row r="338">
      <c r="H338" s="83">
        <f>_xlfn.NORM.INV(RAND(),AVERAGE(ASSUMPTIONS!$C$38,ASSUMPTIONS!$C$39,ASSUMPTIONS!$C$40,ASSUMPTIONS!$C$41,ASSUMPTIONS!$C$42),ASSUMPTIONS!$C$68)</f>
        <v/>
      </c>
      <c r="I338" s="83">
        <f>MAX(_xlfn.NORM.INV(RAND(),DCF!$C$11,ASSUMPTIONS!$C$69),K338+0.005)</f>
        <v/>
      </c>
      <c r="J338" s="83">
        <f>_xlfn.NORM.INV(RAND(),ASSUMPTIONS!$C$19,ASSUMPTIONS!$C$70)</f>
        <v/>
      </c>
      <c r="K338" s="83">
        <f>_xlfn.NORM.INV(RAND(),ASSUMPTIONS!$C$43,ASSUMPTIONS!$C$71)</f>
        <v/>
      </c>
      <c r="L338" s="84">
        <f>(((ASSUMPTIONS!$C$18*J338*(1-ASSUMPTIONS!$C$20)+ASSUMPTIONS!$C$18*ASSUMPTIONS!$C$21-ASSUMPTIONS!$C$18*ASSUMPTIONS!$C$22)*(1+H338)*(1-((1+H338)/(1+I338))^5)/(I338-H338))+((ASSUMPTIONS!$C$18*J338*(1-ASSUMPTIONS!$C$20)+ASSUMPTIONS!$C$18*ASSUMPTIONS!$C$21-ASSUMPTIONS!$C$18*ASSUMPTIONS!$C$22)*(1+H338)^5*(1+K338)/(I338-K338)/(1+I338)^5)-DCF!$C$12)/ASSUMPTIONS!$C$7</f>
        <v/>
      </c>
    </row>
    <row r="339">
      <c r="H339" s="83">
        <f>_xlfn.NORM.INV(RAND(),AVERAGE(ASSUMPTIONS!$C$38,ASSUMPTIONS!$C$39,ASSUMPTIONS!$C$40,ASSUMPTIONS!$C$41,ASSUMPTIONS!$C$42),ASSUMPTIONS!$C$68)</f>
        <v/>
      </c>
      <c r="I339" s="83">
        <f>MAX(_xlfn.NORM.INV(RAND(),DCF!$C$11,ASSUMPTIONS!$C$69),K339+0.005)</f>
        <v/>
      </c>
      <c r="J339" s="83">
        <f>_xlfn.NORM.INV(RAND(),ASSUMPTIONS!$C$19,ASSUMPTIONS!$C$70)</f>
        <v/>
      </c>
      <c r="K339" s="83">
        <f>_xlfn.NORM.INV(RAND(),ASSUMPTIONS!$C$43,ASSUMPTIONS!$C$71)</f>
        <v/>
      </c>
      <c r="L339" s="84">
        <f>(((ASSUMPTIONS!$C$18*J339*(1-ASSUMPTIONS!$C$20)+ASSUMPTIONS!$C$18*ASSUMPTIONS!$C$21-ASSUMPTIONS!$C$18*ASSUMPTIONS!$C$22)*(1+H339)*(1-((1+H339)/(1+I339))^5)/(I339-H339))+((ASSUMPTIONS!$C$18*J339*(1-ASSUMPTIONS!$C$20)+ASSUMPTIONS!$C$18*ASSUMPTIONS!$C$21-ASSUMPTIONS!$C$18*ASSUMPTIONS!$C$22)*(1+H339)^5*(1+K339)/(I339-K339)/(1+I339)^5)-DCF!$C$12)/ASSUMPTIONS!$C$7</f>
        <v/>
      </c>
    </row>
    <row r="340">
      <c r="H340" s="83">
        <f>_xlfn.NORM.INV(RAND(),AVERAGE(ASSUMPTIONS!$C$38,ASSUMPTIONS!$C$39,ASSUMPTIONS!$C$40,ASSUMPTIONS!$C$41,ASSUMPTIONS!$C$42),ASSUMPTIONS!$C$68)</f>
        <v/>
      </c>
      <c r="I340" s="83">
        <f>MAX(_xlfn.NORM.INV(RAND(),DCF!$C$11,ASSUMPTIONS!$C$69),K340+0.005)</f>
        <v/>
      </c>
      <c r="J340" s="83">
        <f>_xlfn.NORM.INV(RAND(),ASSUMPTIONS!$C$19,ASSUMPTIONS!$C$70)</f>
        <v/>
      </c>
      <c r="K340" s="83">
        <f>_xlfn.NORM.INV(RAND(),ASSUMPTIONS!$C$43,ASSUMPTIONS!$C$71)</f>
        <v/>
      </c>
      <c r="L340" s="84">
        <f>(((ASSUMPTIONS!$C$18*J340*(1-ASSUMPTIONS!$C$20)+ASSUMPTIONS!$C$18*ASSUMPTIONS!$C$21-ASSUMPTIONS!$C$18*ASSUMPTIONS!$C$22)*(1+H340)*(1-((1+H340)/(1+I340))^5)/(I340-H340))+((ASSUMPTIONS!$C$18*J340*(1-ASSUMPTIONS!$C$20)+ASSUMPTIONS!$C$18*ASSUMPTIONS!$C$21-ASSUMPTIONS!$C$18*ASSUMPTIONS!$C$22)*(1+H340)^5*(1+K340)/(I340-K340)/(1+I340)^5)-DCF!$C$12)/ASSUMPTIONS!$C$7</f>
        <v/>
      </c>
    </row>
    <row r="341">
      <c r="H341" s="83">
        <f>_xlfn.NORM.INV(RAND(),AVERAGE(ASSUMPTIONS!$C$38,ASSUMPTIONS!$C$39,ASSUMPTIONS!$C$40,ASSUMPTIONS!$C$41,ASSUMPTIONS!$C$42),ASSUMPTIONS!$C$68)</f>
        <v/>
      </c>
      <c r="I341" s="83">
        <f>MAX(_xlfn.NORM.INV(RAND(),DCF!$C$11,ASSUMPTIONS!$C$69),K341+0.005)</f>
        <v/>
      </c>
      <c r="J341" s="83">
        <f>_xlfn.NORM.INV(RAND(),ASSUMPTIONS!$C$19,ASSUMPTIONS!$C$70)</f>
        <v/>
      </c>
      <c r="K341" s="83">
        <f>_xlfn.NORM.INV(RAND(),ASSUMPTIONS!$C$43,ASSUMPTIONS!$C$71)</f>
        <v/>
      </c>
      <c r="L341" s="84">
        <f>(((ASSUMPTIONS!$C$18*J341*(1-ASSUMPTIONS!$C$20)+ASSUMPTIONS!$C$18*ASSUMPTIONS!$C$21-ASSUMPTIONS!$C$18*ASSUMPTIONS!$C$22)*(1+H341)*(1-((1+H341)/(1+I341))^5)/(I341-H341))+((ASSUMPTIONS!$C$18*J341*(1-ASSUMPTIONS!$C$20)+ASSUMPTIONS!$C$18*ASSUMPTIONS!$C$21-ASSUMPTIONS!$C$18*ASSUMPTIONS!$C$22)*(1+H341)^5*(1+K341)/(I341-K341)/(1+I341)^5)-DCF!$C$12)/ASSUMPTIONS!$C$7</f>
        <v/>
      </c>
    </row>
    <row r="342">
      <c r="H342" s="83">
        <f>_xlfn.NORM.INV(RAND(),AVERAGE(ASSUMPTIONS!$C$38,ASSUMPTIONS!$C$39,ASSUMPTIONS!$C$40,ASSUMPTIONS!$C$41,ASSUMPTIONS!$C$42),ASSUMPTIONS!$C$68)</f>
        <v/>
      </c>
      <c r="I342" s="83">
        <f>MAX(_xlfn.NORM.INV(RAND(),DCF!$C$11,ASSUMPTIONS!$C$69),K342+0.005)</f>
        <v/>
      </c>
      <c r="J342" s="83">
        <f>_xlfn.NORM.INV(RAND(),ASSUMPTIONS!$C$19,ASSUMPTIONS!$C$70)</f>
        <v/>
      </c>
      <c r="K342" s="83">
        <f>_xlfn.NORM.INV(RAND(),ASSUMPTIONS!$C$43,ASSUMPTIONS!$C$71)</f>
        <v/>
      </c>
      <c r="L342" s="84">
        <f>(((ASSUMPTIONS!$C$18*J342*(1-ASSUMPTIONS!$C$20)+ASSUMPTIONS!$C$18*ASSUMPTIONS!$C$21-ASSUMPTIONS!$C$18*ASSUMPTIONS!$C$22)*(1+H342)*(1-((1+H342)/(1+I342))^5)/(I342-H342))+((ASSUMPTIONS!$C$18*J342*(1-ASSUMPTIONS!$C$20)+ASSUMPTIONS!$C$18*ASSUMPTIONS!$C$21-ASSUMPTIONS!$C$18*ASSUMPTIONS!$C$22)*(1+H342)^5*(1+K342)/(I342-K342)/(1+I342)^5)-DCF!$C$12)/ASSUMPTIONS!$C$7</f>
        <v/>
      </c>
    </row>
    <row r="343">
      <c r="H343" s="83">
        <f>_xlfn.NORM.INV(RAND(),AVERAGE(ASSUMPTIONS!$C$38,ASSUMPTIONS!$C$39,ASSUMPTIONS!$C$40,ASSUMPTIONS!$C$41,ASSUMPTIONS!$C$42),ASSUMPTIONS!$C$68)</f>
        <v/>
      </c>
      <c r="I343" s="83">
        <f>MAX(_xlfn.NORM.INV(RAND(),DCF!$C$11,ASSUMPTIONS!$C$69),K343+0.005)</f>
        <v/>
      </c>
      <c r="J343" s="83">
        <f>_xlfn.NORM.INV(RAND(),ASSUMPTIONS!$C$19,ASSUMPTIONS!$C$70)</f>
        <v/>
      </c>
      <c r="K343" s="83">
        <f>_xlfn.NORM.INV(RAND(),ASSUMPTIONS!$C$43,ASSUMPTIONS!$C$71)</f>
        <v/>
      </c>
      <c r="L343" s="84">
        <f>(((ASSUMPTIONS!$C$18*J343*(1-ASSUMPTIONS!$C$20)+ASSUMPTIONS!$C$18*ASSUMPTIONS!$C$21-ASSUMPTIONS!$C$18*ASSUMPTIONS!$C$22)*(1+H343)*(1-((1+H343)/(1+I343))^5)/(I343-H343))+((ASSUMPTIONS!$C$18*J343*(1-ASSUMPTIONS!$C$20)+ASSUMPTIONS!$C$18*ASSUMPTIONS!$C$21-ASSUMPTIONS!$C$18*ASSUMPTIONS!$C$22)*(1+H343)^5*(1+K343)/(I343-K343)/(1+I343)^5)-DCF!$C$12)/ASSUMPTIONS!$C$7</f>
        <v/>
      </c>
    </row>
    <row r="344">
      <c r="H344" s="83">
        <f>_xlfn.NORM.INV(RAND(),AVERAGE(ASSUMPTIONS!$C$38,ASSUMPTIONS!$C$39,ASSUMPTIONS!$C$40,ASSUMPTIONS!$C$41,ASSUMPTIONS!$C$42),ASSUMPTIONS!$C$68)</f>
        <v/>
      </c>
      <c r="I344" s="83">
        <f>MAX(_xlfn.NORM.INV(RAND(),DCF!$C$11,ASSUMPTIONS!$C$69),K344+0.005)</f>
        <v/>
      </c>
      <c r="J344" s="83">
        <f>_xlfn.NORM.INV(RAND(),ASSUMPTIONS!$C$19,ASSUMPTIONS!$C$70)</f>
        <v/>
      </c>
      <c r="K344" s="83">
        <f>_xlfn.NORM.INV(RAND(),ASSUMPTIONS!$C$43,ASSUMPTIONS!$C$71)</f>
        <v/>
      </c>
      <c r="L344" s="84">
        <f>(((ASSUMPTIONS!$C$18*J344*(1-ASSUMPTIONS!$C$20)+ASSUMPTIONS!$C$18*ASSUMPTIONS!$C$21-ASSUMPTIONS!$C$18*ASSUMPTIONS!$C$22)*(1+H344)*(1-((1+H344)/(1+I344))^5)/(I344-H344))+((ASSUMPTIONS!$C$18*J344*(1-ASSUMPTIONS!$C$20)+ASSUMPTIONS!$C$18*ASSUMPTIONS!$C$21-ASSUMPTIONS!$C$18*ASSUMPTIONS!$C$22)*(1+H344)^5*(1+K344)/(I344-K344)/(1+I344)^5)-DCF!$C$12)/ASSUMPTIONS!$C$7</f>
        <v/>
      </c>
    </row>
    <row r="345">
      <c r="H345" s="83">
        <f>_xlfn.NORM.INV(RAND(),AVERAGE(ASSUMPTIONS!$C$38,ASSUMPTIONS!$C$39,ASSUMPTIONS!$C$40,ASSUMPTIONS!$C$41,ASSUMPTIONS!$C$42),ASSUMPTIONS!$C$68)</f>
        <v/>
      </c>
      <c r="I345" s="83">
        <f>MAX(_xlfn.NORM.INV(RAND(),DCF!$C$11,ASSUMPTIONS!$C$69),K345+0.005)</f>
        <v/>
      </c>
      <c r="J345" s="83">
        <f>_xlfn.NORM.INV(RAND(),ASSUMPTIONS!$C$19,ASSUMPTIONS!$C$70)</f>
        <v/>
      </c>
      <c r="K345" s="83">
        <f>_xlfn.NORM.INV(RAND(),ASSUMPTIONS!$C$43,ASSUMPTIONS!$C$71)</f>
        <v/>
      </c>
      <c r="L345" s="84">
        <f>(((ASSUMPTIONS!$C$18*J345*(1-ASSUMPTIONS!$C$20)+ASSUMPTIONS!$C$18*ASSUMPTIONS!$C$21-ASSUMPTIONS!$C$18*ASSUMPTIONS!$C$22)*(1+H345)*(1-((1+H345)/(1+I345))^5)/(I345-H345))+((ASSUMPTIONS!$C$18*J345*(1-ASSUMPTIONS!$C$20)+ASSUMPTIONS!$C$18*ASSUMPTIONS!$C$21-ASSUMPTIONS!$C$18*ASSUMPTIONS!$C$22)*(1+H345)^5*(1+K345)/(I345-K345)/(1+I345)^5)-DCF!$C$12)/ASSUMPTIONS!$C$7</f>
        <v/>
      </c>
    </row>
    <row r="346">
      <c r="H346" s="83">
        <f>_xlfn.NORM.INV(RAND(),AVERAGE(ASSUMPTIONS!$C$38,ASSUMPTIONS!$C$39,ASSUMPTIONS!$C$40,ASSUMPTIONS!$C$41,ASSUMPTIONS!$C$42),ASSUMPTIONS!$C$68)</f>
        <v/>
      </c>
      <c r="I346" s="83">
        <f>MAX(_xlfn.NORM.INV(RAND(),DCF!$C$11,ASSUMPTIONS!$C$69),K346+0.005)</f>
        <v/>
      </c>
      <c r="J346" s="83">
        <f>_xlfn.NORM.INV(RAND(),ASSUMPTIONS!$C$19,ASSUMPTIONS!$C$70)</f>
        <v/>
      </c>
      <c r="K346" s="83">
        <f>_xlfn.NORM.INV(RAND(),ASSUMPTIONS!$C$43,ASSUMPTIONS!$C$71)</f>
        <v/>
      </c>
      <c r="L346" s="84">
        <f>(((ASSUMPTIONS!$C$18*J346*(1-ASSUMPTIONS!$C$20)+ASSUMPTIONS!$C$18*ASSUMPTIONS!$C$21-ASSUMPTIONS!$C$18*ASSUMPTIONS!$C$22)*(1+H346)*(1-((1+H346)/(1+I346))^5)/(I346-H346))+((ASSUMPTIONS!$C$18*J346*(1-ASSUMPTIONS!$C$20)+ASSUMPTIONS!$C$18*ASSUMPTIONS!$C$21-ASSUMPTIONS!$C$18*ASSUMPTIONS!$C$22)*(1+H346)^5*(1+K346)/(I346-K346)/(1+I346)^5)-DCF!$C$12)/ASSUMPTIONS!$C$7</f>
        <v/>
      </c>
    </row>
    <row r="347">
      <c r="H347" s="83">
        <f>_xlfn.NORM.INV(RAND(),AVERAGE(ASSUMPTIONS!$C$38,ASSUMPTIONS!$C$39,ASSUMPTIONS!$C$40,ASSUMPTIONS!$C$41,ASSUMPTIONS!$C$42),ASSUMPTIONS!$C$68)</f>
        <v/>
      </c>
      <c r="I347" s="83">
        <f>MAX(_xlfn.NORM.INV(RAND(),DCF!$C$11,ASSUMPTIONS!$C$69),K347+0.005)</f>
        <v/>
      </c>
      <c r="J347" s="83">
        <f>_xlfn.NORM.INV(RAND(),ASSUMPTIONS!$C$19,ASSUMPTIONS!$C$70)</f>
        <v/>
      </c>
      <c r="K347" s="83">
        <f>_xlfn.NORM.INV(RAND(),ASSUMPTIONS!$C$43,ASSUMPTIONS!$C$71)</f>
        <v/>
      </c>
      <c r="L347" s="84">
        <f>(((ASSUMPTIONS!$C$18*J347*(1-ASSUMPTIONS!$C$20)+ASSUMPTIONS!$C$18*ASSUMPTIONS!$C$21-ASSUMPTIONS!$C$18*ASSUMPTIONS!$C$22)*(1+H347)*(1-((1+H347)/(1+I347))^5)/(I347-H347))+((ASSUMPTIONS!$C$18*J347*(1-ASSUMPTIONS!$C$20)+ASSUMPTIONS!$C$18*ASSUMPTIONS!$C$21-ASSUMPTIONS!$C$18*ASSUMPTIONS!$C$22)*(1+H347)^5*(1+K347)/(I347-K347)/(1+I347)^5)-DCF!$C$12)/ASSUMPTIONS!$C$7</f>
        <v/>
      </c>
    </row>
    <row r="348">
      <c r="H348" s="83">
        <f>_xlfn.NORM.INV(RAND(),AVERAGE(ASSUMPTIONS!$C$38,ASSUMPTIONS!$C$39,ASSUMPTIONS!$C$40,ASSUMPTIONS!$C$41,ASSUMPTIONS!$C$42),ASSUMPTIONS!$C$68)</f>
        <v/>
      </c>
      <c r="I348" s="83">
        <f>MAX(_xlfn.NORM.INV(RAND(),DCF!$C$11,ASSUMPTIONS!$C$69),K348+0.005)</f>
        <v/>
      </c>
      <c r="J348" s="83">
        <f>_xlfn.NORM.INV(RAND(),ASSUMPTIONS!$C$19,ASSUMPTIONS!$C$70)</f>
        <v/>
      </c>
      <c r="K348" s="83">
        <f>_xlfn.NORM.INV(RAND(),ASSUMPTIONS!$C$43,ASSUMPTIONS!$C$71)</f>
        <v/>
      </c>
      <c r="L348" s="84">
        <f>(((ASSUMPTIONS!$C$18*J348*(1-ASSUMPTIONS!$C$20)+ASSUMPTIONS!$C$18*ASSUMPTIONS!$C$21-ASSUMPTIONS!$C$18*ASSUMPTIONS!$C$22)*(1+H348)*(1-((1+H348)/(1+I348))^5)/(I348-H348))+((ASSUMPTIONS!$C$18*J348*(1-ASSUMPTIONS!$C$20)+ASSUMPTIONS!$C$18*ASSUMPTIONS!$C$21-ASSUMPTIONS!$C$18*ASSUMPTIONS!$C$22)*(1+H348)^5*(1+K348)/(I348-K348)/(1+I348)^5)-DCF!$C$12)/ASSUMPTIONS!$C$7</f>
        <v/>
      </c>
    </row>
    <row r="349">
      <c r="H349" s="83">
        <f>_xlfn.NORM.INV(RAND(),AVERAGE(ASSUMPTIONS!$C$38,ASSUMPTIONS!$C$39,ASSUMPTIONS!$C$40,ASSUMPTIONS!$C$41,ASSUMPTIONS!$C$42),ASSUMPTIONS!$C$68)</f>
        <v/>
      </c>
      <c r="I349" s="83">
        <f>MAX(_xlfn.NORM.INV(RAND(),DCF!$C$11,ASSUMPTIONS!$C$69),K349+0.005)</f>
        <v/>
      </c>
      <c r="J349" s="83">
        <f>_xlfn.NORM.INV(RAND(),ASSUMPTIONS!$C$19,ASSUMPTIONS!$C$70)</f>
        <v/>
      </c>
      <c r="K349" s="83">
        <f>_xlfn.NORM.INV(RAND(),ASSUMPTIONS!$C$43,ASSUMPTIONS!$C$71)</f>
        <v/>
      </c>
      <c r="L349" s="84">
        <f>(((ASSUMPTIONS!$C$18*J349*(1-ASSUMPTIONS!$C$20)+ASSUMPTIONS!$C$18*ASSUMPTIONS!$C$21-ASSUMPTIONS!$C$18*ASSUMPTIONS!$C$22)*(1+H349)*(1-((1+H349)/(1+I349))^5)/(I349-H349))+((ASSUMPTIONS!$C$18*J349*(1-ASSUMPTIONS!$C$20)+ASSUMPTIONS!$C$18*ASSUMPTIONS!$C$21-ASSUMPTIONS!$C$18*ASSUMPTIONS!$C$22)*(1+H349)^5*(1+K349)/(I349-K349)/(1+I349)^5)-DCF!$C$12)/ASSUMPTIONS!$C$7</f>
        <v/>
      </c>
    </row>
    <row r="350">
      <c r="H350" s="83">
        <f>_xlfn.NORM.INV(RAND(),AVERAGE(ASSUMPTIONS!$C$38,ASSUMPTIONS!$C$39,ASSUMPTIONS!$C$40,ASSUMPTIONS!$C$41,ASSUMPTIONS!$C$42),ASSUMPTIONS!$C$68)</f>
        <v/>
      </c>
      <c r="I350" s="83">
        <f>MAX(_xlfn.NORM.INV(RAND(),DCF!$C$11,ASSUMPTIONS!$C$69),K350+0.005)</f>
        <v/>
      </c>
      <c r="J350" s="83">
        <f>_xlfn.NORM.INV(RAND(),ASSUMPTIONS!$C$19,ASSUMPTIONS!$C$70)</f>
        <v/>
      </c>
      <c r="K350" s="83">
        <f>_xlfn.NORM.INV(RAND(),ASSUMPTIONS!$C$43,ASSUMPTIONS!$C$71)</f>
        <v/>
      </c>
      <c r="L350" s="84">
        <f>(((ASSUMPTIONS!$C$18*J350*(1-ASSUMPTIONS!$C$20)+ASSUMPTIONS!$C$18*ASSUMPTIONS!$C$21-ASSUMPTIONS!$C$18*ASSUMPTIONS!$C$22)*(1+H350)*(1-((1+H350)/(1+I350))^5)/(I350-H350))+((ASSUMPTIONS!$C$18*J350*(1-ASSUMPTIONS!$C$20)+ASSUMPTIONS!$C$18*ASSUMPTIONS!$C$21-ASSUMPTIONS!$C$18*ASSUMPTIONS!$C$22)*(1+H350)^5*(1+K350)/(I350-K350)/(1+I350)^5)-DCF!$C$12)/ASSUMPTIONS!$C$7</f>
        <v/>
      </c>
    </row>
    <row r="351">
      <c r="H351" s="83">
        <f>_xlfn.NORM.INV(RAND(),AVERAGE(ASSUMPTIONS!$C$38,ASSUMPTIONS!$C$39,ASSUMPTIONS!$C$40,ASSUMPTIONS!$C$41,ASSUMPTIONS!$C$42),ASSUMPTIONS!$C$68)</f>
        <v/>
      </c>
      <c r="I351" s="83">
        <f>MAX(_xlfn.NORM.INV(RAND(),DCF!$C$11,ASSUMPTIONS!$C$69),K351+0.005)</f>
        <v/>
      </c>
      <c r="J351" s="83">
        <f>_xlfn.NORM.INV(RAND(),ASSUMPTIONS!$C$19,ASSUMPTIONS!$C$70)</f>
        <v/>
      </c>
      <c r="K351" s="83">
        <f>_xlfn.NORM.INV(RAND(),ASSUMPTIONS!$C$43,ASSUMPTIONS!$C$71)</f>
        <v/>
      </c>
      <c r="L351" s="84">
        <f>(((ASSUMPTIONS!$C$18*J351*(1-ASSUMPTIONS!$C$20)+ASSUMPTIONS!$C$18*ASSUMPTIONS!$C$21-ASSUMPTIONS!$C$18*ASSUMPTIONS!$C$22)*(1+H351)*(1-((1+H351)/(1+I351))^5)/(I351-H351))+((ASSUMPTIONS!$C$18*J351*(1-ASSUMPTIONS!$C$20)+ASSUMPTIONS!$C$18*ASSUMPTIONS!$C$21-ASSUMPTIONS!$C$18*ASSUMPTIONS!$C$22)*(1+H351)^5*(1+K351)/(I351-K351)/(1+I351)^5)-DCF!$C$12)/ASSUMPTIONS!$C$7</f>
        <v/>
      </c>
    </row>
    <row r="352">
      <c r="H352" s="83">
        <f>_xlfn.NORM.INV(RAND(),AVERAGE(ASSUMPTIONS!$C$38,ASSUMPTIONS!$C$39,ASSUMPTIONS!$C$40,ASSUMPTIONS!$C$41,ASSUMPTIONS!$C$42),ASSUMPTIONS!$C$68)</f>
        <v/>
      </c>
      <c r="I352" s="83">
        <f>MAX(_xlfn.NORM.INV(RAND(),DCF!$C$11,ASSUMPTIONS!$C$69),K352+0.005)</f>
        <v/>
      </c>
      <c r="J352" s="83">
        <f>_xlfn.NORM.INV(RAND(),ASSUMPTIONS!$C$19,ASSUMPTIONS!$C$70)</f>
        <v/>
      </c>
      <c r="K352" s="83">
        <f>_xlfn.NORM.INV(RAND(),ASSUMPTIONS!$C$43,ASSUMPTIONS!$C$71)</f>
        <v/>
      </c>
      <c r="L352" s="84">
        <f>(((ASSUMPTIONS!$C$18*J352*(1-ASSUMPTIONS!$C$20)+ASSUMPTIONS!$C$18*ASSUMPTIONS!$C$21-ASSUMPTIONS!$C$18*ASSUMPTIONS!$C$22)*(1+H352)*(1-((1+H352)/(1+I352))^5)/(I352-H352))+((ASSUMPTIONS!$C$18*J352*(1-ASSUMPTIONS!$C$20)+ASSUMPTIONS!$C$18*ASSUMPTIONS!$C$21-ASSUMPTIONS!$C$18*ASSUMPTIONS!$C$22)*(1+H352)^5*(1+K352)/(I352-K352)/(1+I352)^5)-DCF!$C$12)/ASSUMPTIONS!$C$7</f>
        <v/>
      </c>
    </row>
    <row r="353">
      <c r="H353" s="83">
        <f>_xlfn.NORM.INV(RAND(),AVERAGE(ASSUMPTIONS!$C$38,ASSUMPTIONS!$C$39,ASSUMPTIONS!$C$40,ASSUMPTIONS!$C$41,ASSUMPTIONS!$C$42),ASSUMPTIONS!$C$68)</f>
        <v/>
      </c>
      <c r="I353" s="83">
        <f>MAX(_xlfn.NORM.INV(RAND(),DCF!$C$11,ASSUMPTIONS!$C$69),K353+0.005)</f>
        <v/>
      </c>
      <c r="J353" s="83">
        <f>_xlfn.NORM.INV(RAND(),ASSUMPTIONS!$C$19,ASSUMPTIONS!$C$70)</f>
        <v/>
      </c>
      <c r="K353" s="83">
        <f>_xlfn.NORM.INV(RAND(),ASSUMPTIONS!$C$43,ASSUMPTIONS!$C$71)</f>
        <v/>
      </c>
      <c r="L353" s="84">
        <f>(((ASSUMPTIONS!$C$18*J353*(1-ASSUMPTIONS!$C$20)+ASSUMPTIONS!$C$18*ASSUMPTIONS!$C$21-ASSUMPTIONS!$C$18*ASSUMPTIONS!$C$22)*(1+H353)*(1-((1+H353)/(1+I353))^5)/(I353-H353))+((ASSUMPTIONS!$C$18*J353*(1-ASSUMPTIONS!$C$20)+ASSUMPTIONS!$C$18*ASSUMPTIONS!$C$21-ASSUMPTIONS!$C$18*ASSUMPTIONS!$C$22)*(1+H353)^5*(1+K353)/(I353-K353)/(1+I353)^5)-DCF!$C$12)/ASSUMPTIONS!$C$7</f>
        <v/>
      </c>
    </row>
    <row r="354">
      <c r="H354" s="83">
        <f>_xlfn.NORM.INV(RAND(),AVERAGE(ASSUMPTIONS!$C$38,ASSUMPTIONS!$C$39,ASSUMPTIONS!$C$40,ASSUMPTIONS!$C$41,ASSUMPTIONS!$C$42),ASSUMPTIONS!$C$68)</f>
        <v/>
      </c>
      <c r="I354" s="83">
        <f>MAX(_xlfn.NORM.INV(RAND(),DCF!$C$11,ASSUMPTIONS!$C$69),K354+0.005)</f>
        <v/>
      </c>
      <c r="J354" s="83">
        <f>_xlfn.NORM.INV(RAND(),ASSUMPTIONS!$C$19,ASSUMPTIONS!$C$70)</f>
        <v/>
      </c>
      <c r="K354" s="83">
        <f>_xlfn.NORM.INV(RAND(),ASSUMPTIONS!$C$43,ASSUMPTIONS!$C$71)</f>
        <v/>
      </c>
      <c r="L354" s="84">
        <f>(((ASSUMPTIONS!$C$18*J354*(1-ASSUMPTIONS!$C$20)+ASSUMPTIONS!$C$18*ASSUMPTIONS!$C$21-ASSUMPTIONS!$C$18*ASSUMPTIONS!$C$22)*(1+H354)*(1-((1+H354)/(1+I354))^5)/(I354-H354))+((ASSUMPTIONS!$C$18*J354*(1-ASSUMPTIONS!$C$20)+ASSUMPTIONS!$C$18*ASSUMPTIONS!$C$21-ASSUMPTIONS!$C$18*ASSUMPTIONS!$C$22)*(1+H354)^5*(1+K354)/(I354-K354)/(1+I354)^5)-DCF!$C$12)/ASSUMPTIONS!$C$7</f>
        <v/>
      </c>
    </row>
    <row r="355">
      <c r="H355" s="83">
        <f>_xlfn.NORM.INV(RAND(),AVERAGE(ASSUMPTIONS!$C$38,ASSUMPTIONS!$C$39,ASSUMPTIONS!$C$40,ASSUMPTIONS!$C$41,ASSUMPTIONS!$C$42),ASSUMPTIONS!$C$68)</f>
        <v/>
      </c>
      <c r="I355" s="83">
        <f>MAX(_xlfn.NORM.INV(RAND(),DCF!$C$11,ASSUMPTIONS!$C$69),K355+0.005)</f>
        <v/>
      </c>
      <c r="J355" s="83">
        <f>_xlfn.NORM.INV(RAND(),ASSUMPTIONS!$C$19,ASSUMPTIONS!$C$70)</f>
        <v/>
      </c>
      <c r="K355" s="83">
        <f>_xlfn.NORM.INV(RAND(),ASSUMPTIONS!$C$43,ASSUMPTIONS!$C$71)</f>
        <v/>
      </c>
      <c r="L355" s="84">
        <f>(((ASSUMPTIONS!$C$18*J355*(1-ASSUMPTIONS!$C$20)+ASSUMPTIONS!$C$18*ASSUMPTIONS!$C$21-ASSUMPTIONS!$C$18*ASSUMPTIONS!$C$22)*(1+H355)*(1-((1+H355)/(1+I355))^5)/(I355-H355))+((ASSUMPTIONS!$C$18*J355*(1-ASSUMPTIONS!$C$20)+ASSUMPTIONS!$C$18*ASSUMPTIONS!$C$21-ASSUMPTIONS!$C$18*ASSUMPTIONS!$C$22)*(1+H355)^5*(1+K355)/(I355-K355)/(1+I355)^5)-DCF!$C$12)/ASSUMPTIONS!$C$7</f>
        <v/>
      </c>
    </row>
    <row r="356">
      <c r="H356" s="83">
        <f>_xlfn.NORM.INV(RAND(),AVERAGE(ASSUMPTIONS!$C$38,ASSUMPTIONS!$C$39,ASSUMPTIONS!$C$40,ASSUMPTIONS!$C$41,ASSUMPTIONS!$C$42),ASSUMPTIONS!$C$68)</f>
        <v/>
      </c>
      <c r="I356" s="83">
        <f>MAX(_xlfn.NORM.INV(RAND(),DCF!$C$11,ASSUMPTIONS!$C$69),K356+0.005)</f>
        <v/>
      </c>
      <c r="J356" s="83">
        <f>_xlfn.NORM.INV(RAND(),ASSUMPTIONS!$C$19,ASSUMPTIONS!$C$70)</f>
        <v/>
      </c>
      <c r="K356" s="83">
        <f>_xlfn.NORM.INV(RAND(),ASSUMPTIONS!$C$43,ASSUMPTIONS!$C$71)</f>
        <v/>
      </c>
      <c r="L356" s="84">
        <f>(((ASSUMPTIONS!$C$18*J356*(1-ASSUMPTIONS!$C$20)+ASSUMPTIONS!$C$18*ASSUMPTIONS!$C$21-ASSUMPTIONS!$C$18*ASSUMPTIONS!$C$22)*(1+H356)*(1-((1+H356)/(1+I356))^5)/(I356-H356))+((ASSUMPTIONS!$C$18*J356*(1-ASSUMPTIONS!$C$20)+ASSUMPTIONS!$C$18*ASSUMPTIONS!$C$21-ASSUMPTIONS!$C$18*ASSUMPTIONS!$C$22)*(1+H356)^5*(1+K356)/(I356-K356)/(1+I356)^5)-DCF!$C$12)/ASSUMPTIONS!$C$7</f>
        <v/>
      </c>
    </row>
    <row r="357">
      <c r="H357" s="83">
        <f>_xlfn.NORM.INV(RAND(),AVERAGE(ASSUMPTIONS!$C$38,ASSUMPTIONS!$C$39,ASSUMPTIONS!$C$40,ASSUMPTIONS!$C$41,ASSUMPTIONS!$C$42),ASSUMPTIONS!$C$68)</f>
        <v/>
      </c>
      <c r="I357" s="83">
        <f>MAX(_xlfn.NORM.INV(RAND(),DCF!$C$11,ASSUMPTIONS!$C$69),K357+0.005)</f>
        <v/>
      </c>
      <c r="J357" s="83">
        <f>_xlfn.NORM.INV(RAND(),ASSUMPTIONS!$C$19,ASSUMPTIONS!$C$70)</f>
        <v/>
      </c>
      <c r="K357" s="83">
        <f>_xlfn.NORM.INV(RAND(),ASSUMPTIONS!$C$43,ASSUMPTIONS!$C$71)</f>
        <v/>
      </c>
      <c r="L357" s="84">
        <f>(((ASSUMPTIONS!$C$18*J357*(1-ASSUMPTIONS!$C$20)+ASSUMPTIONS!$C$18*ASSUMPTIONS!$C$21-ASSUMPTIONS!$C$18*ASSUMPTIONS!$C$22)*(1+H357)*(1-((1+H357)/(1+I357))^5)/(I357-H357))+((ASSUMPTIONS!$C$18*J357*(1-ASSUMPTIONS!$C$20)+ASSUMPTIONS!$C$18*ASSUMPTIONS!$C$21-ASSUMPTIONS!$C$18*ASSUMPTIONS!$C$22)*(1+H357)^5*(1+K357)/(I357-K357)/(1+I357)^5)-DCF!$C$12)/ASSUMPTIONS!$C$7</f>
        <v/>
      </c>
    </row>
    <row r="358">
      <c r="H358" s="83">
        <f>_xlfn.NORM.INV(RAND(),AVERAGE(ASSUMPTIONS!$C$38,ASSUMPTIONS!$C$39,ASSUMPTIONS!$C$40,ASSUMPTIONS!$C$41,ASSUMPTIONS!$C$42),ASSUMPTIONS!$C$68)</f>
        <v/>
      </c>
      <c r="I358" s="83">
        <f>MAX(_xlfn.NORM.INV(RAND(),DCF!$C$11,ASSUMPTIONS!$C$69),K358+0.005)</f>
        <v/>
      </c>
      <c r="J358" s="83">
        <f>_xlfn.NORM.INV(RAND(),ASSUMPTIONS!$C$19,ASSUMPTIONS!$C$70)</f>
        <v/>
      </c>
      <c r="K358" s="83">
        <f>_xlfn.NORM.INV(RAND(),ASSUMPTIONS!$C$43,ASSUMPTIONS!$C$71)</f>
        <v/>
      </c>
      <c r="L358" s="84">
        <f>(((ASSUMPTIONS!$C$18*J358*(1-ASSUMPTIONS!$C$20)+ASSUMPTIONS!$C$18*ASSUMPTIONS!$C$21-ASSUMPTIONS!$C$18*ASSUMPTIONS!$C$22)*(1+H358)*(1-((1+H358)/(1+I358))^5)/(I358-H358))+((ASSUMPTIONS!$C$18*J358*(1-ASSUMPTIONS!$C$20)+ASSUMPTIONS!$C$18*ASSUMPTIONS!$C$21-ASSUMPTIONS!$C$18*ASSUMPTIONS!$C$22)*(1+H358)^5*(1+K358)/(I358-K358)/(1+I358)^5)-DCF!$C$12)/ASSUMPTIONS!$C$7</f>
        <v/>
      </c>
    </row>
    <row r="359">
      <c r="H359" s="83">
        <f>_xlfn.NORM.INV(RAND(),AVERAGE(ASSUMPTIONS!$C$38,ASSUMPTIONS!$C$39,ASSUMPTIONS!$C$40,ASSUMPTIONS!$C$41,ASSUMPTIONS!$C$42),ASSUMPTIONS!$C$68)</f>
        <v/>
      </c>
      <c r="I359" s="83">
        <f>MAX(_xlfn.NORM.INV(RAND(),DCF!$C$11,ASSUMPTIONS!$C$69),K359+0.005)</f>
        <v/>
      </c>
      <c r="J359" s="83">
        <f>_xlfn.NORM.INV(RAND(),ASSUMPTIONS!$C$19,ASSUMPTIONS!$C$70)</f>
        <v/>
      </c>
      <c r="K359" s="83">
        <f>_xlfn.NORM.INV(RAND(),ASSUMPTIONS!$C$43,ASSUMPTIONS!$C$71)</f>
        <v/>
      </c>
      <c r="L359" s="84">
        <f>(((ASSUMPTIONS!$C$18*J359*(1-ASSUMPTIONS!$C$20)+ASSUMPTIONS!$C$18*ASSUMPTIONS!$C$21-ASSUMPTIONS!$C$18*ASSUMPTIONS!$C$22)*(1+H359)*(1-((1+H359)/(1+I359))^5)/(I359-H359))+((ASSUMPTIONS!$C$18*J359*(1-ASSUMPTIONS!$C$20)+ASSUMPTIONS!$C$18*ASSUMPTIONS!$C$21-ASSUMPTIONS!$C$18*ASSUMPTIONS!$C$22)*(1+H359)^5*(1+K359)/(I359-K359)/(1+I359)^5)-DCF!$C$12)/ASSUMPTIONS!$C$7</f>
        <v/>
      </c>
    </row>
    <row r="360">
      <c r="H360" s="83">
        <f>_xlfn.NORM.INV(RAND(),AVERAGE(ASSUMPTIONS!$C$38,ASSUMPTIONS!$C$39,ASSUMPTIONS!$C$40,ASSUMPTIONS!$C$41,ASSUMPTIONS!$C$42),ASSUMPTIONS!$C$68)</f>
        <v/>
      </c>
      <c r="I360" s="83">
        <f>MAX(_xlfn.NORM.INV(RAND(),DCF!$C$11,ASSUMPTIONS!$C$69),K360+0.005)</f>
        <v/>
      </c>
      <c r="J360" s="83">
        <f>_xlfn.NORM.INV(RAND(),ASSUMPTIONS!$C$19,ASSUMPTIONS!$C$70)</f>
        <v/>
      </c>
      <c r="K360" s="83">
        <f>_xlfn.NORM.INV(RAND(),ASSUMPTIONS!$C$43,ASSUMPTIONS!$C$71)</f>
        <v/>
      </c>
      <c r="L360" s="84">
        <f>(((ASSUMPTIONS!$C$18*J360*(1-ASSUMPTIONS!$C$20)+ASSUMPTIONS!$C$18*ASSUMPTIONS!$C$21-ASSUMPTIONS!$C$18*ASSUMPTIONS!$C$22)*(1+H360)*(1-((1+H360)/(1+I360))^5)/(I360-H360))+((ASSUMPTIONS!$C$18*J360*(1-ASSUMPTIONS!$C$20)+ASSUMPTIONS!$C$18*ASSUMPTIONS!$C$21-ASSUMPTIONS!$C$18*ASSUMPTIONS!$C$22)*(1+H360)^5*(1+K360)/(I360-K360)/(1+I360)^5)-DCF!$C$12)/ASSUMPTIONS!$C$7</f>
        <v/>
      </c>
    </row>
    <row r="361">
      <c r="H361" s="83">
        <f>_xlfn.NORM.INV(RAND(),AVERAGE(ASSUMPTIONS!$C$38,ASSUMPTIONS!$C$39,ASSUMPTIONS!$C$40,ASSUMPTIONS!$C$41,ASSUMPTIONS!$C$42),ASSUMPTIONS!$C$68)</f>
        <v/>
      </c>
      <c r="I361" s="83">
        <f>MAX(_xlfn.NORM.INV(RAND(),DCF!$C$11,ASSUMPTIONS!$C$69),K361+0.005)</f>
        <v/>
      </c>
      <c r="J361" s="83">
        <f>_xlfn.NORM.INV(RAND(),ASSUMPTIONS!$C$19,ASSUMPTIONS!$C$70)</f>
        <v/>
      </c>
      <c r="K361" s="83">
        <f>_xlfn.NORM.INV(RAND(),ASSUMPTIONS!$C$43,ASSUMPTIONS!$C$71)</f>
        <v/>
      </c>
      <c r="L361" s="84">
        <f>(((ASSUMPTIONS!$C$18*J361*(1-ASSUMPTIONS!$C$20)+ASSUMPTIONS!$C$18*ASSUMPTIONS!$C$21-ASSUMPTIONS!$C$18*ASSUMPTIONS!$C$22)*(1+H361)*(1-((1+H361)/(1+I361))^5)/(I361-H361))+((ASSUMPTIONS!$C$18*J361*(1-ASSUMPTIONS!$C$20)+ASSUMPTIONS!$C$18*ASSUMPTIONS!$C$21-ASSUMPTIONS!$C$18*ASSUMPTIONS!$C$22)*(1+H361)^5*(1+K361)/(I361-K361)/(1+I361)^5)-DCF!$C$12)/ASSUMPTIONS!$C$7</f>
        <v/>
      </c>
    </row>
    <row r="362">
      <c r="H362" s="83">
        <f>_xlfn.NORM.INV(RAND(),AVERAGE(ASSUMPTIONS!$C$38,ASSUMPTIONS!$C$39,ASSUMPTIONS!$C$40,ASSUMPTIONS!$C$41,ASSUMPTIONS!$C$42),ASSUMPTIONS!$C$68)</f>
        <v/>
      </c>
      <c r="I362" s="83">
        <f>MAX(_xlfn.NORM.INV(RAND(),DCF!$C$11,ASSUMPTIONS!$C$69),K362+0.005)</f>
        <v/>
      </c>
      <c r="J362" s="83">
        <f>_xlfn.NORM.INV(RAND(),ASSUMPTIONS!$C$19,ASSUMPTIONS!$C$70)</f>
        <v/>
      </c>
      <c r="K362" s="83">
        <f>_xlfn.NORM.INV(RAND(),ASSUMPTIONS!$C$43,ASSUMPTIONS!$C$71)</f>
        <v/>
      </c>
      <c r="L362" s="84">
        <f>(((ASSUMPTIONS!$C$18*J362*(1-ASSUMPTIONS!$C$20)+ASSUMPTIONS!$C$18*ASSUMPTIONS!$C$21-ASSUMPTIONS!$C$18*ASSUMPTIONS!$C$22)*(1+H362)*(1-((1+H362)/(1+I362))^5)/(I362-H362))+((ASSUMPTIONS!$C$18*J362*(1-ASSUMPTIONS!$C$20)+ASSUMPTIONS!$C$18*ASSUMPTIONS!$C$21-ASSUMPTIONS!$C$18*ASSUMPTIONS!$C$22)*(1+H362)^5*(1+K362)/(I362-K362)/(1+I362)^5)-DCF!$C$12)/ASSUMPTIONS!$C$7</f>
        <v/>
      </c>
    </row>
    <row r="363">
      <c r="H363" s="83">
        <f>_xlfn.NORM.INV(RAND(),AVERAGE(ASSUMPTIONS!$C$38,ASSUMPTIONS!$C$39,ASSUMPTIONS!$C$40,ASSUMPTIONS!$C$41,ASSUMPTIONS!$C$42),ASSUMPTIONS!$C$68)</f>
        <v/>
      </c>
      <c r="I363" s="83">
        <f>MAX(_xlfn.NORM.INV(RAND(),DCF!$C$11,ASSUMPTIONS!$C$69),K363+0.005)</f>
        <v/>
      </c>
      <c r="J363" s="83">
        <f>_xlfn.NORM.INV(RAND(),ASSUMPTIONS!$C$19,ASSUMPTIONS!$C$70)</f>
        <v/>
      </c>
      <c r="K363" s="83">
        <f>_xlfn.NORM.INV(RAND(),ASSUMPTIONS!$C$43,ASSUMPTIONS!$C$71)</f>
        <v/>
      </c>
      <c r="L363" s="84">
        <f>(((ASSUMPTIONS!$C$18*J363*(1-ASSUMPTIONS!$C$20)+ASSUMPTIONS!$C$18*ASSUMPTIONS!$C$21-ASSUMPTIONS!$C$18*ASSUMPTIONS!$C$22)*(1+H363)*(1-((1+H363)/(1+I363))^5)/(I363-H363))+((ASSUMPTIONS!$C$18*J363*(1-ASSUMPTIONS!$C$20)+ASSUMPTIONS!$C$18*ASSUMPTIONS!$C$21-ASSUMPTIONS!$C$18*ASSUMPTIONS!$C$22)*(1+H363)^5*(1+K363)/(I363-K363)/(1+I363)^5)-DCF!$C$12)/ASSUMPTIONS!$C$7</f>
        <v/>
      </c>
    </row>
    <row r="364">
      <c r="H364" s="83">
        <f>_xlfn.NORM.INV(RAND(),AVERAGE(ASSUMPTIONS!$C$38,ASSUMPTIONS!$C$39,ASSUMPTIONS!$C$40,ASSUMPTIONS!$C$41,ASSUMPTIONS!$C$42),ASSUMPTIONS!$C$68)</f>
        <v/>
      </c>
      <c r="I364" s="83">
        <f>MAX(_xlfn.NORM.INV(RAND(),DCF!$C$11,ASSUMPTIONS!$C$69),K364+0.005)</f>
        <v/>
      </c>
      <c r="J364" s="83">
        <f>_xlfn.NORM.INV(RAND(),ASSUMPTIONS!$C$19,ASSUMPTIONS!$C$70)</f>
        <v/>
      </c>
      <c r="K364" s="83">
        <f>_xlfn.NORM.INV(RAND(),ASSUMPTIONS!$C$43,ASSUMPTIONS!$C$71)</f>
        <v/>
      </c>
      <c r="L364" s="84">
        <f>(((ASSUMPTIONS!$C$18*J364*(1-ASSUMPTIONS!$C$20)+ASSUMPTIONS!$C$18*ASSUMPTIONS!$C$21-ASSUMPTIONS!$C$18*ASSUMPTIONS!$C$22)*(1+H364)*(1-((1+H364)/(1+I364))^5)/(I364-H364))+((ASSUMPTIONS!$C$18*J364*(1-ASSUMPTIONS!$C$20)+ASSUMPTIONS!$C$18*ASSUMPTIONS!$C$21-ASSUMPTIONS!$C$18*ASSUMPTIONS!$C$22)*(1+H364)^5*(1+K364)/(I364-K364)/(1+I364)^5)-DCF!$C$12)/ASSUMPTIONS!$C$7</f>
        <v/>
      </c>
    </row>
    <row r="365">
      <c r="H365" s="83">
        <f>_xlfn.NORM.INV(RAND(),AVERAGE(ASSUMPTIONS!$C$38,ASSUMPTIONS!$C$39,ASSUMPTIONS!$C$40,ASSUMPTIONS!$C$41,ASSUMPTIONS!$C$42),ASSUMPTIONS!$C$68)</f>
        <v/>
      </c>
      <c r="I365" s="83">
        <f>MAX(_xlfn.NORM.INV(RAND(),DCF!$C$11,ASSUMPTIONS!$C$69),K365+0.005)</f>
        <v/>
      </c>
      <c r="J365" s="83">
        <f>_xlfn.NORM.INV(RAND(),ASSUMPTIONS!$C$19,ASSUMPTIONS!$C$70)</f>
        <v/>
      </c>
      <c r="K365" s="83">
        <f>_xlfn.NORM.INV(RAND(),ASSUMPTIONS!$C$43,ASSUMPTIONS!$C$71)</f>
        <v/>
      </c>
      <c r="L365" s="84">
        <f>(((ASSUMPTIONS!$C$18*J365*(1-ASSUMPTIONS!$C$20)+ASSUMPTIONS!$C$18*ASSUMPTIONS!$C$21-ASSUMPTIONS!$C$18*ASSUMPTIONS!$C$22)*(1+H365)*(1-((1+H365)/(1+I365))^5)/(I365-H365))+((ASSUMPTIONS!$C$18*J365*(1-ASSUMPTIONS!$C$20)+ASSUMPTIONS!$C$18*ASSUMPTIONS!$C$21-ASSUMPTIONS!$C$18*ASSUMPTIONS!$C$22)*(1+H365)^5*(1+K365)/(I365-K365)/(1+I365)^5)-DCF!$C$12)/ASSUMPTIONS!$C$7</f>
        <v/>
      </c>
    </row>
    <row r="366">
      <c r="H366" s="83">
        <f>_xlfn.NORM.INV(RAND(),AVERAGE(ASSUMPTIONS!$C$38,ASSUMPTIONS!$C$39,ASSUMPTIONS!$C$40,ASSUMPTIONS!$C$41,ASSUMPTIONS!$C$42),ASSUMPTIONS!$C$68)</f>
        <v/>
      </c>
      <c r="I366" s="83">
        <f>MAX(_xlfn.NORM.INV(RAND(),DCF!$C$11,ASSUMPTIONS!$C$69),K366+0.005)</f>
        <v/>
      </c>
      <c r="J366" s="83">
        <f>_xlfn.NORM.INV(RAND(),ASSUMPTIONS!$C$19,ASSUMPTIONS!$C$70)</f>
        <v/>
      </c>
      <c r="K366" s="83">
        <f>_xlfn.NORM.INV(RAND(),ASSUMPTIONS!$C$43,ASSUMPTIONS!$C$71)</f>
        <v/>
      </c>
      <c r="L366" s="84">
        <f>(((ASSUMPTIONS!$C$18*J366*(1-ASSUMPTIONS!$C$20)+ASSUMPTIONS!$C$18*ASSUMPTIONS!$C$21-ASSUMPTIONS!$C$18*ASSUMPTIONS!$C$22)*(1+H366)*(1-((1+H366)/(1+I366))^5)/(I366-H366))+((ASSUMPTIONS!$C$18*J366*(1-ASSUMPTIONS!$C$20)+ASSUMPTIONS!$C$18*ASSUMPTIONS!$C$21-ASSUMPTIONS!$C$18*ASSUMPTIONS!$C$22)*(1+H366)^5*(1+K366)/(I366-K366)/(1+I366)^5)-DCF!$C$12)/ASSUMPTIONS!$C$7</f>
        <v/>
      </c>
    </row>
    <row r="367">
      <c r="H367" s="83">
        <f>_xlfn.NORM.INV(RAND(),AVERAGE(ASSUMPTIONS!$C$38,ASSUMPTIONS!$C$39,ASSUMPTIONS!$C$40,ASSUMPTIONS!$C$41,ASSUMPTIONS!$C$42),ASSUMPTIONS!$C$68)</f>
        <v/>
      </c>
      <c r="I367" s="83">
        <f>MAX(_xlfn.NORM.INV(RAND(),DCF!$C$11,ASSUMPTIONS!$C$69),K367+0.005)</f>
        <v/>
      </c>
      <c r="J367" s="83">
        <f>_xlfn.NORM.INV(RAND(),ASSUMPTIONS!$C$19,ASSUMPTIONS!$C$70)</f>
        <v/>
      </c>
      <c r="K367" s="83">
        <f>_xlfn.NORM.INV(RAND(),ASSUMPTIONS!$C$43,ASSUMPTIONS!$C$71)</f>
        <v/>
      </c>
      <c r="L367" s="84">
        <f>(((ASSUMPTIONS!$C$18*J367*(1-ASSUMPTIONS!$C$20)+ASSUMPTIONS!$C$18*ASSUMPTIONS!$C$21-ASSUMPTIONS!$C$18*ASSUMPTIONS!$C$22)*(1+H367)*(1-((1+H367)/(1+I367))^5)/(I367-H367))+((ASSUMPTIONS!$C$18*J367*(1-ASSUMPTIONS!$C$20)+ASSUMPTIONS!$C$18*ASSUMPTIONS!$C$21-ASSUMPTIONS!$C$18*ASSUMPTIONS!$C$22)*(1+H367)^5*(1+K367)/(I367-K367)/(1+I367)^5)-DCF!$C$12)/ASSUMPTIONS!$C$7</f>
        <v/>
      </c>
    </row>
    <row r="368">
      <c r="H368" s="83">
        <f>_xlfn.NORM.INV(RAND(),AVERAGE(ASSUMPTIONS!$C$38,ASSUMPTIONS!$C$39,ASSUMPTIONS!$C$40,ASSUMPTIONS!$C$41,ASSUMPTIONS!$C$42),ASSUMPTIONS!$C$68)</f>
        <v/>
      </c>
      <c r="I368" s="83">
        <f>MAX(_xlfn.NORM.INV(RAND(),DCF!$C$11,ASSUMPTIONS!$C$69),K368+0.005)</f>
        <v/>
      </c>
      <c r="J368" s="83">
        <f>_xlfn.NORM.INV(RAND(),ASSUMPTIONS!$C$19,ASSUMPTIONS!$C$70)</f>
        <v/>
      </c>
      <c r="K368" s="83">
        <f>_xlfn.NORM.INV(RAND(),ASSUMPTIONS!$C$43,ASSUMPTIONS!$C$71)</f>
        <v/>
      </c>
      <c r="L368" s="84">
        <f>(((ASSUMPTIONS!$C$18*J368*(1-ASSUMPTIONS!$C$20)+ASSUMPTIONS!$C$18*ASSUMPTIONS!$C$21-ASSUMPTIONS!$C$18*ASSUMPTIONS!$C$22)*(1+H368)*(1-((1+H368)/(1+I368))^5)/(I368-H368))+((ASSUMPTIONS!$C$18*J368*(1-ASSUMPTIONS!$C$20)+ASSUMPTIONS!$C$18*ASSUMPTIONS!$C$21-ASSUMPTIONS!$C$18*ASSUMPTIONS!$C$22)*(1+H368)^5*(1+K368)/(I368-K368)/(1+I368)^5)-DCF!$C$12)/ASSUMPTIONS!$C$7</f>
        <v/>
      </c>
    </row>
    <row r="369">
      <c r="H369" s="83">
        <f>_xlfn.NORM.INV(RAND(),AVERAGE(ASSUMPTIONS!$C$38,ASSUMPTIONS!$C$39,ASSUMPTIONS!$C$40,ASSUMPTIONS!$C$41,ASSUMPTIONS!$C$42),ASSUMPTIONS!$C$68)</f>
        <v/>
      </c>
      <c r="I369" s="83">
        <f>MAX(_xlfn.NORM.INV(RAND(),DCF!$C$11,ASSUMPTIONS!$C$69),K369+0.005)</f>
        <v/>
      </c>
      <c r="J369" s="83">
        <f>_xlfn.NORM.INV(RAND(),ASSUMPTIONS!$C$19,ASSUMPTIONS!$C$70)</f>
        <v/>
      </c>
      <c r="K369" s="83">
        <f>_xlfn.NORM.INV(RAND(),ASSUMPTIONS!$C$43,ASSUMPTIONS!$C$71)</f>
        <v/>
      </c>
      <c r="L369" s="84">
        <f>(((ASSUMPTIONS!$C$18*J369*(1-ASSUMPTIONS!$C$20)+ASSUMPTIONS!$C$18*ASSUMPTIONS!$C$21-ASSUMPTIONS!$C$18*ASSUMPTIONS!$C$22)*(1+H369)*(1-((1+H369)/(1+I369))^5)/(I369-H369))+((ASSUMPTIONS!$C$18*J369*(1-ASSUMPTIONS!$C$20)+ASSUMPTIONS!$C$18*ASSUMPTIONS!$C$21-ASSUMPTIONS!$C$18*ASSUMPTIONS!$C$22)*(1+H369)^5*(1+K369)/(I369-K369)/(1+I369)^5)-DCF!$C$12)/ASSUMPTIONS!$C$7</f>
        <v/>
      </c>
    </row>
    <row r="370">
      <c r="H370" s="83">
        <f>_xlfn.NORM.INV(RAND(),AVERAGE(ASSUMPTIONS!$C$38,ASSUMPTIONS!$C$39,ASSUMPTIONS!$C$40,ASSUMPTIONS!$C$41,ASSUMPTIONS!$C$42),ASSUMPTIONS!$C$68)</f>
        <v/>
      </c>
      <c r="I370" s="83">
        <f>MAX(_xlfn.NORM.INV(RAND(),DCF!$C$11,ASSUMPTIONS!$C$69),K370+0.005)</f>
        <v/>
      </c>
      <c r="J370" s="83">
        <f>_xlfn.NORM.INV(RAND(),ASSUMPTIONS!$C$19,ASSUMPTIONS!$C$70)</f>
        <v/>
      </c>
      <c r="K370" s="83">
        <f>_xlfn.NORM.INV(RAND(),ASSUMPTIONS!$C$43,ASSUMPTIONS!$C$71)</f>
        <v/>
      </c>
      <c r="L370" s="84">
        <f>(((ASSUMPTIONS!$C$18*J370*(1-ASSUMPTIONS!$C$20)+ASSUMPTIONS!$C$18*ASSUMPTIONS!$C$21-ASSUMPTIONS!$C$18*ASSUMPTIONS!$C$22)*(1+H370)*(1-((1+H370)/(1+I370))^5)/(I370-H370))+((ASSUMPTIONS!$C$18*J370*(1-ASSUMPTIONS!$C$20)+ASSUMPTIONS!$C$18*ASSUMPTIONS!$C$21-ASSUMPTIONS!$C$18*ASSUMPTIONS!$C$22)*(1+H370)^5*(1+K370)/(I370-K370)/(1+I370)^5)-DCF!$C$12)/ASSUMPTIONS!$C$7</f>
        <v/>
      </c>
    </row>
    <row r="371">
      <c r="H371" s="83">
        <f>_xlfn.NORM.INV(RAND(),AVERAGE(ASSUMPTIONS!$C$38,ASSUMPTIONS!$C$39,ASSUMPTIONS!$C$40,ASSUMPTIONS!$C$41,ASSUMPTIONS!$C$42),ASSUMPTIONS!$C$68)</f>
        <v/>
      </c>
      <c r="I371" s="83">
        <f>MAX(_xlfn.NORM.INV(RAND(),DCF!$C$11,ASSUMPTIONS!$C$69),K371+0.005)</f>
        <v/>
      </c>
      <c r="J371" s="83">
        <f>_xlfn.NORM.INV(RAND(),ASSUMPTIONS!$C$19,ASSUMPTIONS!$C$70)</f>
        <v/>
      </c>
      <c r="K371" s="83">
        <f>_xlfn.NORM.INV(RAND(),ASSUMPTIONS!$C$43,ASSUMPTIONS!$C$71)</f>
        <v/>
      </c>
      <c r="L371" s="84">
        <f>(((ASSUMPTIONS!$C$18*J371*(1-ASSUMPTIONS!$C$20)+ASSUMPTIONS!$C$18*ASSUMPTIONS!$C$21-ASSUMPTIONS!$C$18*ASSUMPTIONS!$C$22)*(1+H371)*(1-((1+H371)/(1+I371))^5)/(I371-H371))+((ASSUMPTIONS!$C$18*J371*(1-ASSUMPTIONS!$C$20)+ASSUMPTIONS!$C$18*ASSUMPTIONS!$C$21-ASSUMPTIONS!$C$18*ASSUMPTIONS!$C$22)*(1+H371)^5*(1+K371)/(I371-K371)/(1+I371)^5)-DCF!$C$12)/ASSUMPTIONS!$C$7</f>
        <v/>
      </c>
    </row>
    <row r="372">
      <c r="H372" s="83">
        <f>_xlfn.NORM.INV(RAND(),AVERAGE(ASSUMPTIONS!$C$38,ASSUMPTIONS!$C$39,ASSUMPTIONS!$C$40,ASSUMPTIONS!$C$41,ASSUMPTIONS!$C$42),ASSUMPTIONS!$C$68)</f>
        <v/>
      </c>
      <c r="I372" s="83">
        <f>MAX(_xlfn.NORM.INV(RAND(),DCF!$C$11,ASSUMPTIONS!$C$69),K372+0.005)</f>
        <v/>
      </c>
      <c r="J372" s="83">
        <f>_xlfn.NORM.INV(RAND(),ASSUMPTIONS!$C$19,ASSUMPTIONS!$C$70)</f>
        <v/>
      </c>
      <c r="K372" s="83">
        <f>_xlfn.NORM.INV(RAND(),ASSUMPTIONS!$C$43,ASSUMPTIONS!$C$71)</f>
        <v/>
      </c>
      <c r="L372" s="84">
        <f>(((ASSUMPTIONS!$C$18*J372*(1-ASSUMPTIONS!$C$20)+ASSUMPTIONS!$C$18*ASSUMPTIONS!$C$21-ASSUMPTIONS!$C$18*ASSUMPTIONS!$C$22)*(1+H372)*(1-((1+H372)/(1+I372))^5)/(I372-H372))+((ASSUMPTIONS!$C$18*J372*(1-ASSUMPTIONS!$C$20)+ASSUMPTIONS!$C$18*ASSUMPTIONS!$C$21-ASSUMPTIONS!$C$18*ASSUMPTIONS!$C$22)*(1+H372)^5*(1+K372)/(I372-K372)/(1+I372)^5)-DCF!$C$12)/ASSUMPTIONS!$C$7</f>
        <v/>
      </c>
    </row>
    <row r="373">
      <c r="H373" s="83">
        <f>_xlfn.NORM.INV(RAND(),AVERAGE(ASSUMPTIONS!$C$38,ASSUMPTIONS!$C$39,ASSUMPTIONS!$C$40,ASSUMPTIONS!$C$41,ASSUMPTIONS!$C$42),ASSUMPTIONS!$C$68)</f>
        <v/>
      </c>
      <c r="I373" s="83">
        <f>MAX(_xlfn.NORM.INV(RAND(),DCF!$C$11,ASSUMPTIONS!$C$69),K373+0.005)</f>
        <v/>
      </c>
      <c r="J373" s="83">
        <f>_xlfn.NORM.INV(RAND(),ASSUMPTIONS!$C$19,ASSUMPTIONS!$C$70)</f>
        <v/>
      </c>
      <c r="K373" s="83">
        <f>_xlfn.NORM.INV(RAND(),ASSUMPTIONS!$C$43,ASSUMPTIONS!$C$71)</f>
        <v/>
      </c>
      <c r="L373" s="84">
        <f>(((ASSUMPTIONS!$C$18*J373*(1-ASSUMPTIONS!$C$20)+ASSUMPTIONS!$C$18*ASSUMPTIONS!$C$21-ASSUMPTIONS!$C$18*ASSUMPTIONS!$C$22)*(1+H373)*(1-((1+H373)/(1+I373))^5)/(I373-H373))+((ASSUMPTIONS!$C$18*J373*(1-ASSUMPTIONS!$C$20)+ASSUMPTIONS!$C$18*ASSUMPTIONS!$C$21-ASSUMPTIONS!$C$18*ASSUMPTIONS!$C$22)*(1+H373)^5*(1+K373)/(I373-K373)/(1+I373)^5)-DCF!$C$12)/ASSUMPTIONS!$C$7</f>
        <v/>
      </c>
    </row>
    <row r="374">
      <c r="H374" s="83">
        <f>_xlfn.NORM.INV(RAND(),AVERAGE(ASSUMPTIONS!$C$38,ASSUMPTIONS!$C$39,ASSUMPTIONS!$C$40,ASSUMPTIONS!$C$41,ASSUMPTIONS!$C$42),ASSUMPTIONS!$C$68)</f>
        <v/>
      </c>
      <c r="I374" s="83">
        <f>MAX(_xlfn.NORM.INV(RAND(),DCF!$C$11,ASSUMPTIONS!$C$69),K374+0.005)</f>
        <v/>
      </c>
      <c r="J374" s="83">
        <f>_xlfn.NORM.INV(RAND(),ASSUMPTIONS!$C$19,ASSUMPTIONS!$C$70)</f>
        <v/>
      </c>
      <c r="K374" s="83">
        <f>_xlfn.NORM.INV(RAND(),ASSUMPTIONS!$C$43,ASSUMPTIONS!$C$71)</f>
        <v/>
      </c>
      <c r="L374" s="84">
        <f>(((ASSUMPTIONS!$C$18*J374*(1-ASSUMPTIONS!$C$20)+ASSUMPTIONS!$C$18*ASSUMPTIONS!$C$21-ASSUMPTIONS!$C$18*ASSUMPTIONS!$C$22)*(1+H374)*(1-((1+H374)/(1+I374))^5)/(I374-H374))+((ASSUMPTIONS!$C$18*J374*(1-ASSUMPTIONS!$C$20)+ASSUMPTIONS!$C$18*ASSUMPTIONS!$C$21-ASSUMPTIONS!$C$18*ASSUMPTIONS!$C$22)*(1+H374)^5*(1+K374)/(I374-K374)/(1+I374)^5)-DCF!$C$12)/ASSUMPTIONS!$C$7</f>
        <v/>
      </c>
    </row>
    <row r="375">
      <c r="H375" s="83">
        <f>_xlfn.NORM.INV(RAND(),AVERAGE(ASSUMPTIONS!$C$38,ASSUMPTIONS!$C$39,ASSUMPTIONS!$C$40,ASSUMPTIONS!$C$41,ASSUMPTIONS!$C$42),ASSUMPTIONS!$C$68)</f>
        <v/>
      </c>
      <c r="I375" s="83">
        <f>MAX(_xlfn.NORM.INV(RAND(),DCF!$C$11,ASSUMPTIONS!$C$69),K375+0.005)</f>
        <v/>
      </c>
      <c r="J375" s="83">
        <f>_xlfn.NORM.INV(RAND(),ASSUMPTIONS!$C$19,ASSUMPTIONS!$C$70)</f>
        <v/>
      </c>
      <c r="K375" s="83">
        <f>_xlfn.NORM.INV(RAND(),ASSUMPTIONS!$C$43,ASSUMPTIONS!$C$71)</f>
        <v/>
      </c>
      <c r="L375" s="84">
        <f>(((ASSUMPTIONS!$C$18*J375*(1-ASSUMPTIONS!$C$20)+ASSUMPTIONS!$C$18*ASSUMPTIONS!$C$21-ASSUMPTIONS!$C$18*ASSUMPTIONS!$C$22)*(1+H375)*(1-((1+H375)/(1+I375))^5)/(I375-H375))+((ASSUMPTIONS!$C$18*J375*(1-ASSUMPTIONS!$C$20)+ASSUMPTIONS!$C$18*ASSUMPTIONS!$C$21-ASSUMPTIONS!$C$18*ASSUMPTIONS!$C$22)*(1+H375)^5*(1+K375)/(I375-K375)/(1+I375)^5)-DCF!$C$12)/ASSUMPTIONS!$C$7</f>
        <v/>
      </c>
    </row>
    <row r="376">
      <c r="H376" s="83">
        <f>_xlfn.NORM.INV(RAND(),AVERAGE(ASSUMPTIONS!$C$38,ASSUMPTIONS!$C$39,ASSUMPTIONS!$C$40,ASSUMPTIONS!$C$41,ASSUMPTIONS!$C$42),ASSUMPTIONS!$C$68)</f>
        <v/>
      </c>
      <c r="I376" s="83">
        <f>MAX(_xlfn.NORM.INV(RAND(),DCF!$C$11,ASSUMPTIONS!$C$69),K376+0.005)</f>
        <v/>
      </c>
      <c r="J376" s="83">
        <f>_xlfn.NORM.INV(RAND(),ASSUMPTIONS!$C$19,ASSUMPTIONS!$C$70)</f>
        <v/>
      </c>
      <c r="K376" s="83">
        <f>_xlfn.NORM.INV(RAND(),ASSUMPTIONS!$C$43,ASSUMPTIONS!$C$71)</f>
        <v/>
      </c>
      <c r="L376" s="84">
        <f>(((ASSUMPTIONS!$C$18*J376*(1-ASSUMPTIONS!$C$20)+ASSUMPTIONS!$C$18*ASSUMPTIONS!$C$21-ASSUMPTIONS!$C$18*ASSUMPTIONS!$C$22)*(1+H376)*(1-((1+H376)/(1+I376))^5)/(I376-H376))+((ASSUMPTIONS!$C$18*J376*(1-ASSUMPTIONS!$C$20)+ASSUMPTIONS!$C$18*ASSUMPTIONS!$C$21-ASSUMPTIONS!$C$18*ASSUMPTIONS!$C$22)*(1+H376)^5*(1+K376)/(I376-K376)/(1+I376)^5)-DCF!$C$12)/ASSUMPTIONS!$C$7</f>
        <v/>
      </c>
    </row>
    <row r="377">
      <c r="H377" s="83">
        <f>_xlfn.NORM.INV(RAND(),AVERAGE(ASSUMPTIONS!$C$38,ASSUMPTIONS!$C$39,ASSUMPTIONS!$C$40,ASSUMPTIONS!$C$41,ASSUMPTIONS!$C$42),ASSUMPTIONS!$C$68)</f>
        <v/>
      </c>
      <c r="I377" s="83">
        <f>MAX(_xlfn.NORM.INV(RAND(),DCF!$C$11,ASSUMPTIONS!$C$69),K377+0.005)</f>
        <v/>
      </c>
      <c r="J377" s="83">
        <f>_xlfn.NORM.INV(RAND(),ASSUMPTIONS!$C$19,ASSUMPTIONS!$C$70)</f>
        <v/>
      </c>
      <c r="K377" s="83">
        <f>_xlfn.NORM.INV(RAND(),ASSUMPTIONS!$C$43,ASSUMPTIONS!$C$71)</f>
        <v/>
      </c>
      <c r="L377" s="84">
        <f>(((ASSUMPTIONS!$C$18*J377*(1-ASSUMPTIONS!$C$20)+ASSUMPTIONS!$C$18*ASSUMPTIONS!$C$21-ASSUMPTIONS!$C$18*ASSUMPTIONS!$C$22)*(1+H377)*(1-((1+H377)/(1+I377))^5)/(I377-H377))+((ASSUMPTIONS!$C$18*J377*(1-ASSUMPTIONS!$C$20)+ASSUMPTIONS!$C$18*ASSUMPTIONS!$C$21-ASSUMPTIONS!$C$18*ASSUMPTIONS!$C$22)*(1+H377)^5*(1+K377)/(I377-K377)/(1+I377)^5)-DCF!$C$12)/ASSUMPTIONS!$C$7</f>
        <v/>
      </c>
    </row>
    <row r="378">
      <c r="H378" s="83">
        <f>_xlfn.NORM.INV(RAND(),AVERAGE(ASSUMPTIONS!$C$38,ASSUMPTIONS!$C$39,ASSUMPTIONS!$C$40,ASSUMPTIONS!$C$41,ASSUMPTIONS!$C$42),ASSUMPTIONS!$C$68)</f>
        <v/>
      </c>
      <c r="I378" s="83">
        <f>MAX(_xlfn.NORM.INV(RAND(),DCF!$C$11,ASSUMPTIONS!$C$69),K378+0.005)</f>
        <v/>
      </c>
      <c r="J378" s="83">
        <f>_xlfn.NORM.INV(RAND(),ASSUMPTIONS!$C$19,ASSUMPTIONS!$C$70)</f>
        <v/>
      </c>
      <c r="K378" s="83">
        <f>_xlfn.NORM.INV(RAND(),ASSUMPTIONS!$C$43,ASSUMPTIONS!$C$71)</f>
        <v/>
      </c>
      <c r="L378" s="84">
        <f>(((ASSUMPTIONS!$C$18*J378*(1-ASSUMPTIONS!$C$20)+ASSUMPTIONS!$C$18*ASSUMPTIONS!$C$21-ASSUMPTIONS!$C$18*ASSUMPTIONS!$C$22)*(1+H378)*(1-((1+H378)/(1+I378))^5)/(I378-H378))+((ASSUMPTIONS!$C$18*J378*(1-ASSUMPTIONS!$C$20)+ASSUMPTIONS!$C$18*ASSUMPTIONS!$C$21-ASSUMPTIONS!$C$18*ASSUMPTIONS!$C$22)*(1+H378)^5*(1+K378)/(I378-K378)/(1+I378)^5)-DCF!$C$12)/ASSUMPTIONS!$C$7</f>
        <v/>
      </c>
    </row>
    <row r="379">
      <c r="H379" s="83">
        <f>_xlfn.NORM.INV(RAND(),AVERAGE(ASSUMPTIONS!$C$38,ASSUMPTIONS!$C$39,ASSUMPTIONS!$C$40,ASSUMPTIONS!$C$41,ASSUMPTIONS!$C$42),ASSUMPTIONS!$C$68)</f>
        <v/>
      </c>
      <c r="I379" s="83">
        <f>MAX(_xlfn.NORM.INV(RAND(),DCF!$C$11,ASSUMPTIONS!$C$69),K379+0.005)</f>
        <v/>
      </c>
      <c r="J379" s="83">
        <f>_xlfn.NORM.INV(RAND(),ASSUMPTIONS!$C$19,ASSUMPTIONS!$C$70)</f>
        <v/>
      </c>
      <c r="K379" s="83">
        <f>_xlfn.NORM.INV(RAND(),ASSUMPTIONS!$C$43,ASSUMPTIONS!$C$71)</f>
        <v/>
      </c>
      <c r="L379" s="84">
        <f>(((ASSUMPTIONS!$C$18*J379*(1-ASSUMPTIONS!$C$20)+ASSUMPTIONS!$C$18*ASSUMPTIONS!$C$21-ASSUMPTIONS!$C$18*ASSUMPTIONS!$C$22)*(1+H379)*(1-((1+H379)/(1+I379))^5)/(I379-H379))+((ASSUMPTIONS!$C$18*J379*(1-ASSUMPTIONS!$C$20)+ASSUMPTIONS!$C$18*ASSUMPTIONS!$C$21-ASSUMPTIONS!$C$18*ASSUMPTIONS!$C$22)*(1+H379)^5*(1+K379)/(I379-K379)/(1+I379)^5)-DCF!$C$12)/ASSUMPTIONS!$C$7</f>
        <v/>
      </c>
    </row>
    <row r="380">
      <c r="H380" s="83">
        <f>_xlfn.NORM.INV(RAND(),AVERAGE(ASSUMPTIONS!$C$38,ASSUMPTIONS!$C$39,ASSUMPTIONS!$C$40,ASSUMPTIONS!$C$41,ASSUMPTIONS!$C$42),ASSUMPTIONS!$C$68)</f>
        <v/>
      </c>
      <c r="I380" s="83">
        <f>MAX(_xlfn.NORM.INV(RAND(),DCF!$C$11,ASSUMPTIONS!$C$69),K380+0.005)</f>
        <v/>
      </c>
      <c r="J380" s="83">
        <f>_xlfn.NORM.INV(RAND(),ASSUMPTIONS!$C$19,ASSUMPTIONS!$C$70)</f>
        <v/>
      </c>
      <c r="K380" s="83">
        <f>_xlfn.NORM.INV(RAND(),ASSUMPTIONS!$C$43,ASSUMPTIONS!$C$71)</f>
        <v/>
      </c>
      <c r="L380" s="84">
        <f>(((ASSUMPTIONS!$C$18*J380*(1-ASSUMPTIONS!$C$20)+ASSUMPTIONS!$C$18*ASSUMPTIONS!$C$21-ASSUMPTIONS!$C$18*ASSUMPTIONS!$C$22)*(1+H380)*(1-((1+H380)/(1+I380))^5)/(I380-H380))+((ASSUMPTIONS!$C$18*J380*(1-ASSUMPTIONS!$C$20)+ASSUMPTIONS!$C$18*ASSUMPTIONS!$C$21-ASSUMPTIONS!$C$18*ASSUMPTIONS!$C$22)*(1+H380)^5*(1+K380)/(I380-K380)/(1+I380)^5)-DCF!$C$12)/ASSUMPTIONS!$C$7</f>
        <v/>
      </c>
    </row>
    <row r="381">
      <c r="H381" s="83">
        <f>_xlfn.NORM.INV(RAND(),AVERAGE(ASSUMPTIONS!$C$38,ASSUMPTIONS!$C$39,ASSUMPTIONS!$C$40,ASSUMPTIONS!$C$41,ASSUMPTIONS!$C$42),ASSUMPTIONS!$C$68)</f>
        <v/>
      </c>
      <c r="I381" s="83">
        <f>MAX(_xlfn.NORM.INV(RAND(),DCF!$C$11,ASSUMPTIONS!$C$69),K381+0.005)</f>
        <v/>
      </c>
      <c r="J381" s="83">
        <f>_xlfn.NORM.INV(RAND(),ASSUMPTIONS!$C$19,ASSUMPTIONS!$C$70)</f>
        <v/>
      </c>
      <c r="K381" s="83">
        <f>_xlfn.NORM.INV(RAND(),ASSUMPTIONS!$C$43,ASSUMPTIONS!$C$71)</f>
        <v/>
      </c>
      <c r="L381" s="84">
        <f>(((ASSUMPTIONS!$C$18*J381*(1-ASSUMPTIONS!$C$20)+ASSUMPTIONS!$C$18*ASSUMPTIONS!$C$21-ASSUMPTIONS!$C$18*ASSUMPTIONS!$C$22)*(1+H381)*(1-((1+H381)/(1+I381))^5)/(I381-H381))+((ASSUMPTIONS!$C$18*J381*(1-ASSUMPTIONS!$C$20)+ASSUMPTIONS!$C$18*ASSUMPTIONS!$C$21-ASSUMPTIONS!$C$18*ASSUMPTIONS!$C$22)*(1+H381)^5*(1+K381)/(I381-K381)/(1+I381)^5)-DCF!$C$12)/ASSUMPTIONS!$C$7</f>
        <v/>
      </c>
    </row>
    <row r="382">
      <c r="H382" s="83">
        <f>_xlfn.NORM.INV(RAND(),AVERAGE(ASSUMPTIONS!$C$38,ASSUMPTIONS!$C$39,ASSUMPTIONS!$C$40,ASSUMPTIONS!$C$41,ASSUMPTIONS!$C$42),ASSUMPTIONS!$C$68)</f>
        <v/>
      </c>
      <c r="I382" s="83">
        <f>MAX(_xlfn.NORM.INV(RAND(),DCF!$C$11,ASSUMPTIONS!$C$69),K382+0.005)</f>
        <v/>
      </c>
      <c r="J382" s="83">
        <f>_xlfn.NORM.INV(RAND(),ASSUMPTIONS!$C$19,ASSUMPTIONS!$C$70)</f>
        <v/>
      </c>
      <c r="K382" s="83">
        <f>_xlfn.NORM.INV(RAND(),ASSUMPTIONS!$C$43,ASSUMPTIONS!$C$71)</f>
        <v/>
      </c>
      <c r="L382" s="84">
        <f>(((ASSUMPTIONS!$C$18*J382*(1-ASSUMPTIONS!$C$20)+ASSUMPTIONS!$C$18*ASSUMPTIONS!$C$21-ASSUMPTIONS!$C$18*ASSUMPTIONS!$C$22)*(1+H382)*(1-((1+H382)/(1+I382))^5)/(I382-H382))+((ASSUMPTIONS!$C$18*J382*(1-ASSUMPTIONS!$C$20)+ASSUMPTIONS!$C$18*ASSUMPTIONS!$C$21-ASSUMPTIONS!$C$18*ASSUMPTIONS!$C$22)*(1+H382)^5*(1+K382)/(I382-K382)/(1+I382)^5)-DCF!$C$12)/ASSUMPTIONS!$C$7</f>
        <v/>
      </c>
    </row>
    <row r="383">
      <c r="H383" s="83">
        <f>_xlfn.NORM.INV(RAND(),AVERAGE(ASSUMPTIONS!$C$38,ASSUMPTIONS!$C$39,ASSUMPTIONS!$C$40,ASSUMPTIONS!$C$41,ASSUMPTIONS!$C$42),ASSUMPTIONS!$C$68)</f>
        <v/>
      </c>
      <c r="I383" s="83">
        <f>MAX(_xlfn.NORM.INV(RAND(),DCF!$C$11,ASSUMPTIONS!$C$69),K383+0.005)</f>
        <v/>
      </c>
      <c r="J383" s="83">
        <f>_xlfn.NORM.INV(RAND(),ASSUMPTIONS!$C$19,ASSUMPTIONS!$C$70)</f>
        <v/>
      </c>
      <c r="K383" s="83">
        <f>_xlfn.NORM.INV(RAND(),ASSUMPTIONS!$C$43,ASSUMPTIONS!$C$71)</f>
        <v/>
      </c>
      <c r="L383" s="84">
        <f>(((ASSUMPTIONS!$C$18*J383*(1-ASSUMPTIONS!$C$20)+ASSUMPTIONS!$C$18*ASSUMPTIONS!$C$21-ASSUMPTIONS!$C$18*ASSUMPTIONS!$C$22)*(1+H383)*(1-((1+H383)/(1+I383))^5)/(I383-H383))+((ASSUMPTIONS!$C$18*J383*(1-ASSUMPTIONS!$C$20)+ASSUMPTIONS!$C$18*ASSUMPTIONS!$C$21-ASSUMPTIONS!$C$18*ASSUMPTIONS!$C$22)*(1+H383)^5*(1+K383)/(I383-K383)/(1+I383)^5)-DCF!$C$12)/ASSUMPTIONS!$C$7</f>
        <v/>
      </c>
    </row>
    <row r="384">
      <c r="H384" s="83">
        <f>_xlfn.NORM.INV(RAND(),AVERAGE(ASSUMPTIONS!$C$38,ASSUMPTIONS!$C$39,ASSUMPTIONS!$C$40,ASSUMPTIONS!$C$41,ASSUMPTIONS!$C$42),ASSUMPTIONS!$C$68)</f>
        <v/>
      </c>
      <c r="I384" s="83">
        <f>MAX(_xlfn.NORM.INV(RAND(),DCF!$C$11,ASSUMPTIONS!$C$69),K384+0.005)</f>
        <v/>
      </c>
      <c r="J384" s="83">
        <f>_xlfn.NORM.INV(RAND(),ASSUMPTIONS!$C$19,ASSUMPTIONS!$C$70)</f>
        <v/>
      </c>
      <c r="K384" s="83">
        <f>_xlfn.NORM.INV(RAND(),ASSUMPTIONS!$C$43,ASSUMPTIONS!$C$71)</f>
        <v/>
      </c>
      <c r="L384" s="84">
        <f>(((ASSUMPTIONS!$C$18*J384*(1-ASSUMPTIONS!$C$20)+ASSUMPTIONS!$C$18*ASSUMPTIONS!$C$21-ASSUMPTIONS!$C$18*ASSUMPTIONS!$C$22)*(1+H384)*(1-((1+H384)/(1+I384))^5)/(I384-H384))+((ASSUMPTIONS!$C$18*J384*(1-ASSUMPTIONS!$C$20)+ASSUMPTIONS!$C$18*ASSUMPTIONS!$C$21-ASSUMPTIONS!$C$18*ASSUMPTIONS!$C$22)*(1+H384)^5*(1+K384)/(I384-K384)/(1+I384)^5)-DCF!$C$12)/ASSUMPTIONS!$C$7</f>
        <v/>
      </c>
    </row>
    <row r="385">
      <c r="H385" s="83">
        <f>_xlfn.NORM.INV(RAND(),AVERAGE(ASSUMPTIONS!$C$38,ASSUMPTIONS!$C$39,ASSUMPTIONS!$C$40,ASSUMPTIONS!$C$41,ASSUMPTIONS!$C$42),ASSUMPTIONS!$C$68)</f>
        <v/>
      </c>
      <c r="I385" s="83">
        <f>MAX(_xlfn.NORM.INV(RAND(),DCF!$C$11,ASSUMPTIONS!$C$69),K385+0.005)</f>
        <v/>
      </c>
      <c r="J385" s="83">
        <f>_xlfn.NORM.INV(RAND(),ASSUMPTIONS!$C$19,ASSUMPTIONS!$C$70)</f>
        <v/>
      </c>
      <c r="K385" s="83">
        <f>_xlfn.NORM.INV(RAND(),ASSUMPTIONS!$C$43,ASSUMPTIONS!$C$71)</f>
        <v/>
      </c>
      <c r="L385" s="84">
        <f>(((ASSUMPTIONS!$C$18*J385*(1-ASSUMPTIONS!$C$20)+ASSUMPTIONS!$C$18*ASSUMPTIONS!$C$21-ASSUMPTIONS!$C$18*ASSUMPTIONS!$C$22)*(1+H385)*(1-((1+H385)/(1+I385))^5)/(I385-H385))+((ASSUMPTIONS!$C$18*J385*(1-ASSUMPTIONS!$C$20)+ASSUMPTIONS!$C$18*ASSUMPTIONS!$C$21-ASSUMPTIONS!$C$18*ASSUMPTIONS!$C$22)*(1+H385)^5*(1+K385)/(I385-K385)/(1+I385)^5)-DCF!$C$12)/ASSUMPTIONS!$C$7</f>
        <v/>
      </c>
    </row>
    <row r="386">
      <c r="H386" s="83">
        <f>_xlfn.NORM.INV(RAND(),AVERAGE(ASSUMPTIONS!$C$38,ASSUMPTIONS!$C$39,ASSUMPTIONS!$C$40,ASSUMPTIONS!$C$41,ASSUMPTIONS!$C$42),ASSUMPTIONS!$C$68)</f>
        <v/>
      </c>
      <c r="I386" s="83">
        <f>MAX(_xlfn.NORM.INV(RAND(),DCF!$C$11,ASSUMPTIONS!$C$69),K386+0.005)</f>
        <v/>
      </c>
      <c r="J386" s="83">
        <f>_xlfn.NORM.INV(RAND(),ASSUMPTIONS!$C$19,ASSUMPTIONS!$C$70)</f>
        <v/>
      </c>
      <c r="K386" s="83">
        <f>_xlfn.NORM.INV(RAND(),ASSUMPTIONS!$C$43,ASSUMPTIONS!$C$71)</f>
        <v/>
      </c>
      <c r="L386" s="84">
        <f>(((ASSUMPTIONS!$C$18*J386*(1-ASSUMPTIONS!$C$20)+ASSUMPTIONS!$C$18*ASSUMPTIONS!$C$21-ASSUMPTIONS!$C$18*ASSUMPTIONS!$C$22)*(1+H386)*(1-((1+H386)/(1+I386))^5)/(I386-H386))+((ASSUMPTIONS!$C$18*J386*(1-ASSUMPTIONS!$C$20)+ASSUMPTIONS!$C$18*ASSUMPTIONS!$C$21-ASSUMPTIONS!$C$18*ASSUMPTIONS!$C$22)*(1+H386)^5*(1+K386)/(I386-K386)/(1+I386)^5)-DCF!$C$12)/ASSUMPTIONS!$C$7</f>
        <v/>
      </c>
    </row>
    <row r="387">
      <c r="H387" s="83">
        <f>_xlfn.NORM.INV(RAND(),AVERAGE(ASSUMPTIONS!$C$38,ASSUMPTIONS!$C$39,ASSUMPTIONS!$C$40,ASSUMPTIONS!$C$41,ASSUMPTIONS!$C$42),ASSUMPTIONS!$C$68)</f>
        <v/>
      </c>
      <c r="I387" s="83">
        <f>MAX(_xlfn.NORM.INV(RAND(),DCF!$C$11,ASSUMPTIONS!$C$69),K387+0.005)</f>
        <v/>
      </c>
      <c r="J387" s="83">
        <f>_xlfn.NORM.INV(RAND(),ASSUMPTIONS!$C$19,ASSUMPTIONS!$C$70)</f>
        <v/>
      </c>
      <c r="K387" s="83">
        <f>_xlfn.NORM.INV(RAND(),ASSUMPTIONS!$C$43,ASSUMPTIONS!$C$71)</f>
        <v/>
      </c>
      <c r="L387" s="84">
        <f>(((ASSUMPTIONS!$C$18*J387*(1-ASSUMPTIONS!$C$20)+ASSUMPTIONS!$C$18*ASSUMPTIONS!$C$21-ASSUMPTIONS!$C$18*ASSUMPTIONS!$C$22)*(1+H387)*(1-((1+H387)/(1+I387))^5)/(I387-H387))+((ASSUMPTIONS!$C$18*J387*(1-ASSUMPTIONS!$C$20)+ASSUMPTIONS!$C$18*ASSUMPTIONS!$C$21-ASSUMPTIONS!$C$18*ASSUMPTIONS!$C$22)*(1+H387)^5*(1+K387)/(I387-K387)/(1+I387)^5)-DCF!$C$12)/ASSUMPTIONS!$C$7</f>
        <v/>
      </c>
    </row>
    <row r="388">
      <c r="H388" s="83">
        <f>_xlfn.NORM.INV(RAND(),AVERAGE(ASSUMPTIONS!$C$38,ASSUMPTIONS!$C$39,ASSUMPTIONS!$C$40,ASSUMPTIONS!$C$41,ASSUMPTIONS!$C$42),ASSUMPTIONS!$C$68)</f>
        <v/>
      </c>
      <c r="I388" s="83">
        <f>MAX(_xlfn.NORM.INV(RAND(),DCF!$C$11,ASSUMPTIONS!$C$69),K388+0.005)</f>
        <v/>
      </c>
      <c r="J388" s="83">
        <f>_xlfn.NORM.INV(RAND(),ASSUMPTIONS!$C$19,ASSUMPTIONS!$C$70)</f>
        <v/>
      </c>
      <c r="K388" s="83">
        <f>_xlfn.NORM.INV(RAND(),ASSUMPTIONS!$C$43,ASSUMPTIONS!$C$71)</f>
        <v/>
      </c>
      <c r="L388" s="84">
        <f>(((ASSUMPTIONS!$C$18*J388*(1-ASSUMPTIONS!$C$20)+ASSUMPTIONS!$C$18*ASSUMPTIONS!$C$21-ASSUMPTIONS!$C$18*ASSUMPTIONS!$C$22)*(1+H388)*(1-((1+H388)/(1+I388))^5)/(I388-H388))+((ASSUMPTIONS!$C$18*J388*(1-ASSUMPTIONS!$C$20)+ASSUMPTIONS!$C$18*ASSUMPTIONS!$C$21-ASSUMPTIONS!$C$18*ASSUMPTIONS!$C$22)*(1+H388)^5*(1+K388)/(I388-K388)/(1+I388)^5)-DCF!$C$12)/ASSUMPTIONS!$C$7</f>
        <v/>
      </c>
    </row>
    <row r="389">
      <c r="H389" s="83">
        <f>_xlfn.NORM.INV(RAND(),AVERAGE(ASSUMPTIONS!$C$38,ASSUMPTIONS!$C$39,ASSUMPTIONS!$C$40,ASSUMPTIONS!$C$41,ASSUMPTIONS!$C$42),ASSUMPTIONS!$C$68)</f>
        <v/>
      </c>
      <c r="I389" s="83">
        <f>MAX(_xlfn.NORM.INV(RAND(),DCF!$C$11,ASSUMPTIONS!$C$69),K389+0.005)</f>
        <v/>
      </c>
      <c r="J389" s="83">
        <f>_xlfn.NORM.INV(RAND(),ASSUMPTIONS!$C$19,ASSUMPTIONS!$C$70)</f>
        <v/>
      </c>
      <c r="K389" s="83">
        <f>_xlfn.NORM.INV(RAND(),ASSUMPTIONS!$C$43,ASSUMPTIONS!$C$71)</f>
        <v/>
      </c>
      <c r="L389" s="84">
        <f>(((ASSUMPTIONS!$C$18*J389*(1-ASSUMPTIONS!$C$20)+ASSUMPTIONS!$C$18*ASSUMPTIONS!$C$21-ASSUMPTIONS!$C$18*ASSUMPTIONS!$C$22)*(1+H389)*(1-((1+H389)/(1+I389))^5)/(I389-H389))+((ASSUMPTIONS!$C$18*J389*(1-ASSUMPTIONS!$C$20)+ASSUMPTIONS!$C$18*ASSUMPTIONS!$C$21-ASSUMPTIONS!$C$18*ASSUMPTIONS!$C$22)*(1+H389)^5*(1+K389)/(I389-K389)/(1+I389)^5)-DCF!$C$12)/ASSUMPTIONS!$C$7</f>
        <v/>
      </c>
    </row>
    <row r="390">
      <c r="H390" s="83">
        <f>_xlfn.NORM.INV(RAND(),AVERAGE(ASSUMPTIONS!$C$38,ASSUMPTIONS!$C$39,ASSUMPTIONS!$C$40,ASSUMPTIONS!$C$41,ASSUMPTIONS!$C$42),ASSUMPTIONS!$C$68)</f>
        <v/>
      </c>
      <c r="I390" s="83">
        <f>MAX(_xlfn.NORM.INV(RAND(),DCF!$C$11,ASSUMPTIONS!$C$69),K390+0.005)</f>
        <v/>
      </c>
      <c r="J390" s="83">
        <f>_xlfn.NORM.INV(RAND(),ASSUMPTIONS!$C$19,ASSUMPTIONS!$C$70)</f>
        <v/>
      </c>
      <c r="K390" s="83">
        <f>_xlfn.NORM.INV(RAND(),ASSUMPTIONS!$C$43,ASSUMPTIONS!$C$71)</f>
        <v/>
      </c>
      <c r="L390" s="84">
        <f>(((ASSUMPTIONS!$C$18*J390*(1-ASSUMPTIONS!$C$20)+ASSUMPTIONS!$C$18*ASSUMPTIONS!$C$21-ASSUMPTIONS!$C$18*ASSUMPTIONS!$C$22)*(1+H390)*(1-((1+H390)/(1+I390))^5)/(I390-H390))+((ASSUMPTIONS!$C$18*J390*(1-ASSUMPTIONS!$C$20)+ASSUMPTIONS!$C$18*ASSUMPTIONS!$C$21-ASSUMPTIONS!$C$18*ASSUMPTIONS!$C$22)*(1+H390)^5*(1+K390)/(I390-K390)/(1+I390)^5)-DCF!$C$12)/ASSUMPTIONS!$C$7</f>
        <v/>
      </c>
    </row>
    <row r="391">
      <c r="H391" s="83">
        <f>_xlfn.NORM.INV(RAND(),AVERAGE(ASSUMPTIONS!$C$38,ASSUMPTIONS!$C$39,ASSUMPTIONS!$C$40,ASSUMPTIONS!$C$41,ASSUMPTIONS!$C$42),ASSUMPTIONS!$C$68)</f>
        <v/>
      </c>
      <c r="I391" s="83">
        <f>MAX(_xlfn.NORM.INV(RAND(),DCF!$C$11,ASSUMPTIONS!$C$69),K391+0.005)</f>
        <v/>
      </c>
      <c r="J391" s="83">
        <f>_xlfn.NORM.INV(RAND(),ASSUMPTIONS!$C$19,ASSUMPTIONS!$C$70)</f>
        <v/>
      </c>
      <c r="K391" s="83">
        <f>_xlfn.NORM.INV(RAND(),ASSUMPTIONS!$C$43,ASSUMPTIONS!$C$71)</f>
        <v/>
      </c>
      <c r="L391" s="84">
        <f>(((ASSUMPTIONS!$C$18*J391*(1-ASSUMPTIONS!$C$20)+ASSUMPTIONS!$C$18*ASSUMPTIONS!$C$21-ASSUMPTIONS!$C$18*ASSUMPTIONS!$C$22)*(1+H391)*(1-((1+H391)/(1+I391))^5)/(I391-H391))+((ASSUMPTIONS!$C$18*J391*(1-ASSUMPTIONS!$C$20)+ASSUMPTIONS!$C$18*ASSUMPTIONS!$C$21-ASSUMPTIONS!$C$18*ASSUMPTIONS!$C$22)*(1+H391)^5*(1+K391)/(I391-K391)/(1+I391)^5)-DCF!$C$12)/ASSUMPTIONS!$C$7</f>
        <v/>
      </c>
    </row>
    <row r="392">
      <c r="H392" s="83">
        <f>_xlfn.NORM.INV(RAND(),AVERAGE(ASSUMPTIONS!$C$38,ASSUMPTIONS!$C$39,ASSUMPTIONS!$C$40,ASSUMPTIONS!$C$41,ASSUMPTIONS!$C$42),ASSUMPTIONS!$C$68)</f>
        <v/>
      </c>
      <c r="I392" s="83">
        <f>MAX(_xlfn.NORM.INV(RAND(),DCF!$C$11,ASSUMPTIONS!$C$69),K392+0.005)</f>
        <v/>
      </c>
      <c r="J392" s="83">
        <f>_xlfn.NORM.INV(RAND(),ASSUMPTIONS!$C$19,ASSUMPTIONS!$C$70)</f>
        <v/>
      </c>
      <c r="K392" s="83">
        <f>_xlfn.NORM.INV(RAND(),ASSUMPTIONS!$C$43,ASSUMPTIONS!$C$71)</f>
        <v/>
      </c>
      <c r="L392" s="84">
        <f>(((ASSUMPTIONS!$C$18*J392*(1-ASSUMPTIONS!$C$20)+ASSUMPTIONS!$C$18*ASSUMPTIONS!$C$21-ASSUMPTIONS!$C$18*ASSUMPTIONS!$C$22)*(1+H392)*(1-((1+H392)/(1+I392))^5)/(I392-H392))+((ASSUMPTIONS!$C$18*J392*(1-ASSUMPTIONS!$C$20)+ASSUMPTIONS!$C$18*ASSUMPTIONS!$C$21-ASSUMPTIONS!$C$18*ASSUMPTIONS!$C$22)*(1+H392)^5*(1+K392)/(I392-K392)/(1+I392)^5)-DCF!$C$12)/ASSUMPTIONS!$C$7</f>
        <v/>
      </c>
    </row>
    <row r="393">
      <c r="H393" s="83">
        <f>_xlfn.NORM.INV(RAND(),AVERAGE(ASSUMPTIONS!$C$38,ASSUMPTIONS!$C$39,ASSUMPTIONS!$C$40,ASSUMPTIONS!$C$41,ASSUMPTIONS!$C$42),ASSUMPTIONS!$C$68)</f>
        <v/>
      </c>
      <c r="I393" s="83">
        <f>MAX(_xlfn.NORM.INV(RAND(),DCF!$C$11,ASSUMPTIONS!$C$69),K393+0.005)</f>
        <v/>
      </c>
      <c r="J393" s="83">
        <f>_xlfn.NORM.INV(RAND(),ASSUMPTIONS!$C$19,ASSUMPTIONS!$C$70)</f>
        <v/>
      </c>
      <c r="K393" s="83">
        <f>_xlfn.NORM.INV(RAND(),ASSUMPTIONS!$C$43,ASSUMPTIONS!$C$71)</f>
        <v/>
      </c>
      <c r="L393" s="84">
        <f>(((ASSUMPTIONS!$C$18*J393*(1-ASSUMPTIONS!$C$20)+ASSUMPTIONS!$C$18*ASSUMPTIONS!$C$21-ASSUMPTIONS!$C$18*ASSUMPTIONS!$C$22)*(1+H393)*(1-((1+H393)/(1+I393))^5)/(I393-H393))+((ASSUMPTIONS!$C$18*J393*(1-ASSUMPTIONS!$C$20)+ASSUMPTIONS!$C$18*ASSUMPTIONS!$C$21-ASSUMPTIONS!$C$18*ASSUMPTIONS!$C$22)*(1+H393)^5*(1+K393)/(I393-K393)/(1+I393)^5)-DCF!$C$12)/ASSUMPTIONS!$C$7</f>
        <v/>
      </c>
    </row>
    <row r="394">
      <c r="H394" s="83">
        <f>_xlfn.NORM.INV(RAND(),AVERAGE(ASSUMPTIONS!$C$38,ASSUMPTIONS!$C$39,ASSUMPTIONS!$C$40,ASSUMPTIONS!$C$41,ASSUMPTIONS!$C$42),ASSUMPTIONS!$C$68)</f>
        <v/>
      </c>
      <c r="I394" s="83">
        <f>MAX(_xlfn.NORM.INV(RAND(),DCF!$C$11,ASSUMPTIONS!$C$69),K394+0.005)</f>
        <v/>
      </c>
      <c r="J394" s="83">
        <f>_xlfn.NORM.INV(RAND(),ASSUMPTIONS!$C$19,ASSUMPTIONS!$C$70)</f>
        <v/>
      </c>
      <c r="K394" s="83">
        <f>_xlfn.NORM.INV(RAND(),ASSUMPTIONS!$C$43,ASSUMPTIONS!$C$71)</f>
        <v/>
      </c>
      <c r="L394" s="84">
        <f>(((ASSUMPTIONS!$C$18*J394*(1-ASSUMPTIONS!$C$20)+ASSUMPTIONS!$C$18*ASSUMPTIONS!$C$21-ASSUMPTIONS!$C$18*ASSUMPTIONS!$C$22)*(1+H394)*(1-((1+H394)/(1+I394))^5)/(I394-H394))+((ASSUMPTIONS!$C$18*J394*(1-ASSUMPTIONS!$C$20)+ASSUMPTIONS!$C$18*ASSUMPTIONS!$C$21-ASSUMPTIONS!$C$18*ASSUMPTIONS!$C$22)*(1+H394)^5*(1+K394)/(I394-K394)/(1+I394)^5)-DCF!$C$12)/ASSUMPTIONS!$C$7</f>
        <v/>
      </c>
    </row>
    <row r="395">
      <c r="H395" s="83">
        <f>_xlfn.NORM.INV(RAND(),AVERAGE(ASSUMPTIONS!$C$38,ASSUMPTIONS!$C$39,ASSUMPTIONS!$C$40,ASSUMPTIONS!$C$41,ASSUMPTIONS!$C$42),ASSUMPTIONS!$C$68)</f>
        <v/>
      </c>
      <c r="I395" s="83">
        <f>MAX(_xlfn.NORM.INV(RAND(),DCF!$C$11,ASSUMPTIONS!$C$69),K395+0.005)</f>
        <v/>
      </c>
      <c r="J395" s="83">
        <f>_xlfn.NORM.INV(RAND(),ASSUMPTIONS!$C$19,ASSUMPTIONS!$C$70)</f>
        <v/>
      </c>
      <c r="K395" s="83">
        <f>_xlfn.NORM.INV(RAND(),ASSUMPTIONS!$C$43,ASSUMPTIONS!$C$71)</f>
        <v/>
      </c>
      <c r="L395" s="84">
        <f>(((ASSUMPTIONS!$C$18*J395*(1-ASSUMPTIONS!$C$20)+ASSUMPTIONS!$C$18*ASSUMPTIONS!$C$21-ASSUMPTIONS!$C$18*ASSUMPTIONS!$C$22)*(1+H395)*(1-((1+H395)/(1+I395))^5)/(I395-H395))+((ASSUMPTIONS!$C$18*J395*(1-ASSUMPTIONS!$C$20)+ASSUMPTIONS!$C$18*ASSUMPTIONS!$C$21-ASSUMPTIONS!$C$18*ASSUMPTIONS!$C$22)*(1+H395)^5*(1+K395)/(I395-K395)/(1+I395)^5)-DCF!$C$12)/ASSUMPTIONS!$C$7</f>
        <v/>
      </c>
    </row>
    <row r="396">
      <c r="H396" s="83">
        <f>_xlfn.NORM.INV(RAND(),AVERAGE(ASSUMPTIONS!$C$38,ASSUMPTIONS!$C$39,ASSUMPTIONS!$C$40,ASSUMPTIONS!$C$41,ASSUMPTIONS!$C$42),ASSUMPTIONS!$C$68)</f>
        <v/>
      </c>
      <c r="I396" s="83">
        <f>MAX(_xlfn.NORM.INV(RAND(),DCF!$C$11,ASSUMPTIONS!$C$69),K396+0.005)</f>
        <v/>
      </c>
      <c r="J396" s="83">
        <f>_xlfn.NORM.INV(RAND(),ASSUMPTIONS!$C$19,ASSUMPTIONS!$C$70)</f>
        <v/>
      </c>
      <c r="K396" s="83">
        <f>_xlfn.NORM.INV(RAND(),ASSUMPTIONS!$C$43,ASSUMPTIONS!$C$71)</f>
        <v/>
      </c>
      <c r="L396" s="84">
        <f>(((ASSUMPTIONS!$C$18*J396*(1-ASSUMPTIONS!$C$20)+ASSUMPTIONS!$C$18*ASSUMPTIONS!$C$21-ASSUMPTIONS!$C$18*ASSUMPTIONS!$C$22)*(1+H396)*(1-((1+H396)/(1+I396))^5)/(I396-H396))+((ASSUMPTIONS!$C$18*J396*(1-ASSUMPTIONS!$C$20)+ASSUMPTIONS!$C$18*ASSUMPTIONS!$C$21-ASSUMPTIONS!$C$18*ASSUMPTIONS!$C$22)*(1+H396)^5*(1+K396)/(I396-K396)/(1+I396)^5)-DCF!$C$12)/ASSUMPTIONS!$C$7</f>
        <v/>
      </c>
    </row>
    <row r="397">
      <c r="H397" s="83">
        <f>_xlfn.NORM.INV(RAND(),AVERAGE(ASSUMPTIONS!$C$38,ASSUMPTIONS!$C$39,ASSUMPTIONS!$C$40,ASSUMPTIONS!$C$41,ASSUMPTIONS!$C$42),ASSUMPTIONS!$C$68)</f>
        <v/>
      </c>
      <c r="I397" s="83">
        <f>MAX(_xlfn.NORM.INV(RAND(),DCF!$C$11,ASSUMPTIONS!$C$69),K397+0.005)</f>
        <v/>
      </c>
      <c r="J397" s="83">
        <f>_xlfn.NORM.INV(RAND(),ASSUMPTIONS!$C$19,ASSUMPTIONS!$C$70)</f>
        <v/>
      </c>
      <c r="K397" s="83">
        <f>_xlfn.NORM.INV(RAND(),ASSUMPTIONS!$C$43,ASSUMPTIONS!$C$71)</f>
        <v/>
      </c>
      <c r="L397" s="84">
        <f>(((ASSUMPTIONS!$C$18*J397*(1-ASSUMPTIONS!$C$20)+ASSUMPTIONS!$C$18*ASSUMPTIONS!$C$21-ASSUMPTIONS!$C$18*ASSUMPTIONS!$C$22)*(1+H397)*(1-((1+H397)/(1+I397))^5)/(I397-H397))+((ASSUMPTIONS!$C$18*J397*(1-ASSUMPTIONS!$C$20)+ASSUMPTIONS!$C$18*ASSUMPTIONS!$C$21-ASSUMPTIONS!$C$18*ASSUMPTIONS!$C$22)*(1+H397)^5*(1+K397)/(I397-K397)/(1+I397)^5)-DCF!$C$12)/ASSUMPTIONS!$C$7</f>
        <v/>
      </c>
    </row>
    <row r="398">
      <c r="H398" s="83">
        <f>_xlfn.NORM.INV(RAND(),AVERAGE(ASSUMPTIONS!$C$38,ASSUMPTIONS!$C$39,ASSUMPTIONS!$C$40,ASSUMPTIONS!$C$41,ASSUMPTIONS!$C$42),ASSUMPTIONS!$C$68)</f>
        <v/>
      </c>
      <c r="I398" s="83">
        <f>MAX(_xlfn.NORM.INV(RAND(),DCF!$C$11,ASSUMPTIONS!$C$69),K398+0.005)</f>
        <v/>
      </c>
      <c r="J398" s="83">
        <f>_xlfn.NORM.INV(RAND(),ASSUMPTIONS!$C$19,ASSUMPTIONS!$C$70)</f>
        <v/>
      </c>
      <c r="K398" s="83">
        <f>_xlfn.NORM.INV(RAND(),ASSUMPTIONS!$C$43,ASSUMPTIONS!$C$71)</f>
        <v/>
      </c>
      <c r="L398" s="84">
        <f>(((ASSUMPTIONS!$C$18*J398*(1-ASSUMPTIONS!$C$20)+ASSUMPTIONS!$C$18*ASSUMPTIONS!$C$21-ASSUMPTIONS!$C$18*ASSUMPTIONS!$C$22)*(1+H398)*(1-((1+H398)/(1+I398))^5)/(I398-H398))+((ASSUMPTIONS!$C$18*J398*(1-ASSUMPTIONS!$C$20)+ASSUMPTIONS!$C$18*ASSUMPTIONS!$C$21-ASSUMPTIONS!$C$18*ASSUMPTIONS!$C$22)*(1+H398)^5*(1+K398)/(I398-K398)/(1+I398)^5)-DCF!$C$12)/ASSUMPTIONS!$C$7</f>
        <v/>
      </c>
    </row>
    <row r="399">
      <c r="H399" s="83">
        <f>_xlfn.NORM.INV(RAND(),AVERAGE(ASSUMPTIONS!$C$38,ASSUMPTIONS!$C$39,ASSUMPTIONS!$C$40,ASSUMPTIONS!$C$41,ASSUMPTIONS!$C$42),ASSUMPTIONS!$C$68)</f>
        <v/>
      </c>
      <c r="I399" s="83">
        <f>MAX(_xlfn.NORM.INV(RAND(),DCF!$C$11,ASSUMPTIONS!$C$69),K399+0.005)</f>
        <v/>
      </c>
      <c r="J399" s="83">
        <f>_xlfn.NORM.INV(RAND(),ASSUMPTIONS!$C$19,ASSUMPTIONS!$C$70)</f>
        <v/>
      </c>
      <c r="K399" s="83">
        <f>_xlfn.NORM.INV(RAND(),ASSUMPTIONS!$C$43,ASSUMPTIONS!$C$71)</f>
        <v/>
      </c>
      <c r="L399" s="84">
        <f>(((ASSUMPTIONS!$C$18*J399*(1-ASSUMPTIONS!$C$20)+ASSUMPTIONS!$C$18*ASSUMPTIONS!$C$21-ASSUMPTIONS!$C$18*ASSUMPTIONS!$C$22)*(1+H399)*(1-((1+H399)/(1+I399))^5)/(I399-H399))+((ASSUMPTIONS!$C$18*J399*(1-ASSUMPTIONS!$C$20)+ASSUMPTIONS!$C$18*ASSUMPTIONS!$C$21-ASSUMPTIONS!$C$18*ASSUMPTIONS!$C$22)*(1+H399)^5*(1+K399)/(I399-K399)/(1+I399)^5)-DCF!$C$12)/ASSUMPTIONS!$C$7</f>
        <v/>
      </c>
    </row>
    <row r="400">
      <c r="H400" s="83">
        <f>_xlfn.NORM.INV(RAND(),AVERAGE(ASSUMPTIONS!$C$38,ASSUMPTIONS!$C$39,ASSUMPTIONS!$C$40,ASSUMPTIONS!$C$41,ASSUMPTIONS!$C$42),ASSUMPTIONS!$C$68)</f>
        <v/>
      </c>
      <c r="I400" s="83">
        <f>MAX(_xlfn.NORM.INV(RAND(),DCF!$C$11,ASSUMPTIONS!$C$69),K400+0.005)</f>
        <v/>
      </c>
      <c r="J400" s="83">
        <f>_xlfn.NORM.INV(RAND(),ASSUMPTIONS!$C$19,ASSUMPTIONS!$C$70)</f>
        <v/>
      </c>
      <c r="K400" s="83">
        <f>_xlfn.NORM.INV(RAND(),ASSUMPTIONS!$C$43,ASSUMPTIONS!$C$71)</f>
        <v/>
      </c>
      <c r="L400" s="84">
        <f>(((ASSUMPTIONS!$C$18*J400*(1-ASSUMPTIONS!$C$20)+ASSUMPTIONS!$C$18*ASSUMPTIONS!$C$21-ASSUMPTIONS!$C$18*ASSUMPTIONS!$C$22)*(1+H400)*(1-((1+H400)/(1+I400))^5)/(I400-H400))+((ASSUMPTIONS!$C$18*J400*(1-ASSUMPTIONS!$C$20)+ASSUMPTIONS!$C$18*ASSUMPTIONS!$C$21-ASSUMPTIONS!$C$18*ASSUMPTIONS!$C$22)*(1+H400)^5*(1+K400)/(I400-K400)/(1+I400)^5)-DCF!$C$12)/ASSUMPTIONS!$C$7</f>
        <v/>
      </c>
    </row>
    <row r="401">
      <c r="H401" s="83">
        <f>_xlfn.NORM.INV(RAND(),AVERAGE(ASSUMPTIONS!$C$38,ASSUMPTIONS!$C$39,ASSUMPTIONS!$C$40,ASSUMPTIONS!$C$41,ASSUMPTIONS!$C$42),ASSUMPTIONS!$C$68)</f>
        <v/>
      </c>
      <c r="I401" s="83">
        <f>MAX(_xlfn.NORM.INV(RAND(),DCF!$C$11,ASSUMPTIONS!$C$69),K401+0.005)</f>
        <v/>
      </c>
      <c r="J401" s="83">
        <f>_xlfn.NORM.INV(RAND(),ASSUMPTIONS!$C$19,ASSUMPTIONS!$C$70)</f>
        <v/>
      </c>
      <c r="K401" s="83">
        <f>_xlfn.NORM.INV(RAND(),ASSUMPTIONS!$C$43,ASSUMPTIONS!$C$71)</f>
        <v/>
      </c>
      <c r="L401" s="84">
        <f>(((ASSUMPTIONS!$C$18*J401*(1-ASSUMPTIONS!$C$20)+ASSUMPTIONS!$C$18*ASSUMPTIONS!$C$21-ASSUMPTIONS!$C$18*ASSUMPTIONS!$C$22)*(1+H401)*(1-((1+H401)/(1+I401))^5)/(I401-H401))+((ASSUMPTIONS!$C$18*J401*(1-ASSUMPTIONS!$C$20)+ASSUMPTIONS!$C$18*ASSUMPTIONS!$C$21-ASSUMPTIONS!$C$18*ASSUMPTIONS!$C$22)*(1+H401)^5*(1+K401)/(I401-K401)/(1+I401)^5)-DCF!$C$12)/ASSUMPTIONS!$C$7</f>
        <v/>
      </c>
    </row>
    <row r="402">
      <c r="H402" s="83">
        <f>_xlfn.NORM.INV(RAND(),AVERAGE(ASSUMPTIONS!$C$38,ASSUMPTIONS!$C$39,ASSUMPTIONS!$C$40,ASSUMPTIONS!$C$41,ASSUMPTIONS!$C$42),ASSUMPTIONS!$C$68)</f>
        <v/>
      </c>
      <c r="I402" s="83">
        <f>MAX(_xlfn.NORM.INV(RAND(),DCF!$C$11,ASSUMPTIONS!$C$69),K402+0.005)</f>
        <v/>
      </c>
      <c r="J402" s="83">
        <f>_xlfn.NORM.INV(RAND(),ASSUMPTIONS!$C$19,ASSUMPTIONS!$C$70)</f>
        <v/>
      </c>
      <c r="K402" s="83">
        <f>_xlfn.NORM.INV(RAND(),ASSUMPTIONS!$C$43,ASSUMPTIONS!$C$71)</f>
        <v/>
      </c>
      <c r="L402" s="84">
        <f>(((ASSUMPTIONS!$C$18*J402*(1-ASSUMPTIONS!$C$20)+ASSUMPTIONS!$C$18*ASSUMPTIONS!$C$21-ASSUMPTIONS!$C$18*ASSUMPTIONS!$C$22)*(1+H402)*(1-((1+H402)/(1+I402))^5)/(I402-H402))+((ASSUMPTIONS!$C$18*J402*(1-ASSUMPTIONS!$C$20)+ASSUMPTIONS!$C$18*ASSUMPTIONS!$C$21-ASSUMPTIONS!$C$18*ASSUMPTIONS!$C$22)*(1+H402)^5*(1+K402)/(I402-K402)/(1+I402)^5)-DCF!$C$12)/ASSUMPTIONS!$C$7</f>
        <v/>
      </c>
    </row>
    <row r="403">
      <c r="H403" s="83">
        <f>_xlfn.NORM.INV(RAND(),AVERAGE(ASSUMPTIONS!$C$38,ASSUMPTIONS!$C$39,ASSUMPTIONS!$C$40,ASSUMPTIONS!$C$41,ASSUMPTIONS!$C$42),ASSUMPTIONS!$C$68)</f>
        <v/>
      </c>
      <c r="I403" s="83">
        <f>MAX(_xlfn.NORM.INV(RAND(),DCF!$C$11,ASSUMPTIONS!$C$69),K403+0.005)</f>
        <v/>
      </c>
      <c r="J403" s="83">
        <f>_xlfn.NORM.INV(RAND(),ASSUMPTIONS!$C$19,ASSUMPTIONS!$C$70)</f>
        <v/>
      </c>
      <c r="K403" s="83">
        <f>_xlfn.NORM.INV(RAND(),ASSUMPTIONS!$C$43,ASSUMPTIONS!$C$71)</f>
        <v/>
      </c>
      <c r="L403" s="84">
        <f>(((ASSUMPTIONS!$C$18*J403*(1-ASSUMPTIONS!$C$20)+ASSUMPTIONS!$C$18*ASSUMPTIONS!$C$21-ASSUMPTIONS!$C$18*ASSUMPTIONS!$C$22)*(1+H403)*(1-((1+H403)/(1+I403))^5)/(I403-H403))+((ASSUMPTIONS!$C$18*J403*(1-ASSUMPTIONS!$C$20)+ASSUMPTIONS!$C$18*ASSUMPTIONS!$C$21-ASSUMPTIONS!$C$18*ASSUMPTIONS!$C$22)*(1+H403)^5*(1+K403)/(I403-K403)/(1+I403)^5)-DCF!$C$12)/ASSUMPTIONS!$C$7</f>
        <v/>
      </c>
    </row>
    <row r="404">
      <c r="H404" s="83">
        <f>_xlfn.NORM.INV(RAND(),AVERAGE(ASSUMPTIONS!$C$38,ASSUMPTIONS!$C$39,ASSUMPTIONS!$C$40,ASSUMPTIONS!$C$41,ASSUMPTIONS!$C$42),ASSUMPTIONS!$C$68)</f>
        <v/>
      </c>
      <c r="I404" s="83">
        <f>MAX(_xlfn.NORM.INV(RAND(),DCF!$C$11,ASSUMPTIONS!$C$69),K404+0.005)</f>
        <v/>
      </c>
      <c r="J404" s="83">
        <f>_xlfn.NORM.INV(RAND(),ASSUMPTIONS!$C$19,ASSUMPTIONS!$C$70)</f>
        <v/>
      </c>
      <c r="K404" s="83">
        <f>_xlfn.NORM.INV(RAND(),ASSUMPTIONS!$C$43,ASSUMPTIONS!$C$71)</f>
        <v/>
      </c>
      <c r="L404" s="84">
        <f>(((ASSUMPTIONS!$C$18*J404*(1-ASSUMPTIONS!$C$20)+ASSUMPTIONS!$C$18*ASSUMPTIONS!$C$21-ASSUMPTIONS!$C$18*ASSUMPTIONS!$C$22)*(1+H404)*(1-((1+H404)/(1+I404))^5)/(I404-H404))+((ASSUMPTIONS!$C$18*J404*(1-ASSUMPTIONS!$C$20)+ASSUMPTIONS!$C$18*ASSUMPTIONS!$C$21-ASSUMPTIONS!$C$18*ASSUMPTIONS!$C$22)*(1+H404)^5*(1+K404)/(I404-K404)/(1+I404)^5)-DCF!$C$12)/ASSUMPTIONS!$C$7</f>
        <v/>
      </c>
    </row>
    <row r="405">
      <c r="H405" s="83">
        <f>_xlfn.NORM.INV(RAND(),AVERAGE(ASSUMPTIONS!$C$38,ASSUMPTIONS!$C$39,ASSUMPTIONS!$C$40,ASSUMPTIONS!$C$41,ASSUMPTIONS!$C$42),ASSUMPTIONS!$C$68)</f>
        <v/>
      </c>
      <c r="I405" s="83">
        <f>MAX(_xlfn.NORM.INV(RAND(),DCF!$C$11,ASSUMPTIONS!$C$69),K405+0.005)</f>
        <v/>
      </c>
      <c r="J405" s="83">
        <f>_xlfn.NORM.INV(RAND(),ASSUMPTIONS!$C$19,ASSUMPTIONS!$C$70)</f>
        <v/>
      </c>
      <c r="K405" s="83">
        <f>_xlfn.NORM.INV(RAND(),ASSUMPTIONS!$C$43,ASSUMPTIONS!$C$71)</f>
        <v/>
      </c>
      <c r="L405" s="84">
        <f>(((ASSUMPTIONS!$C$18*J405*(1-ASSUMPTIONS!$C$20)+ASSUMPTIONS!$C$18*ASSUMPTIONS!$C$21-ASSUMPTIONS!$C$18*ASSUMPTIONS!$C$22)*(1+H405)*(1-((1+H405)/(1+I405))^5)/(I405-H405))+((ASSUMPTIONS!$C$18*J405*(1-ASSUMPTIONS!$C$20)+ASSUMPTIONS!$C$18*ASSUMPTIONS!$C$21-ASSUMPTIONS!$C$18*ASSUMPTIONS!$C$22)*(1+H405)^5*(1+K405)/(I405-K405)/(1+I405)^5)-DCF!$C$12)/ASSUMPTIONS!$C$7</f>
        <v/>
      </c>
    </row>
    <row r="406">
      <c r="H406" s="83">
        <f>_xlfn.NORM.INV(RAND(),AVERAGE(ASSUMPTIONS!$C$38,ASSUMPTIONS!$C$39,ASSUMPTIONS!$C$40,ASSUMPTIONS!$C$41,ASSUMPTIONS!$C$42),ASSUMPTIONS!$C$68)</f>
        <v/>
      </c>
      <c r="I406" s="83">
        <f>MAX(_xlfn.NORM.INV(RAND(),DCF!$C$11,ASSUMPTIONS!$C$69),K406+0.005)</f>
        <v/>
      </c>
      <c r="J406" s="83">
        <f>_xlfn.NORM.INV(RAND(),ASSUMPTIONS!$C$19,ASSUMPTIONS!$C$70)</f>
        <v/>
      </c>
      <c r="K406" s="83">
        <f>_xlfn.NORM.INV(RAND(),ASSUMPTIONS!$C$43,ASSUMPTIONS!$C$71)</f>
        <v/>
      </c>
      <c r="L406" s="84">
        <f>(((ASSUMPTIONS!$C$18*J406*(1-ASSUMPTIONS!$C$20)+ASSUMPTIONS!$C$18*ASSUMPTIONS!$C$21-ASSUMPTIONS!$C$18*ASSUMPTIONS!$C$22)*(1+H406)*(1-((1+H406)/(1+I406))^5)/(I406-H406))+((ASSUMPTIONS!$C$18*J406*(1-ASSUMPTIONS!$C$20)+ASSUMPTIONS!$C$18*ASSUMPTIONS!$C$21-ASSUMPTIONS!$C$18*ASSUMPTIONS!$C$22)*(1+H406)^5*(1+K406)/(I406-K406)/(1+I406)^5)-DCF!$C$12)/ASSUMPTIONS!$C$7</f>
        <v/>
      </c>
    </row>
    <row r="407">
      <c r="H407" s="83">
        <f>_xlfn.NORM.INV(RAND(),AVERAGE(ASSUMPTIONS!$C$38,ASSUMPTIONS!$C$39,ASSUMPTIONS!$C$40,ASSUMPTIONS!$C$41,ASSUMPTIONS!$C$42),ASSUMPTIONS!$C$68)</f>
        <v/>
      </c>
      <c r="I407" s="83">
        <f>MAX(_xlfn.NORM.INV(RAND(),DCF!$C$11,ASSUMPTIONS!$C$69),K407+0.005)</f>
        <v/>
      </c>
      <c r="J407" s="83">
        <f>_xlfn.NORM.INV(RAND(),ASSUMPTIONS!$C$19,ASSUMPTIONS!$C$70)</f>
        <v/>
      </c>
      <c r="K407" s="83">
        <f>_xlfn.NORM.INV(RAND(),ASSUMPTIONS!$C$43,ASSUMPTIONS!$C$71)</f>
        <v/>
      </c>
      <c r="L407" s="84">
        <f>(((ASSUMPTIONS!$C$18*J407*(1-ASSUMPTIONS!$C$20)+ASSUMPTIONS!$C$18*ASSUMPTIONS!$C$21-ASSUMPTIONS!$C$18*ASSUMPTIONS!$C$22)*(1+H407)*(1-((1+H407)/(1+I407))^5)/(I407-H407))+((ASSUMPTIONS!$C$18*J407*(1-ASSUMPTIONS!$C$20)+ASSUMPTIONS!$C$18*ASSUMPTIONS!$C$21-ASSUMPTIONS!$C$18*ASSUMPTIONS!$C$22)*(1+H407)^5*(1+K407)/(I407-K407)/(1+I407)^5)-DCF!$C$12)/ASSUMPTIONS!$C$7</f>
        <v/>
      </c>
    </row>
    <row r="408">
      <c r="H408" s="83">
        <f>_xlfn.NORM.INV(RAND(),AVERAGE(ASSUMPTIONS!$C$38,ASSUMPTIONS!$C$39,ASSUMPTIONS!$C$40,ASSUMPTIONS!$C$41,ASSUMPTIONS!$C$42),ASSUMPTIONS!$C$68)</f>
        <v/>
      </c>
      <c r="I408" s="83">
        <f>MAX(_xlfn.NORM.INV(RAND(),DCF!$C$11,ASSUMPTIONS!$C$69),K408+0.005)</f>
        <v/>
      </c>
      <c r="J408" s="83">
        <f>_xlfn.NORM.INV(RAND(),ASSUMPTIONS!$C$19,ASSUMPTIONS!$C$70)</f>
        <v/>
      </c>
      <c r="K408" s="83">
        <f>_xlfn.NORM.INV(RAND(),ASSUMPTIONS!$C$43,ASSUMPTIONS!$C$71)</f>
        <v/>
      </c>
      <c r="L408" s="84">
        <f>(((ASSUMPTIONS!$C$18*J408*(1-ASSUMPTIONS!$C$20)+ASSUMPTIONS!$C$18*ASSUMPTIONS!$C$21-ASSUMPTIONS!$C$18*ASSUMPTIONS!$C$22)*(1+H408)*(1-((1+H408)/(1+I408))^5)/(I408-H408))+((ASSUMPTIONS!$C$18*J408*(1-ASSUMPTIONS!$C$20)+ASSUMPTIONS!$C$18*ASSUMPTIONS!$C$21-ASSUMPTIONS!$C$18*ASSUMPTIONS!$C$22)*(1+H408)^5*(1+K408)/(I408-K408)/(1+I408)^5)-DCF!$C$12)/ASSUMPTIONS!$C$7</f>
        <v/>
      </c>
    </row>
    <row r="409">
      <c r="H409" s="83">
        <f>_xlfn.NORM.INV(RAND(),AVERAGE(ASSUMPTIONS!$C$38,ASSUMPTIONS!$C$39,ASSUMPTIONS!$C$40,ASSUMPTIONS!$C$41,ASSUMPTIONS!$C$42),ASSUMPTIONS!$C$68)</f>
        <v/>
      </c>
      <c r="I409" s="83">
        <f>MAX(_xlfn.NORM.INV(RAND(),DCF!$C$11,ASSUMPTIONS!$C$69),K409+0.005)</f>
        <v/>
      </c>
      <c r="J409" s="83">
        <f>_xlfn.NORM.INV(RAND(),ASSUMPTIONS!$C$19,ASSUMPTIONS!$C$70)</f>
        <v/>
      </c>
      <c r="K409" s="83">
        <f>_xlfn.NORM.INV(RAND(),ASSUMPTIONS!$C$43,ASSUMPTIONS!$C$71)</f>
        <v/>
      </c>
      <c r="L409" s="84">
        <f>(((ASSUMPTIONS!$C$18*J409*(1-ASSUMPTIONS!$C$20)+ASSUMPTIONS!$C$18*ASSUMPTIONS!$C$21-ASSUMPTIONS!$C$18*ASSUMPTIONS!$C$22)*(1+H409)*(1-((1+H409)/(1+I409))^5)/(I409-H409))+((ASSUMPTIONS!$C$18*J409*(1-ASSUMPTIONS!$C$20)+ASSUMPTIONS!$C$18*ASSUMPTIONS!$C$21-ASSUMPTIONS!$C$18*ASSUMPTIONS!$C$22)*(1+H409)^5*(1+K409)/(I409-K409)/(1+I409)^5)-DCF!$C$12)/ASSUMPTIONS!$C$7</f>
        <v/>
      </c>
    </row>
    <row r="410">
      <c r="H410" s="83">
        <f>_xlfn.NORM.INV(RAND(),AVERAGE(ASSUMPTIONS!$C$38,ASSUMPTIONS!$C$39,ASSUMPTIONS!$C$40,ASSUMPTIONS!$C$41,ASSUMPTIONS!$C$42),ASSUMPTIONS!$C$68)</f>
        <v/>
      </c>
      <c r="I410" s="83">
        <f>MAX(_xlfn.NORM.INV(RAND(),DCF!$C$11,ASSUMPTIONS!$C$69),K410+0.005)</f>
        <v/>
      </c>
      <c r="J410" s="83">
        <f>_xlfn.NORM.INV(RAND(),ASSUMPTIONS!$C$19,ASSUMPTIONS!$C$70)</f>
        <v/>
      </c>
      <c r="K410" s="83">
        <f>_xlfn.NORM.INV(RAND(),ASSUMPTIONS!$C$43,ASSUMPTIONS!$C$71)</f>
        <v/>
      </c>
      <c r="L410" s="84">
        <f>(((ASSUMPTIONS!$C$18*J410*(1-ASSUMPTIONS!$C$20)+ASSUMPTIONS!$C$18*ASSUMPTIONS!$C$21-ASSUMPTIONS!$C$18*ASSUMPTIONS!$C$22)*(1+H410)*(1-((1+H410)/(1+I410))^5)/(I410-H410))+((ASSUMPTIONS!$C$18*J410*(1-ASSUMPTIONS!$C$20)+ASSUMPTIONS!$C$18*ASSUMPTIONS!$C$21-ASSUMPTIONS!$C$18*ASSUMPTIONS!$C$22)*(1+H410)^5*(1+K410)/(I410-K410)/(1+I410)^5)-DCF!$C$12)/ASSUMPTIONS!$C$7</f>
        <v/>
      </c>
    </row>
    <row r="411">
      <c r="H411" s="83">
        <f>_xlfn.NORM.INV(RAND(),AVERAGE(ASSUMPTIONS!$C$38,ASSUMPTIONS!$C$39,ASSUMPTIONS!$C$40,ASSUMPTIONS!$C$41,ASSUMPTIONS!$C$42),ASSUMPTIONS!$C$68)</f>
        <v/>
      </c>
      <c r="I411" s="83">
        <f>MAX(_xlfn.NORM.INV(RAND(),DCF!$C$11,ASSUMPTIONS!$C$69),K411+0.005)</f>
        <v/>
      </c>
      <c r="J411" s="83">
        <f>_xlfn.NORM.INV(RAND(),ASSUMPTIONS!$C$19,ASSUMPTIONS!$C$70)</f>
        <v/>
      </c>
      <c r="K411" s="83">
        <f>_xlfn.NORM.INV(RAND(),ASSUMPTIONS!$C$43,ASSUMPTIONS!$C$71)</f>
        <v/>
      </c>
      <c r="L411" s="84">
        <f>(((ASSUMPTIONS!$C$18*J411*(1-ASSUMPTIONS!$C$20)+ASSUMPTIONS!$C$18*ASSUMPTIONS!$C$21-ASSUMPTIONS!$C$18*ASSUMPTIONS!$C$22)*(1+H411)*(1-((1+H411)/(1+I411))^5)/(I411-H411))+((ASSUMPTIONS!$C$18*J411*(1-ASSUMPTIONS!$C$20)+ASSUMPTIONS!$C$18*ASSUMPTIONS!$C$21-ASSUMPTIONS!$C$18*ASSUMPTIONS!$C$22)*(1+H411)^5*(1+K411)/(I411-K411)/(1+I411)^5)-DCF!$C$12)/ASSUMPTIONS!$C$7</f>
        <v/>
      </c>
    </row>
    <row r="412">
      <c r="H412" s="83">
        <f>_xlfn.NORM.INV(RAND(),AVERAGE(ASSUMPTIONS!$C$38,ASSUMPTIONS!$C$39,ASSUMPTIONS!$C$40,ASSUMPTIONS!$C$41,ASSUMPTIONS!$C$42),ASSUMPTIONS!$C$68)</f>
        <v/>
      </c>
      <c r="I412" s="83">
        <f>MAX(_xlfn.NORM.INV(RAND(),DCF!$C$11,ASSUMPTIONS!$C$69),K412+0.005)</f>
        <v/>
      </c>
      <c r="J412" s="83">
        <f>_xlfn.NORM.INV(RAND(),ASSUMPTIONS!$C$19,ASSUMPTIONS!$C$70)</f>
        <v/>
      </c>
      <c r="K412" s="83">
        <f>_xlfn.NORM.INV(RAND(),ASSUMPTIONS!$C$43,ASSUMPTIONS!$C$71)</f>
        <v/>
      </c>
      <c r="L412" s="84">
        <f>(((ASSUMPTIONS!$C$18*J412*(1-ASSUMPTIONS!$C$20)+ASSUMPTIONS!$C$18*ASSUMPTIONS!$C$21-ASSUMPTIONS!$C$18*ASSUMPTIONS!$C$22)*(1+H412)*(1-((1+H412)/(1+I412))^5)/(I412-H412))+((ASSUMPTIONS!$C$18*J412*(1-ASSUMPTIONS!$C$20)+ASSUMPTIONS!$C$18*ASSUMPTIONS!$C$21-ASSUMPTIONS!$C$18*ASSUMPTIONS!$C$22)*(1+H412)^5*(1+K412)/(I412-K412)/(1+I412)^5)-DCF!$C$12)/ASSUMPTIONS!$C$7</f>
        <v/>
      </c>
    </row>
    <row r="413">
      <c r="H413" s="83">
        <f>_xlfn.NORM.INV(RAND(),AVERAGE(ASSUMPTIONS!$C$38,ASSUMPTIONS!$C$39,ASSUMPTIONS!$C$40,ASSUMPTIONS!$C$41,ASSUMPTIONS!$C$42),ASSUMPTIONS!$C$68)</f>
        <v/>
      </c>
      <c r="I413" s="83">
        <f>MAX(_xlfn.NORM.INV(RAND(),DCF!$C$11,ASSUMPTIONS!$C$69),K413+0.005)</f>
        <v/>
      </c>
      <c r="J413" s="83">
        <f>_xlfn.NORM.INV(RAND(),ASSUMPTIONS!$C$19,ASSUMPTIONS!$C$70)</f>
        <v/>
      </c>
      <c r="K413" s="83">
        <f>_xlfn.NORM.INV(RAND(),ASSUMPTIONS!$C$43,ASSUMPTIONS!$C$71)</f>
        <v/>
      </c>
      <c r="L413" s="84">
        <f>(((ASSUMPTIONS!$C$18*J413*(1-ASSUMPTIONS!$C$20)+ASSUMPTIONS!$C$18*ASSUMPTIONS!$C$21-ASSUMPTIONS!$C$18*ASSUMPTIONS!$C$22)*(1+H413)*(1-((1+H413)/(1+I413))^5)/(I413-H413))+((ASSUMPTIONS!$C$18*J413*(1-ASSUMPTIONS!$C$20)+ASSUMPTIONS!$C$18*ASSUMPTIONS!$C$21-ASSUMPTIONS!$C$18*ASSUMPTIONS!$C$22)*(1+H413)^5*(1+K413)/(I413-K413)/(1+I413)^5)-DCF!$C$12)/ASSUMPTIONS!$C$7</f>
        <v/>
      </c>
    </row>
    <row r="414">
      <c r="H414" s="83">
        <f>_xlfn.NORM.INV(RAND(),AVERAGE(ASSUMPTIONS!$C$38,ASSUMPTIONS!$C$39,ASSUMPTIONS!$C$40,ASSUMPTIONS!$C$41,ASSUMPTIONS!$C$42),ASSUMPTIONS!$C$68)</f>
        <v/>
      </c>
      <c r="I414" s="83">
        <f>MAX(_xlfn.NORM.INV(RAND(),DCF!$C$11,ASSUMPTIONS!$C$69),K414+0.005)</f>
        <v/>
      </c>
      <c r="J414" s="83">
        <f>_xlfn.NORM.INV(RAND(),ASSUMPTIONS!$C$19,ASSUMPTIONS!$C$70)</f>
        <v/>
      </c>
      <c r="K414" s="83">
        <f>_xlfn.NORM.INV(RAND(),ASSUMPTIONS!$C$43,ASSUMPTIONS!$C$71)</f>
        <v/>
      </c>
      <c r="L414" s="84">
        <f>(((ASSUMPTIONS!$C$18*J414*(1-ASSUMPTIONS!$C$20)+ASSUMPTIONS!$C$18*ASSUMPTIONS!$C$21-ASSUMPTIONS!$C$18*ASSUMPTIONS!$C$22)*(1+H414)*(1-((1+H414)/(1+I414))^5)/(I414-H414))+((ASSUMPTIONS!$C$18*J414*(1-ASSUMPTIONS!$C$20)+ASSUMPTIONS!$C$18*ASSUMPTIONS!$C$21-ASSUMPTIONS!$C$18*ASSUMPTIONS!$C$22)*(1+H414)^5*(1+K414)/(I414-K414)/(1+I414)^5)-DCF!$C$12)/ASSUMPTIONS!$C$7</f>
        <v/>
      </c>
    </row>
    <row r="415">
      <c r="H415" s="83">
        <f>_xlfn.NORM.INV(RAND(),AVERAGE(ASSUMPTIONS!$C$38,ASSUMPTIONS!$C$39,ASSUMPTIONS!$C$40,ASSUMPTIONS!$C$41,ASSUMPTIONS!$C$42),ASSUMPTIONS!$C$68)</f>
        <v/>
      </c>
      <c r="I415" s="83">
        <f>MAX(_xlfn.NORM.INV(RAND(),DCF!$C$11,ASSUMPTIONS!$C$69),K415+0.005)</f>
        <v/>
      </c>
      <c r="J415" s="83">
        <f>_xlfn.NORM.INV(RAND(),ASSUMPTIONS!$C$19,ASSUMPTIONS!$C$70)</f>
        <v/>
      </c>
      <c r="K415" s="83">
        <f>_xlfn.NORM.INV(RAND(),ASSUMPTIONS!$C$43,ASSUMPTIONS!$C$71)</f>
        <v/>
      </c>
      <c r="L415" s="84">
        <f>(((ASSUMPTIONS!$C$18*J415*(1-ASSUMPTIONS!$C$20)+ASSUMPTIONS!$C$18*ASSUMPTIONS!$C$21-ASSUMPTIONS!$C$18*ASSUMPTIONS!$C$22)*(1+H415)*(1-((1+H415)/(1+I415))^5)/(I415-H415))+((ASSUMPTIONS!$C$18*J415*(1-ASSUMPTIONS!$C$20)+ASSUMPTIONS!$C$18*ASSUMPTIONS!$C$21-ASSUMPTIONS!$C$18*ASSUMPTIONS!$C$22)*(1+H415)^5*(1+K415)/(I415-K415)/(1+I415)^5)-DCF!$C$12)/ASSUMPTIONS!$C$7</f>
        <v/>
      </c>
    </row>
    <row r="416">
      <c r="H416" s="83">
        <f>_xlfn.NORM.INV(RAND(),AVERAGE(ASSUMPTIONS!$C$38,ASSUMPTIONS!$C$39,ASSUMPTIONS!$C$40,ASSUMPTIONS!$C$41,ASSUMPTIONS!$C$42),ASSUMPTIONS!$C$68)</f>
        <v/>
      </c>
      <c r="I416" s="83">
        <f>MAX(_xlfn.NORM.INV(RAND(),DCF!$C$11,ASSUMPTIONS!$C$69),K416+0.005)</f>
        <v/>
      </c>
      <c r="J416" s="83">
        <f>_xlfn.NORM.INV(RAND(),ASSUMPTIONS!$C$19,ASSUMPTIONS!$C$70)</f>
        <v/>
      </c>
      <c r="K416" s="83">
        <f>_xlfn.NORM.INV(RAND(),ASSUMPTIONS!$C$43,ASSUMPTIONS!$C$71)</f>
        <v/>
      </c>
      <c r="L416" s="84">
        <f>(((ASSUMPTIONS!$C$18*J416*(1-ASSUMPTIONS!$C$20)+ASSUMPTIONS!$C$18*ASSUMPTIONS!$C$21-ASSUMPTIONS!$C$18*ASSUMPTIONS!$C$22)*(1+H416)*(1-((1+H416)/(1+I416))^5)/(I416-H416))+((ASSUMPTIONS!$C$18*J416*(1-ASSUMPTIONS!$C$20)+ASSUMPTIONS!$C$18*ASSUMPTIONS!$C$21-ASSUMPTIONS!$C$18*ASSUMPTIONS!$C$22)*(1+H416)^5*(1+K416)/(I416-K416)/(1+I416)^5)-DCF!$C$12)/ASSUMPTIONS!$C$7</f>
        <v/>
      </c>
    </row>
    <row r="417">
      <c r="H417" s="83">
        <f>_xlfn.NORM.INV(RAND(),AVERAGE(ASSUMPTIONS!$C$38,ASSUMPTIONS!$C$39,ASSUMPTIONS!$C$40,ASSUMPTIONS!$C$41,ASSUMPTIONS!$C$42),ASSUMPTIONS!$C$68)</f>
        <v/>
      </c>
      <c r="I417" s="83">
        <f>MAX(_xlfn.NORM.INV(RAND(),DCF!$C$11,ASSUMPTIONS!$C$69),K417+0.005)</f>
        <v/>
      </c>
      <c r="J417" s="83">
        <f>_xlfn.NORM.INV(RAND(),ASSUMPTIONS!$C$19,ASSUMPTIONS!$C$70)</f>
        <v/>
      </c>
      <c r="K417" s="83">
        <f>_xlfn.NORM.INV(RAND(),ASSUMPTIONS!$C$43,ASSUMPTIONS!$C$71)</f>
        <v/>
      </c>
      <c r="L417" s="84">
        <f>(((ASSUMPTIONS!$C$18*J417*(1-ASSUMPTIONS!$C$20)+ASSUMPTIONS!$C$18*ASSUMPTIONS!$C$21-ASSUMPTIONS!$C$18*ASSUMPTIONS!$C$22)*(1+H417)*(1-((1+H417)/(1+I417))^5)/(I417-H417))+((ASSUMPTIONS!$C$18*J417*(1-ASSUMPTIONS!$C$20)+ASSUMPTIONS!$C$18*ASSUMPTIONS!$C$21-ASSUMPTIONS!$C$18*ASSUMPTIONS!$C$22)*(1+H417)^5*(1+K417)/(I417-K417)/(1+I417)^5)-DCF!$C$12)/ASSUMPTIONS!$C$7</f>
        <v/>
      </c>
    </row>
    <row r="418">
      <c r="H418" s="83">
        <f>_xlfn.NORM.INV(RAND(),AVERAGE(ASSUMPTIONS!$C$38,ASSUMPTIONS!$C$39,ASSUMPTIONS!$C$40,ASSUMPTIONS!$C$41,ASSUMPTIONS!$C$42),ASSUMPTIONS!$C$68)</f>
        <v/>
      </c>
      <c r="I418" s="83">
        <f>MAX(_xlfn.NORM.INV(RAND(),DCF!$C$11,ASSUMPTIONS!$C$69),K418+0.005)</f>
        <v/>
      </c>
      <c r="J418" s="83">
        <f>_xlfn.NORM.INV(RAND(),ASSUMPTIONS!$C$19,ASSUMPTIONS!$C$70)</f>
        <v/>
      </c>
      <c r="K418" s="83">
        <f>_xlfn.NORM.INV(RAND(),ASSUMPTIONS!$C$43,ASSUMPTIONS!$C$71)</f>
        <v/>
      </c>
      <c r="L418" s="84">
        <f>(((ASSUMPTIONS!$C$18*J418*(1-ASSUMPTIONS!$C$20)+ASSUMPTIONS!$C$18*ASSUMPTIONS!$C$21-ASSUMPTIONS!$C$18*ASSUMPTIONS!$C$22)*(1+H418)*(1-((1+H418)/(1+I418))^5)/(I418-H418))+((ASSUMPTIONS!$C$18*J418*(1-ASSUMPTIONS!$C$20)+ASSUMPTIONS!$C$18*ASSUMPTIONS!$C$21-ASSUMPTIONS!$C$18*ASSUMPTIONS!$C$22)*(1+H418)^5*(1+K418)/(I418-K418)/(1+I418)^5)-DCF!$C$12)/ASSUMPTIONS!$C$7</f>
        <v/>
      </c>
    </row>
    <row r="419">
      <c r="H419" s="83">
        <f>_xlfn.NORM.INV(RAND(),AVERAGE(ASSUMPTIONS!$C$38,ASSUMPTIONS!$C$39,ASSUMPTIONS!$C$40,ASSUMPTIONS!$C$41,ASSUMPTIONS!$C$42),ASSUMPTIONS!$C$68)</f>
        <v/>
      </c>
      <c r="I419" s="83">
        <f>MAX(_xlfn.NORM.INV(RAND(),DCF!$C$11,ASSUMPTIONS!$C$69),K419+0.005)</f>
        <v/>
      </c>
      <c r="J419" s="83">
        <f>_xlfn.NORM.INV(RAND(),ASSUMPTIONS!$C$19,ASSUMPTIONS!$C$70)</f>
        <v/>
      </c>
      <c r="K419" s="83">
        <f>_xlfn.NORM.INV(RAND(),ASSUMPTIONS!$C$43,ASSUMPTIONS!$C$71)</f>
        <v/>
      </c>
      <c r="L419" s="84">
        <f>(((ASSUMPTIONS!$C$18*J419*(1-ASSUMPTIONS!$C$20)+ASSUMPTIONS!$C$18*ASSUMPTIONS!$C$21-ASSUMPTIONS!$C$18*ASSUMPTIONS!$C$22)*(1+H419)*(1-((1+H419)/(1+I419))^5)/(I419-H419))+((ASSUMPTIONS!$C$18*J419*(1-ASSUMPTIONS!$C$20)+ASSUMPTIONS!$C$18*ASSUMPTIONS!$C$21-ASSUMPTIONS!$C$18*ASSUMPTIONS!$C$22)*(1+H419)^5*(1+K419)/(I419-K419)/(1+I419)^5)-DCF!$C$12)/ASSUMPTIONS!$C$7</f>
        <v/>
      </c>
    </row>
    <row r="420">
      <c r="H420" s="83">
        <f>_xlfn.NORM.INV(RAND(),AVERAGE(ASSUMPTIONS!$C$38,ASSUMPTIONS!$C$39,ASSUMPTIONS!$C$40,ASSUMPTIONS!$C$41,ASSUMPTIONS!$C$42),ASSUMPTIONS!$C$68)</f>
        <v/>
      </c>
      <c r="I420" s="83">
        <f>MAX(_xlfn.NORM.INV(RAND(),DCF!$C$11,ASSUMPTIONS!$C$69),K420+0.005)</f>
        <v/>
      </c>
      <c r="J420" s="83">
        <f>_xlfn.NORM.INV(RAND(),ASSUMPTIONS!$C$19,ASSUMPTIONS!$C$70)</f>
        <v/>
      </c>
      <c r="K420" s="83">
        <f>_xlfn.NORM.INV(RAND(),ASSUMPTIONS!$C$43,ASSUMPTIONS!$C$71)</f>
        <v/>
      </c>
      <c r="L420" s="84">
        <f>(((ASSUMPTIONS!$C$18*J420*(1-ASSUMPTIONS!$C$20)+ASSUMPTIONS!$C$18*ASSUMPTIONS!$C$21-ASSUMPTIONS!$C$18*ASSUMPTIONS!$C$22)*(1+H420)*(1-((1+H420)/(1+I420))^5)/(I420-H420))+((ASSUMPTIONS!$C$18*J420*(1-ASSUMPTIONS!$C$20)+ASSUMPTIONS!$C$18*ASSUMPTIONS!$C$21-ASSUMPTIONS!$C$18*ASSUMPTIONS!$C$22)*(1+H420)^5*(1+K420)/(I420-K420)/(1+I420)^5)-DCF!$C$12)/ASSUMPTIONS!$C$7</f>
        <v/>
      </c>
    </row>
    <row r="421">
      <c r="H421" s="83">
        <f>_xlfn.NORM.INV(RAND(),AVERAGE(ASSUMPTIONS!$C$38,ASSUMPTIONS!$C$39,ASSUMPTIONS!$C$40,ASSUMPTIONS!$C$41,ASSUMPTIONS!$C$42),ASSUMPTIONS!$C$68)</f>
        <v/>
      </c>
      <c r="I421" s="83">
        <f>MAX(_xlfn.NORM.INV(RAND(),DCF!$C$11,ASSUMPTIONS!$C$69),K421+0.005)</f>
        <v/>
      </c>
      <c r="J421" s="83">
        <f>_xlfn.NORM.INV(RAND(),ASSUMPTIONS!$C$19,ASSUMPTIONS!$C$70)</f>
        <v/>
      </c>
      <c r="K421" s="83">
        <f>_xlfn.NORM.INV(RAND(),ASSUMPTIONS!$C$43,ASSUMPTIONS!$C$71)</f>
        <v/>
      </c>
      <c r="L421" s="84">
        <f>(((ASSUMPTIONS!$C$18*J421*(1-ASSUMPTIONS!$C$20)+ASSUMPTIONS!$C$18*ASSUMPTIONS!$C$21-ASSUMPTIONS!$C$18*ASSUMPTIONS!$C$22)*(1+H421)*(1-((1+H421)/(1+I421))^5)/(I421-H421))+((ASSUMPTIONS!$C$18*J421*(1-ASSUMPTIONS!$C$20)+ASSUMPTIONS!$C$18*ASSUMPTIONS!$C$21-ASSUMPTIONS!$C$18*ASSUMPTIONS!$C$22)*(1+H421)^5*(1+K421)/(I421-K421)/(1+I421)^5)-DCF!$C$12)/ASSUMPTIONS!$C$7</f>
        <v/>
      </c>
    </row>
    <row r="422">
      <c r="H422" s="83">
        <f>_xlfn.NORM.INV(RAND(),AVERAGE(ASSUMPTIONS!$C$38,ASSUMPTIONS!$C$39,ASSUMPTIONS!$C$40,ASSUMPTIONS!$C$41,ASSUMPTIONS!$C$42),ASSUMPTIONS!$C$68)</f>
        <v/>
      </c>
      <c r="I422" s="83">
        <f>MAX(_xlfn.NORM.INV(RAND(),DCF!$C$11,ASSUMPTIONS!$C$69),K422+0.005)</f>
        <v/>
      </c>
      <c r="J422" s="83">
        <f>_xlfn.NORM.INV(RAND(),ASSUMPTIONS!$C$19,ASSUMPTIONS!$C$70)</f>
        <v/>
      </c>
      <c r="K422" s="83">
        <f>_xlfn.NORM.INV(RAND(),ASSUMPTIONS!$C$43,ASSUMPTIONS!$C$71)</f>
        <v/>
      </c>
      <c r="L422" s="84">
        <f>(((ASSUMPTIONS!$C$18*J422*(1-ASSUMPTIONS!$C$20)+ASSUMPTIONS!$C$18*ASSUMPTIONS!$C$21-ASSUMPTIONS!$C$18*ASSUMPTIONS!$C$22)*(1+H422)*(1-((1+H422)/(1+I422))^5)/(I422-H422))+((ASSUMPTIONS!$C$18*J422*(1-ASSUMPTIONS!$C$20)+ASSUMPTIONS!$C$18*ASSUMPTIONS!$C$21-ASSUMPTIONS!$C$18*ASSUMPTIONS!$C$22)*(1+H422)^5*(1+K422)/(I422-K422)/(1+I422)^5)-DCF!$C$12)/ASSUMPTIONS!$C$7</f>
        <v/>
      </c>
    </row>
    <row r="423">
      <c r="H423" s="83">
        <f>_xlfn.NORM.INV(RAND(),AVERAGE(ASSUMPTIONS!$C$38,ASSUMPTIONS!$C$39,ASSUMPTIONS!$C$40,ASSUMPTIONS!$C$41,ASSUMPTIONS!$C$42),ASSUMPTIONS!$C$68)</f>
        <v/>
      </c>
      <c r="I423" s="83">
        <f>MAX(_xlfn.NORM.INV(RAND(),DCF!$C$11,ASSUMPTIONS!$C$69),K423+0.005)</f>
        <v/>
      </c>
      <c r="J423" s="83">
        <f>_xlfn.NORM.INV(RAND(),ASSUMPTIONS!$C$19,ASSUMPTIONS!$C$70)</f>
        <v/>
      </c>
      <c r="K423" s="83">
        <f>_xlfn.NORM.INV(RAND(),ASSUMPTIONS!$C$43,ASSUMPTIONS!$C$71)</f>
        <v/>
      </c>
      <c r="L423" s="84">
        <f>(((ASSUMPTIONS!$C$18*J423*(1-ASSUMPTIONS!$C$20)+ASSUMPTIONS!$C$18*ASSUMPTIONS!$C$21-ASSUMPTIONS!$C$18*ASSUMPTIONS!$C$22)*(1+H423)*(1-((1+H423)/(1+I423))^5)/(I423-H423))+((ASSUMPTIONS!$C$18*J423*(1-ASSUMPTIONS!$C$20)+ASSUMPTIONS!$C$18*ASSUMPTIONS!$C$21-ASSUMPTIONS!$C$18*ASSUMPTIONS!$C$22)*(1+H423)^5*(1+K423)/(I423-K423)/(1+I423)^5)-DCF!$C$12)/ASSUMPTIONS!$C$7</f>
        <v/>
      </c>
    </row>
    <row r="424">
      <c r="H424" s="83">
        <f>_xlfn.NORM.INV(RAND(),AVERAGE(ASSUMPTIONS!$C$38,ASSUMPTIONS!$C$39,ASSUMPTIONS!$C$40,ASSUMPTIONS!$C$41,ASSUMPTIONS!$C$42),ASSUMPTIONS!$C$68)</f>
        <v/>
      </c>
      <c r="I424" s="83">
        <f>MAX(_xlfn.NORM.INV(RAND(),DCF!$C$11,ASSUMPTIONS!$C$69),K424+0.005)</f>
        <v/>
      </c>
      <c r="J424" s="83">
        <f>_xlfn.NORM.INV(RAND(),ASSUMPTIONS!$C$19,ASSUMPTIONS!$C$70)</f>
        <v/>
      </c>
      <c r="K424" s="83">
        <f>_xlfn.NORM.INV(RAND(),ASSUMPTIONS!$C$43,ASSUMPTIONS!$C$71)</f>
        <v/>
      </c>
      <c r="L424" s="84">
        <f>(((ASSUMPTIONS!$C$18*J424*(1-ASSUMPTIONS!$C$20)+ASSUMPTIONS!$C$18*ASSUMPTIONS!$C$21-ASSUMPTIONS!$C$18*ASSUMPTIONS!$C$22)*(1+H424)*(1-((1+H424)/(1+I424))^5)/(I424-H424))+((ASSUMPTIONS!$C$18*J424*(1-ASSUMPTIONS!$C$20)+ASSUMPTIONS!$C$18*ASSUMPTIONS!$C$21-ASSUMPTIONS!$C$18*ASSUMPTIONS!$C$22)*(1+H424)^5*(1+K424)/(I424-K424)/(1+I424)^5)-DCF!$C$12)/ASSUMPTIONS!$C$7</f>
        <v/>
      </c>
    </row>
    <row r="425">
      <c r="H425" s="83">
        <f>_xlfn.NORM.INV(RAND(),AVERAGE(ASSUMPTIONS!$C$38,ASSUMPTIONS!$C$39,ASSUMPTIONS!$C$40,ASSUMPTIONS!$C$41,ASSUMPTIONS!$C$42),ASSUMPTIONS!$C$68)</f>
        <v/>
      </c>
      <c r="I425" s="83">
        <f>MAX(_xlfn.NORM.INV(RAND(),DCF!$C$11,ASSUMPTIONS!$C$69),K425+0.005)</f>
        <v/>
      </c>
      <c r="J425" s="83">
        <f>_xlfn.NORM.INV(RAND(),ASSUMPTIONS!$C$19,ASSUMPTIONS!$C$70)</f>
        <v/>
      </c>
      <c r="K425" s="83">
        <f>_xlfn.NORM.INV(RAND(),ASSUMPTIONS!$C$43,ASSUMPTIONS!$C$71)</f>
        <v/>
      </c>
      <c r="L425" s="84">
        <f>(((ASSUMPTIONS!$C$18*J425*(1-ASSUMPTIONS!$C$20)+ASSUMPTIONS!$C$18*ASSUMPTIONS!$C$21-ASSUMPTIONS!$C$18*ASSUMPTIONS!$C$22)*(1+H425)*(1-((1+H425)/(1+I425))^5)/(I425-H425))+((ASSUMPTIONS!$C$18*J425*(1-ASSUMPTIONS!$C$20)+ASSUMPTIONS!$C$18*ASSUMPTIONS!$C$21-ASSUMPTIONS!$C$18*ASSUMPTIONS!$C$22)*(1+H425)^5*(1+K425)/(I425-K425)/(1+I425)^5)-DCF!$C$12)/ASSUMPTIONS!$C$7</f>
        <v/>
      </c>
    </row>
    <row r="426">
      <c r="H426" s="83">
        <f>_xlfn.NORM.INV(RAND(),AVERAGE(ASSUMPTIONS!$C$38,ASSUMPTIONS!$C$39,ASSUMPTIONS!$C$40,ASSUMPTIONS!$C$41,ASSUMPTIONS!$C$42),ASSUMPTIONS!$C$68)</f>
        <v/>
      </c>
      <c r="I426" s="83">
        <f>MAX(_xlfn.NORM.INV(RAND(),DCF!$C$11,ASSUMPTIONS!$C$69),K426+0.005)</f>
        <v/>
      </c>
      <c r="J426" s="83">
        <f>_xlfn.NORM.INV(RAND(),ASSUMPTIONS!$C$19,ASSUMPTIONS!$C$70)</f>
        <v/>
      </c>
      <c r="K426" s="83">
        <f>_xlfn.NORM.INV(RAND(),ASSUMPTIONS!$C$43,ASSUMPTIONS!$C$71)</f>
        <v/>
      </c>
      <c r="L426" s="84">
        <f>(((ASSUMPTIONS!$C$18*J426*(1-ASSUMPTIONS!$C$20)+ASSUMPTIONS!$C$18*ASSUMPTIONS!$C$21-ASSUMPTIONS!$C$18*ASSUMPTIONS!$C$22)*(1+H426)*(1-((1+H426)/(1+I426))^5)/(I426-H426))+((ASSUMPTIONS!$C$18*J426*(1-ASSUMPTIONS!$C$20)+ASSUMPTIONS!$C$18*ASSUMPTIONS!$C$21-ASSUMPTIONS!$C$18*ASSUMPTIONS!$C$22)*(1+H426)^5*(1+K426)/(I426-K426)/(1+I426)^5)-DCF!$C$12)/ASSUMPTIONS!$C$7</f>
        <v/>
      </c>
    </row>
    <row r="427">
      <c r="H427" s="83">
        <f>_xlfn.NORM.INV(RAND(),AVERAGE(ASSUMPTIONS!$C$38,ASSUMPTIONS!$C$39,ASSUMPTIONS!$C$40,ASSUMPTIONS!$C$41,ASSUMPTIONS!$C$42),ASSUMPTIONS!$C$68)</f>
        <v/>
      </c>
      <c r="I427" s="83">
        <f>MAX(_xlfn.NORM.INV(RAND(),DCF!$C$11,ASSUMPTIONS!$C$69),K427+0.005)</f>
        <v/>
      </c>
      <c r="J427" s="83">
        <f>_xlfn.NORM.INV(RAND(),ASSUMPTIONS!$C$19,ASSUMPTIONS!$C$70)</f>
        <v/>
      </c>
      <c r="K427" s="83">
        <f>_xlfn.NORM.INV(RAND(),ASSUMPTIONS!$C$43,ASSUMPTIONS!$C$71)</f>
        <v/>
      </c>
      <c r="L427" s="84">
        <f>(((ASSUMPTIONS!$C$18*J427*(1-ASSUMPTIONS!$C$20)+ASSUMPTIONS!$C$18*ASSUMPTIONS!$C$21-ASSUMPTIONS!$C$18*ASSUMPTIONS!$C$22)*(1+H427)*(1-((1+H427)/(1+I427))^5)/(I427-H427))+((ASSUMPTIONS!$C$18*J427*(1-ASSUMPTIONS!$C$20)+ASSUMPTIONS!$C$18*ASSUMPTIONS!$C$21-ASSUMPTIONS!$C$18*ASSUMPTIONS!$C$22)*(1+H427)^5*(1+K427)/(I427-K427)/(1+I427)^5)-DCF!$C$12)/ASSUMPTIONS!$C$7</f>
        <v/>
      </c>
    </row>
    <row r="428">
      <c r="H428" s="83">
        <f>_xlfn.NORM.INV(RAND(),AVERAGE(ASSUMPTIONS!$C$38,ASSUMPTIONS!$C$39,ASSUMPTIONS!$C$40,ASSUMPTIONS!$C$41,ASSUMPTIONS!$C$42),ASSUMPTIONS!$C$68)</f>
        <v/>
      </c>
      <c r="I428" s="83">
        <f>MAX(_xlfn.NORM.INV(RAND(),DCF!$C$11,ASSUMPTIONS!$C$69),K428+0.005)</f>
        <v/>
      </c>
      <c r="J428" s="83">
        <f>_xlfn.NORM.INV(RAND(),ASSUMPTIONS!$C$19,ASSUMPTIONS!$C$70)</f>
        <v/>
      </c>
      <c r="K428" s="83">
        <f>_xlfn.NORM.INV(RAND(),ASSUMPTIONS!$C$43,ASSUMPTIONS!$C$71)</f>
        <v/>
      </c>
      <c r="L428" s="84">
        <f>(((ASSUMPTIONS!$C$18*J428*(1-ASSUMPTIONS!$C$20)+ASSUMPTIONS!$C$18*ASSUMPTIONS!$C$21-ASSUMPTIONS!$C$18*ASSUMPTIONS!$C$22)*(1+H428)*(1-((1+H428)/(1+I428))^5)/(I428-H428))+((ASSUMPTIONS!$C$18*J428*(1-ASSUMPTIONS!$C$20)+ASSUMPTIONS!$C$18*ASSUMPTIONS!$C$21-ASSUMPTIONS!$C$18*ASSUMPTIONS!$C$22)*(1+H428)^5*(1+K428)/(I428-K428)/(1+I428)^5)-DCF!$C$12)/ASSUMPTIONS!$C$7</f>
        <v/>
      </c>
    </row>
    <row r="429">
      <c r="H429" s="83">
        <f>_xlfn.NORM.INV(RAND(),AVERAGE(ASSUMPTIONS!$C$38,ASSUMPTIONS!$C$39,ASSUMPTIONS!$C$40,ASSUMPTIONS!$C$41,ASSUMPTIONS!$C$42),ASSUMPTIONS!$C$68)</f>
        <v/>
      </c>
      <c r="I429" s="83">
        <f>MAX(_xlfn.NORM.INV(RAND(),DCF!$C$11,ASSUMPTIONS!$C$69),K429+0.005)</f>
        <v/>
      </c>
      <c r="J429" s="83">
        <f>_xlfn.NORM.INV(RAND(),ASSUMPTIONS!$C$19,ASSUMPTIONS!$C$70)</f>
        <v/>
      </c>
      <c r="K429" s="83">
        <f>_xlfn.NORM.INV(RAND(),ASSUMPTIONS!$C$43,ASSUMPTIONS!$C$71)</f>
        <v/>
      </c>
      <c r="L429" s="84">
        <f>(((ASSUMPTIONS!$C$18*J429*(1-ASSUMPTIONS!$C$20)+ASSUMPTIONS!$C$18*ASSUMPTIONS!$C$21-ASSUMPTIONS!$C$18*ASSUMPTIONS!$C$22)*(1+H429)*(1-((1+H429)/(1+I429))^5)/(I429-H429))+((ASSUMPTIONS!$C$18*J429*(1-ASSUMPTIONS!$C$20)+ASSUMPTIONS!$C$18*ASSUMPTIONS!$C$21-ASSUMPTIONS!$C$18*ASSUMPTIONS!$C$22)*(1+H429)^5*(1+K429)/(I429-K429)/(1+I429)^5)-DCF!$C$12)/ASSUMPTIONS!$C$7</f>
        <v/>
      </c>
    </row>
    <row r="430">
      <c r="H430" s="83">
        <f>_xlfn.NORM.INV(RAND(),AVERAGE(ASSUMPTIONS!$C$38,ASSUMPTIONS!$C$39,ASSUMPTIONS!$C$40,ASSUMPTIONS!$C$41,ASSUMPTIONS!$C$42),ASSUMPTIONS!$C$68)</f>
        <v/>
      </c>
      <c r="I430" s="83">
        <f>MAX(_xlfn.NORM.INV(RAND(),DCF!$C$11,ASSUMPTIONS!$C$69),K430+0.005)</f>
        <v/>
      </c>
      <c r="J430" s="83">
        <f>_xlfn.NORM.INV(RAND(),ASSUMPTIONS!$C$19,ASSUMPTIONS!$C$70)</f>
        <v/>
      </c>
      <c r="K430" s="83">
        <f>_xlfn.NORM.INV(RAND(),ASSUMPTIONS!$C$43,ASSUMPTIONS!$C$71)</f>
        <v/>
      </c>
      <c r="L430" s="84">
        <f>(((ASSUMPTIONS!$C$18*J430*(1-ASSUMPTIONS!$C$20)+ASSUMPTIONS!$C$18*ASSUMPTIONS!$C$21-ASSUMPTIONS!$C$18*ASSUMPTIONS!$C$22)*(1+H430)*(1-((1+H430)/(1+I430))^5)/(I430-H430))+((ASSUMPTIONS!$C$18*J430*(1-ASSUMPTIONS!$C$20)+ASSUMPTIONS!$C$18*ASSUMPTIONS!$C$21-ASSUMPTIONS!$C$18*ASSUMPTIONS!$C$22)*(1+H430)^5*(1+K430)/(I430-K430)/(1+I430)^5)-DCF!$C$12)/ASSUMPTIONS!$C$7</f>
        <v/>
      </c>
    </row>
    <row r="431">
      <c r="H431" s="83">
        <f>_xlfn.NORM.INV(RAND(),AVERAGE(ASSUMPTIONS!$C$38,ASSUMPTIONS!$C$39,ASSUMPTIONS!$C$40,ASSUMPTIONS!$C$41,ASSUMPTIONS!$C$42),ASSUMPTIONS!$C$68)</f>
        <v/>
      </c>
      <c r="I431" s="83">
        <f>MAX(_xlfn.NORM.INV(RAND(),DCF!$C$11,ASSUMPTIONS!$C$69),K431+0.005)</f>
        <v/>
      </c>
      <c r="J431" s="83">
        <f>_xlfn.NORM.INV(RAND(),ASSUMPTIONS!$C$19,ASSUMPTIONS!$C$70)</f>
        <v/>
      </c>
      <c r="K431" s="83">
        <f>_xlfn.NORM.INV(RAND(),ASSUMPTIONS!$C$43,ASSUMPTIONS!$C$71)</f>
        <v/>
      </c>
      <c r="L431" s="84">
        <f>(((ASSUMPTIONS!$C$18*J431*(1-ASSUMPTIONS!$C$20)+ASSUMPTIONS!$C$18*ASSUMPTIONS!$C$21-ASSUMPTIONS!$C$18*ASSUMPTIONS!$C$22)*(1+H431)*(1-((1+H431)/(1+I431))^5)/(I431-H431))+((ASSUMPTIONS!$C$18*J431*(1-ASSUMPTIONS!$C$20)+ASSUMPTIONS!$C$18*ASSUMPTIONS!$C$21-ASSUMPTIONS!$C$18*ASSUMPTIONS!$C$22)*(1+H431)^5*(1+K431)/(I431-K431)/(1+I431)^5)-DCF!$C$12)/ASSUMPTIONS!$C$7</f>
        <v/>
      </c>
    </row>
    <row r="432">
      <c r="H432" s="83">
        <f>_xlfn.NORM.INV(RAND(),AVERAGE(ASSUMPTIONS!$C$38,ASSUMPTIONS!$C$39,ASSUMPTIONS!$C$40,ASSUMPTIONS!$C$41,ASSUMPTIONS!$C$42),ASSUMPTIONS!$C$68)</f>
        <v/>
      </c>
      <c r="I432" s="83">
        <f>MAX(_xlfn.NORM.INV(RAND(),DCF!$C$11,ASSUMPTIONS!$C$69),K432+0.005)</f>
        <v/>
      </c>
      <c r="J432" s="83">
        <f>_xlfn.NORM.INV(RAND(),ASSUMPTIONS!$C$19,ASSUMPTIONS!$C$70)</f>
        <v/>
      </c>
      <c r="K432" s="83">
        <f>_xlfn.NORM.INV(RAND(),ASSUMPTIONS!$C$43,ASSUMPTIONS!$C$71)</f>
        <v/>
      </c>
      <c r="L432" s="84">
        <f>(((ASSUMPTIONS!$C$18*J432*(1-ASSUMPTIONS!$C$20)+ASSUMPTIONS!$C$18*ASSUMPTIONS!$C$21-ASSUMPTIONS!$C$18*ASSUMPTIONS!$C$22)*(1+H432)*(1-((1+H432)/(1+I432))^5)/(I432-H432))+((ASSUMPTIONS!$C$18*J432*(1-ASSUMPTIONS!$C$20)+ASSUMPTIONS!$C$18*ASSUMPTIONS!$C$21-ASSUMPTIONS!$C$18*ASSUMPTIONS!$C$22)*(1+H432)^5*(1+K432)/(I432-K432)/(1+I432)^5)-DCF!$C$12)/ASSUMPTIONS!$C$7</f>
        <v/>
      </c>
    </row>
    <row r="433">
      <c r="H433" s="83">
        <f>_xlfn.NORM.INV(RAND(),AVERAGE(ASSUMPTIONS!$C$38,ASSUMPTIONS!$C$39,ASSUMPTIONS!$C$40,ASSUMPTIONS!$C$41,ASSUMPTIONS!$C$42),ASSUMPTIONS!$C$68)</f>
        <v/>
      </c>
      <c r="I433" s="83">
        <f>MAX(_xlfn.NORM.INV(RAND(),DCF!$C$11,ASSUMPTIONS!$C$69),K433+0.005)</f>
        <v/>
      </c>
      <c r="J433" s="83">
        <f>_xlfn.NORM.INV(RAND(),ASSUMPTIONS!$C$19,ASSUMPTIONS!$C$70)</f>
        <v/>
      </c>
      <c r="K433" s="83">
        <f>_xlfn.NORM.INV(RAND(),ASSUMPTIONS!$C$43,ASSUMPTIONS!$C$71)</f>
        <v/>
      </c>
      <c r="L433" s="84">
        <f>(((ASSUMPTIONS!$C$18*J433*(1-ASSUMPTIONS!$C$20)+ASSUMPTIONS!$C$18*ASSUMPTIONS!$C$21-ASSUMPTIONS!$C$18*ASSUMPTIONS!$C$22)*(1+H433)*(1-((1+H433)/(1+I433))^5)/(I433-H433))+((ASSUMPTIONS!$C$18*J433*(1-ASSUMPTIONS!$C$20)+ASSUMPTIONS!$C$18*ASSUMPTIONS!$C$21-ASSUMPTIONS!$C$18*ASSUMPTIONS!$C$22)*(1+H433)^5*(1+K433)/(I433-K433)/(1+I433)^5)-DCF!$C$12)/ASSUMPTIONS!$C$7</f>
        <v/>
      </c>
    </row>
    <row r="434">
      <c r="H434" s="83">
        <f>_xlfn.NORM.INV(RAND(),AVERAGE(ASSUMPTIONS!$C$38,ASSUMPTIONS!$C$39,ASSUMPTIONS!$C$40,ASSUMPTIONS!$C$41,ASSUMPTIONS!$C$42),ASSUMPTIONS!$C$68)</f>
        <v/>
      </c>
      <c r="I434" s="83">
        <f>MAX(_xlfn.NORM.INV(RAND(),DCF!$C$11,ASSUMPTIONS!$C$69),K434+0.005)</f>
        <v/>
      </c>
      <c r="J434" s="83">
        <f>_xlfn.NORM.INV(RAND(),ASSUMPTIONS!$C$19,ASSUMPTIONS!$C$70)</f>
        <v/>
      </c>
      <c r="K434" s="83">
        <f>_xlfn.NORM.INV(RAND(),ASSUMPTIONS!$C$43,ASSUMPTIONS!$C$71)</f>
        <v/>
      </c>
      <c r="L434" s="84">
        <f>(((ASSUMPTIONS!$C$18*J434*(1-ASSUMPTIONS!$C$20)+ASSUMPTIONS!$C$18*ASSUMPTIONS!$C$21-ASSUMPTIONS!$C$18*ASSUMPTIONS!$C$22)*(1+H434)*(1-((1+H434)/(1+I434))^5)/(I434-H434))+((ASSUMPTIONS!$C$18*J434*(1-ASSUMPTIONS!$C$20)+ASSUMPTIONS!$C$18*ASSUMPTIONS!$C$21-ASSUMPTIONS!$C$18*ASSUMPTIONS!$C$22)*(1+H434)^5*(1+K434)/(I434-K434)/(1+I434)^5)-DCF!$C$12)/ASSUMPTIONS!$C$7</f>
        <v/>
      </c>
    </row>
    <row r="435">
      <c r="H435" s="83">
        <f>_xlfn.NORM.INV(RAND(),AVERAGE(ASSUMPTIONS!$C$38,ASSUMPTIONS!$C$39,ASSUMPTIONS!$C$40,ASSUMPTIONS!$C$41,ASSUMPTIONS!$C$42),ASSUMPTIONS!$C$68)</f>
        <v/>
      </c>
      <c r="I435" s="83">
        <f>MAX(_xlfn.NORM.INV(RAND(),DCF!$C$11,ASSUMPTIONS!$C$69),K435+0.005)</f>
        <v/>
      </c>
      <c r="J435" s="83">
        <f>_xlfn.NORM.INV(RAND(),ASSUMPTIONS!$C$19,ASSUMPTIONS!$C$70)</f>
        <v/>
      </c>
      <c r="K435" s="83">
        <f>_xlfn.NORM.INV(RAND(),ASSUMPTIONS!$C$43,ASSUMPTIONS!$C$71)</f>
        <v/>
      </c>
      <c r="L435" s="84">
        <f>(((ASSUMPTIONS!$C$18*J435*(1-ASSUMPTIONS!$C$20)+ASSUMPTIONS!$C$18*ASSUMPTIONS!$C$21-ASSUMPTIONS!$C$18*ASSUMPTIONS!$C$22)*(1+H435)*(1-((1+H435)/(1+I435))^5)/(I435-H435))+((ASSUMPTIONS!$C$18*J435*(1-ASSUMPTIONS!$C$20)+ASSUMPTIONS!$C$18*ASSUMPTIONS!$C$21-ASSUMPTIONS!$C$18*ASSUMPTIONS!$C$22)*(1+H435)^5*(1+K435)/(I435-K435)/(1+I435)^5)-DCF!$C$12)/ASSUMPTIONS!$C$7</f>
        <v/>
      </c>
    </row>
    <row r="436">
      <c r="H436" s="83">
        <f>_xlfn.NORM.INV(RAND(),AVERAGE(ASSUMPTIONS!$C$38,ASSUMPTIONS!$C$39,ASSUMPTIONS!$C$40,ASSUMPTIONS!$C$41,ASSUMPTIONS!$C$42),ASSUMPTIONS!$C$68)</f>
        <v/>
      </c>
      <c r="I436" s="83">
        <f>MAX(_xlfn.NORM.INV(RAND(),DCF!$C$11,ASSUMPTIONS!$C$69),K436+0.005)</f>
        <v/>
      </c>
      <c r="J436" s="83">
        <f>_xlfn.NORM.INV(RAND(),ASSUMPTIONS!$C$19,ASSUMPTIONS!$C$70)</f>
        <v/>
      </c>
      <c r="K436" s="83">
        <f>_xlfn.NORM.INV(RAND(),ASSUMPTIONS!$C$43,ASSUMPTIONS!$C$71)</f>
        <v/>
      </c>
      <c r="L436" s="84">
        <f>(((ASSUMPTIONS!$C$18*J436*(1-ASSUMPTIONS!$C$20)+ASSUMPTIONS!$C$18*ASSUMPTIONS!$C$21-ASSUMPTIONS!$C$18*ASSUMPTIONS!$C$22)*(1+H436)*(1-((1+H436)/(1+I436))^5)/(I436-H436))+((ASSUMPTIONS!$C$18*J436*(1-ASSUMPTIONS!$C$20)+ASSUMPTIONS!$C$18*ASSUMPTIONS!$C$21-ASSUMPTIONS!$C$18*ASSUMPTIONS!$C$22)*(1+H436)^5*(1+K436)/(I436-K436)/(1+I436)^5)-DCF!$C$12)/ASSUMPTIONS!$C$7</f>
        <v/>
      </c>
    </row>
    <row r="437">
      <c r="H437" s="83">
        <f>_xlfn.NORM.INV(RAND(),AVERAGE(ASSUMPTIONS!$C$38,ASSUMPTIONS!$C$39,ASSUMPTIONS!$C$40,ASSUMPTIONS!$C$41,ASSUMPTIONS!$C$42),ASSUMPTIONS!$C$68)</f>
        <v/>
      </c>
      <c r="I437" s="83">
        <f>MAX(_xlfn.NORM.INV(RAND(),DCF!$C$11,ASSUMPTIONS!$C$69),K437+0.005)</f>
        <v/>
      </c>
      <c r="J437" s="83">
        <f>_xlfn.NORM.INV(RAND(),ASSUMPTIONS!$C$19,ASSUMPTIONS!$C$70)</f>
        <v/>
      </c>
      <c r="K437" s="83">
        <f>_xlfn.NORM.INV(RAND(),ASSUMPTIONS!$C$43,ASSUMPTIONS!$C$71)</f>
        <v/>
      </c>
      <c r="L437" s="84">
        <f>(((ASSUMPTIONS!$C$18*J437*(1-ASSUMPTIONS!$C$20)+ASSUMPTIONS!$C$18*ASSUMPTIONS!$C$21-ASSUMPTIONS!$C$18*ASSUMPTIONS!$C$22)*(1+H437)*(1-((1+H437)/(1+I437))^5)/(I437-H437))+((ASSUMPTIONS!$C$18*J437*(1-ASSUMPTIONS!$C$20)+ASSUMPTIONS!$C$18*ASSUMPTIONS!$C$21-ASSUMPTIONS!$C$18*ASSUMPTIONS!$C$22)*(1+H437)^5*(1+K437)/(I437-K437)/(1+I437)^5)-DCF!$C$12)/ASSUMPTIONS!$C$7</f>
        <v/>
      </c>
    </row>
    <row r="438">
      <c r="H438" s="83">
        <f>_xlfn.NORM.INV(RAND(),AVERAGE(ASSUMPTIONS!$C$38,ASSUMPTIONS!$C$39,ASSUMPTIONS!$C$40,ASSUMPTIONS!$C$41,ASSUMPTIONS!$C$42),ASSUMPTIONS!$C$68)</f>
        <v/>
      </c>
      <c r="I438" s="83">
        <f>MAX(_xlfn.NORM.INV(RAND(),DCF!$C$11,ASSUMPTIONS!$C$69),K438+0.005)</f>
        <v/>
      </c>
      <c r="J438" s="83">
        <f>_xlfn.NORM.INV(RAND(),ASSUMPTIONS!$C$19,ASSUMPTIONS!$C$70)</f>
        <v/>
      </c>
      <c r="K438" s="83">
        <f>_xlfn.NORM.INV(RAND(),ASSUMPTIONS!$C$43,ASSUMPTIONS!$C$71)</f>
        <v/>
      </c>
      <c r="L438" s="84">
        <f>(((ASSUMPTIONS!$C$18*J438*(1-ASSUMPTIONS!$C$20)+ASSUMPTIONS!$C$18*ASSUMPTIONS!$C$21-ASSUMPTIONS!$C$18*ASSUMPTIONS!$C$22)*(1+H438)*(1-((1+H438)/(1+I438))^5)/(I438-H438))+((ASSUMPTIONS!$C$18*J438*(1-ASSUMPTIONS!$C$20)+ASSUMPTIONS!$C$18*ASSUMPTIONS!$C$21-ASSUMPTIONS!$C$18*ASSUMPTIONS!$C$22)*(1+H438)^5*(1+K438)/(I438-K438)/(1+I438)^5)-DCF!$C$12)/ASSUMPTIONS!$C$7</f>
        <v/>
      </c>
    </row>
    <row r="439">
      <c r="H439" s="83">
        <f>_xlfn.NORM.INV(RAND(),AVERAGE(ASSUMPTIONS!$C$38,ASSUMPTIONS!$C$39,ASSUMPTIONS!$C$40,ASSUMPTIONS!$C$41,ASSUMPTIONS!$C$42),ASSUMPTIONS!$C$68)</f>
        <v/>
      </c>
      <c r="I439" s="83">
        <f>MAX(_xlfn.NORM.INV(RAND(),DCF!$C$11,ASSUMPTIONS!$C$69),K439+0.005)</f>
        <v/>
      </c>
      <c r="J439" s="83">
        <f>_xlfn.NORM.INV(RAND(),ASSUMPTIONS!$C$19,ASSUMPTIONS!$C$70)</f>
        <v/>
      </c>
      <c r="K439" s="83">
        <f>_xlfn.NORM.INV(RAND(),ASSUMPTIONS!$C$43,ASSUMPTIONS!$C$71)</f>
        <v/>
      </c>
      <c r="L439" s="84">
        <f>(((ASSUMPTIONS!$C$18*J439*(1-ASSUMPTIONS!$C$20)+ASSUMPTIONS!$C$18*ASSUMPTIONS!$C$21-ASSUMPTIONS!$C$18*ASSUMPTIONS!$C$22)*(1+H439)*(1-((1+H439)/(1+I439))^5)/(I439-H439))+((ASSUMPTIONS!$C$18*J439*(1-ASSUMPTIONS!$C$20)+ASSUMPTIONS!$C$18*ASSUMPTIONS!$C$21-ASSUMPTIONS!$C$18*ASSUMPTIONS!$C$22)*(1+H439)^5*(1+K439)/(I439-K439)/(1+I439)^5)-DCF!$C$12)/ASSUMPTIONS!$C$7</f>
        <v/>
      </c>
    </row>
    <row r="440">
      <c r="H440" s="83">
        <f>_xlfn.NORM.INV(RAND(),AVERAGE(ASSUMPTIONS!$C$38,ASSUMPTIONS!$C$39,ASSUMPTIONS!$C$40,ASSUMPTIONS!$C$41,ASSUMPTIONS!$C$42),ASSUMPTIONS!$C$68)</f>
        <v/>
      </c>
      <c r="I440" s="83">
        <f>MAX(_xlfn.NORM.INV(RAND(),DCF!$C$11,ASSUMPTIONS!$C$69),K440+0.005)</f>
        <v/>
      </c>
      <c r="J440" s="83">
        <f>_xlfn.NORM.INV(RAND(),ASSUMPTIONS!$C$19,ASSUMPTIONS!$C$70)</f>
        <v/>
      </c>
      <c r="K440" s="83">
        <f>_xlfn.NORM.INV(RAND(),ASSUMPTIONS!$C$43,ASSUMPTIONS!$C$71)</f>
        <v/>
      </c>
      <c r="L440" s="84">
        <f>(((ASSUMPTIONS!$C$18*J440*(1-ASSUMPTIONS!$C$20)+ASSUMPTIONS!$C$18*ASSUMPTIONS!$C$21-ASSUMPTIONS!$C$18*ASSUMPTIONS!$C$22)*(1+H440)*(1-((1+H440)/(1+I440))^5)/(I440-H440))+((ASSUMPTIONS!$C$18*J440*(1-ASSUMPTIONS!$C$20)+ASSUMPTIONS!$C$18*ASSUMPTIONS!$C$21-ASSUMPTIONS!$C$18*ASSUMPTIONS!$C$22)*(1+H440)^5*(1+K440)/(I440-K440)/(1+I440)^5)-DCF!$C$12)/ASSUMPTIONS!$C$7</f>
        <v/>
      </c>
    </row>
    <row r="441">
      <c r="H441" s="83">
        <f>_xlfn.NORM.INV(RAND(),AVERAGE(ASSUMPTIONS!$C$38,ASSUMPTIONS!$C$39,ASSUMPTIONS!$C$40,ASSUMPTIONS!$C$41,ASSUMPTIONS!$C$42),ASSUMPTIONS!$C$68)</f>
        <v/>
      </c>
      <c r="I441" s="83">
        <f>MAX(_xlfn.NORM.INV(RAND(),DCF!$C$11,ASSUMPTIONS!$C$69),K441+0.005)</f>
        <v/>
      </c>
      <c r="J441" s="83">
        <f>_xlfn.NORM.INV(RAND(),ASSUMPTIONS!$C$19,ASSUMPTIONS!$C$70)</f>
        <v/>
      </c>
      <c r="K441" s="83">
        <f>_xlfn.NORM.INV(RAND(),ASSUMPTIONS!$C$43,ASSUMPTIONS!$C$71)</f>
        <v/>
      </c>
      <c r="L441" s="84">
        <f>(((ASSUMPTIONS!$C$18*J441*(1-ASSUMPTIONS!$C$20)+ASSUMPTIONS!$C$18*ASSUMPTIONS!$C$21-ASSUMPTIONS!$C$18*ASSUMPTIONS!$C$22)*(1+H441)*(1-((1+H441)/(1+I441))^5)/(I441-H441))+((ASSUMPTIONS!$C$18*J441*(1-ASSUMPTIONS!$C$20)+ASSUMPTIONS!$C$18*ASSUMPTIONS!$C$21-ASSUMPTIONS!$C$18*ASSUMPTIONS!$C$22)*(1+H441)^5*(1+K441)/(I441-K441)/(1+I441)^5)-DCF!$C$12)/ASSUMPTIONS!$C$7</f>
        <v/>
      </c>
    </row>
    <row r="442">
      <c r="H442" s="83">
        <f>_xlfn.NORM.INV(RAND(),AVERAGE(ASSUMPTIONS!$C$38,ASSUMPTIONS!$C$39,ASSUMPTIONS!$C$40,ASSUMPTIONS!$C$41,ASSUMPTIONS!$C$42),ASSUMPTIONS!$C$68)</f>
        <v/>
      </c>
      <c r="I442" s="83">
        <f>MAX(_xlfn.NORM.INV(RAND(),DCF!$C$11,ASSUMPTIONS!$C$69),K442+0.005)</f>
        <v/>
      </c>
      <c r="J442" s="83">
        <f>_xlfn.NORM.INV(RAND(),ASSUMPTIONS!$C$19,ASSUMPTIONS!$C$70)</f>
        <v/>
      </c>
      <c r="K442" s="83">
        <f>_xlfn.NORM.INV(RAND(),ASSUMPTIONS!$C$43,ASSUMPTIONS!$C$71)</f>
        <v/>
      </c>
      <c r="L442" s="84">
        <f>(((ASSUMPTIONS!$C$18*J442*(1-ASSUMPTIONS!$C$20)+ASSUMPTIONS!$C$18*ASSUMPTIONS!$C$21-ASSUMPTIONS!$C$18*ASSUMPTIONS!$C$22)*(1+H442)*(1-((1+H442)/(1+I442))^5)/(I442-H442))+((ASSUMPTIONS!$C$18*J442*(1-ASSUMPTIONS!$C$20)+ASSUMPTIONS!$C$18*ASSUMPTIONS!$C$21-ASSUMPTIONS!$C$18*ASSUMPTIONS!$C$22)*(1+H442)^5*(1+K442)/(I442-K442)/(1+I442)^5)-DCF!$C$12)/ASSUMPTIONS!$C$7</f>
        <v/>
      </c>
    </row>
    <row r="443">
      <c r="H443" s="83">
        <f>_xlfn.NORM.INV(RAND(),AVERAGE(ASSUMPTIONS!$C$38,ASSUMPTIONS!$C$39,ASSUMPTIONS!$C$40,ASSUMPTIONS!$C$41,ASSUMPTIONS!$C$42),ASSUMPTIONS!$C$68)</f>
        <v/>
      </c>
      <c r="I443" s="83">
        <f>MAX(_xlfn.NORM.INV(RAND(),DCF!$C$11,ASSUMPTIONS!$C$69),K443+0.005)</f>
        <v/>
      </c>
      <c r="J443" s="83">
        <f>_xlfn.NORM.INV(RAND(),ASSUMPTIONS!$C$19,ASSUMPTIONS!$C$70)</f>
        <v/>
      </c>
      <c r="K443" s="83">
        <f>_xlfn.NORM.INV(RAND(),ASSUMPTIONS!$C$43,ASSUMPTIONS!$C$71)</f>
        <v/>
      </c>
      <c r="L443" s="84">
        <f>(((ASSUMPTIONS!$C$18*J443*(1-ASSUMPTIONS!$C$20)+ASSUMPTIONS!$C$18*ASSUMPTIONS!$C$21-ASSUMPTIONS!$C$18*ASSUMPTIONS!$C$22)*(1+H443)*(1-((1+H443)/(1+I443))^5)/(I443-H443))+((ASSUMPTIONS!$C$18*J443*(1-ASSUMPTIONS!$C$20)+ASSUMPTIONS!$C$18*ASSUMPTIONS!$C$21-ASSUMPTIONS!$C$18*ASSUMPTIONS!$C$22)*(1+H443)^5*(1+K443)/(I443-K443)/(1+I443)^5)-DCF!$C$12)/ASSUMPTIONS!$C$7</f>
        <v/>
      </c>
    </row>
    <row r="444">
      <c r="H444" s="83">
        <f>_xlfn.NORM.INV(RAND(),AVERAGE(ASSUMPTIONS!$C$38,ASSUMPTIONS!$C$39,ASSUMPTIONS!$C$40,ASSUMPTIONS!$C$41,ASSUMPTIONS!$C$42),ASSUMPTIONS!$C$68)</f>
        <v/>
      </c>
      <c r="I444" s="83">
        <f>MAX(_xlfn.NORM.INV(RAND(),DCF!$C$11,ASSUMPTIONS!$C$69),K444+0.005)</f>
        <v/>
      </c>
      <c r="J444" s="83">
        <f>_xlfn.NORM.INV(RAND(),ASSUMPTIONS!$C$19,ASSUMPTIONS!$C$70)</f>
        <v/>
      </c>
      <c r="K444" s="83">
        <f>_xlfn.NORM.INV(RAND(),ASSUMPTIONS!$C$43,ASSUMPTIONS!$C$71)</f>
        <v/>
      </c>
      <c r="L444" s="84">
        <f>(((ASSUMPTIONS!$C$18*J444*(1-ASSUMPTIONS!$C$20)+ASSUMPTIONS!$C$18*ASSUMPTIONS!$C$21-ASSUMPTIONS!$C$18*ASSUMPTIONS!$C$22)*(1+H444)*(1-((1+H444)/(1+I444))^5)/(I444-H444))+((ASSUMPTIONS!$C$18*J444*(1-ASSUMPTIONS!$C$20)+ASSUMPTIONS!$C$18*ASSUMPTIONS!$C$21-ASSUMPTIONS!$C$18*ASSUMPTIONS!$C$22)*(1+H444)^5*(1+K444)/(I444-K444)/(1+I444)^5)-DCF!$C$12)/ASSUMPTIONS!$C$7</f>
        <v/>
      </c>
    </row>
    <row r="445">
      <c r="H445" s="83">
        <f>_xlfn.NORM.INV(RAND(),AVERAGE(ASSUMPTIONS!$C$38,ASSUMPTIONS!$C$39,ASSUMPTIONS!$C$40,ASSUMPTIONS!$C$41,ASSUMPTIONS!$C$42),ASSUMPTIONS!$C$68)</f>
        <v/>
      </c>
      <c r="I445" s="83">
        <f>MAX(_xlfn.NORM.INV(RAND(),DCF!$C$11,ASSUMPTIONS!$C$69),K445+0.005)</f>
        <v/>
      </c>
      <c r="J445" s="83">
        <f>_xlfn.NORM.INV(RAND(),ASSUMPTIONS!$C$19,ASSUMPTIONS!$C$70)</f>
        <v/>
      </c>
      <c r="K445" s="83">
        <f>_xlfn.NORM.INV(RAND(),ASSUMPTIONS!$C$43,ASSUMPTIONS!$C$71)</f>
        <v/>
      </c>
      <c r="L445" s="84">
        <f>(((ASSUMPTIONS!$C$18*J445*(1-ASSUMPTIONS!$C$20)+ASSUMPTIONS!$C$18*ASSUMPTIONS!$C$21-ASSUMPTIONS!$C$18*ASSUMPTIONS!$C$22)*(1+H445)*(1-((1+H445)/(1+I445))^5)/(I445-H445))+((ASSUMPTIONS!$C$18*J445*(1-ASSUMPTIONS!$C$20)+ASSUMPTIONS!$C$18*ASSUMPTIONS!$C$21-ASSUMPTIONS!$C$18*ASSUMPTIONS!$C$22)*(1+H445)^5*(1+K445)/(I445-K445)/(1+I445)^5)-DCF!$C$12)/ASSUMPTIONS!$C$7</f>
        <v/>
      </c>
    </row>
    <row r="446">
      <c r="H446" s="83">
        <f>_xlfn.NORM.INV(RAND(),AVERAGE(ASSUMPTIONS!$C$38,ASSUMPTIONS!$C$39,ASSUMPTIONS!$C$40,ASSUMPTIONS!$C$41,ASSUMPTIONS!$C$42),ASSUMPTIONS!$C$68)</f>
        <v/>
      </c>
      <c r="I446" s="83">
        <f>MAX(_xlfn.NORM.INV(RAND(),DCF!$C$11,ASSUMPTIONS!$C$69),K446+0.005)</f>
        <v/>
      </c>
      <c r="J446" s="83">
        <f>_xlfn.NORM.INV(RAND(),ASSUMPTIONS!$C$19,ASSUMPTIONS!$C$70)</f>
        <v/>
      </c>
      <c r="K446" s="83">
        <f>_xlfn.NORM.INV(RAND(),ASSUMPTIONS!$C$43,ASSUMPTIONS!$C$71)</f>
        <v/>
      </c>
      <c r="L446" s="84">
        <f>(((ASSUMPTIONS!$C$18*J446*(1-ASSUMPTIONS!$C$20)+ASSUMPTIONS!$C$18*ASSUMPTIONS!$C$21-ASSUMPTIONS!$C$18*ASSUMPTIONS!$C$22)*(1+H446)*(1-((1+H446)/(1+I446))^5)/(I446-H446))+((ASSUMPTIONS!$C$18*J446*(1-ASSUMPTIONS!$C$20)+ASSUMPTIONS!$C$18*ASSUMPTIONS!$C$21-ASSUMPTIONS!$C$18*ASSUMPTIONS!$C$22)*(1+H446)^5*(1+K446)/(I446-K446)/(1+I446)^5)-DCF!$C$12)/ASSUMPTIONS!$C$7</f>
        <v/>
      </c>
    </row>
    <row r="447">
      <c r="H447" s="83">
        <f>_xlfn.NORM.INV(RAND(),AVERAGE(ASSUMPTIONS!$C$38,ASSUMPTIONS!$C$39,ASSUMPTIONS!$C$40,ASSUMPTIONS!$C$41,ASSUMPTIONS!$C$42),ASSUMPTIONS!$C$68)</f>
        <v/>
      </c>
      <c r="I447" s="83">
        <f>MAX(_xlfn.NORM.INV(RAND(),DCF!$C$11,ASSUMPTIONS!$C$69),K447+0.005)</f>
        <v/>
      </c>
      <c r="J447" s="83">
        <f>_xlfn.NORM.INV(RAND(),ASSUMPTIONS!$C$19,ASSUMPTIONS!$C$70)</f>
        <v/>
      </c>
      <c r="K447" s="83">
        <f>_xlfn.NORM.INV(RAND(),ASSUMPTIONS!$C$43,ASSUMPTIONS!$C$71)</f>
        <v/>
      </c>
      <c r="L447" s="84">
        <f>(((ASSUMPTIONS!$C$18*J447*(1-ASSUMPTIONS!$C$20)+ASSUMPTIONS!$C$18*ASSUMPTIONS!$C$21-ASSUMPTIONS!$C$18*ASSUMPTIONS!$C$22)*(1+H447)*(1-((1+H447)/(1+I447))^5)/(I447-H447))+((ASSUMPTIONS!$C$18*J447*(1-ASSUMPTIONS!$C$20)+ASSUMPTIONS!$C$18*ASSUMPTIONS!$C$21-ASSUMPTIONS!$C$18*ASSUMPTIONS!$C$22)*(1+H447)^5*(1+K447)/(I447-K447)/(1+I447)^5)-DCF!$C$12)/ASSUMPTIONS!$C$7</f>
        <v/>
      </c>
    </row>
    <row r="448">
      <c r="H448" s="83">
        <f>_xlfn.NORM.INV(RAND(),AVERAGE(ASSUMPTIONS!$C$38,ASSUMPTIONS!$C$39,ASSUMPTIONS!$C$40,ASSUMPTIONS!$C$41,ASSUMPTIONS!$C$42),ASSUMPTIONS!$C$68)</f>
        <v/>
      </c>
      <c r="I448" s="83">
        <f>MAX(_xlfn.NORM.INV(RAND(),DCF!$C$11,ASSUMPTIONS!$C$69),K448+0.005)</f>
        <v/>
      </c>
      <c r="J448" s="83">
        <f>_xlfn.NORM.INV(RAND(),ASSUMPTIONS!$C$19,ASSUMPTIONS!$C$70)</f>
        <v/>
      </c>
      <c r="K448" s="83">
        <f>_xlfn.NORM.INV(RAND(),ASSUMPTIONS!$C$43,ASSUMPTIONS!$C$71)</f>
        <v/>
      </c>
      <c r="L448" s="84">
        <f>(((ASSUMPTIONS!$C$18*J448*(1-ASSUMPTIONS!$C$20)+ASSUMPTIONS!$C$18*ASSUMPTIONS!$C$21-ASSUMPTIONS!$C$18*ASSUMPTIONS!$C$22)*(1+H448)*(1-((1+H448)/(1+I448))^5)/(I448-H448))+((ASSUMPTIONS!$C$18*J448*(1-ASSUMPTIONS!$C$20)+ASSUMPTIONS!$C$18*ASSUMPTIONS!$C$21-ASSUMPTIONS!$C$18*ASSUMPTIONS!$C$22)*(1+H448)^5*(1+K448)/(I448-K448)/(1+I448)^5)-DCF!$C$12)/ASSUMPTIONS!$C$7</f>
        <v/>
      </c>
    </row>
    <row r="449">
      <c r="H449" s="83">
        <f>_xlfn.NORM.INV(RAND(),AVERAGE(ASSUMPTIONS!$C$38,ASSUMPTIONS!$C$39,ASSUMPTIONS!$C$40,ASSUMPTIONS!$C$41,ASSUMPTIONS!$C$42),ASSUMPTIONS!$C$68)</f>
        <v/>
      </c>
      <c r="I449" s="83">
        <f>MAX(_xlfn.NORM.INV(RAND(),DCF!$C$11,ASSUMPTIONS!$C$69),K449+0.005)</f>
        <v/>
      </c>
      <c r="J449" s="83">
        <f>_xlfn.NORM.INV(RAND(),ASSUMPTIONS!$C$19,ASSUMPTIONS!$C$70)</f>
        <v/>
      </c>
      <c r="K449" s="83">
        <f>_xlfn.NORM.INV(RAND(),ASSUMPTIONS!$C$43,ASSUMPTIONS!$C$71)</f>
        <v/>
      </c>
      <c r="L449" s="84">
        <f>(((ASSUMPTIONS!$C$18*J449*(1-ASSUMPTIONS!$C$20)+ASSUMPTIONS!$C$18*ASSUMPTIONS!$C$21-ASSUMPTIONS!$C$18*ASSUMPTIONS!$C$22)*(1+H449)*(1-((1+H449)/(1+I449))^5)/(I449-H449))+((ASSUMPTIONS!$C$18*J449*(1-ASSUMPTIONS!$C$20)+ASSUMPTIONS!$C$18*ASSUMPTIONS!$C$21-ASSUMPTIONS!$C$18*ASSUMPTIONS!$C$22)*(1+H449)^5*(1+K449)/(I449-K449)/(1+I449)^5)-DCF!$C$12)/ASSUMPTIONS!$C$7</f>
        <v/>
      </c>
    </row>
    <row r="450">
      <c r="H450" s="83">
        <f>_xlfn.NORM.INV(RAND(),AVERAGE(ASSUMPTIONS!$C$38,ASSUMPTIONS!$C$39,ASSUMPTIONS!$C$40,ASSUMPTIONS!$C$41,ASSUMPTIONS!$C$42),ASSUMPTIONS!$C$68)</f>
        <v/>
      </c>
      <c r="I450" s="83">
        <f>MAX(_xlfn.NORM.INV(RAND(),DCF!$C$11,ASSUMPTIONS!$C$69),K450+0.005)</f>
        <v/>
      </c>
      <c r="J450" s="83">
        <f>_xlfn.NORM.INV(RAND(),ASSUMPTIONS!$C$19,ASSUMPTIONS!$C$70)</f>
        <v/>
      </c>
      <c r="K450" s="83">
        <f>_xlfn.NORM.INV(RAND(),ASSUMPTIONS!$C$43,ASSUMPTIONS!$C$71)</f>
        <v/>
      </c>
      <c r="L450" s="84">
        <f>(((ASSUMPTIONS!$C$18*J450*(1-ASSUMPTIONS!$C$20)+ASSUMPTIONS!$C$18*ASSUMPTIONS!$C$21-ASSUMPTIONS!$C$18*ASSUMPTIONS!$C$22)*(1+H450)*(1-((1+H450)/(1+I450))^5)/(I450-H450))+((ASSUMPTIONS!$C$18*J450*(1-ASSUMPTIONS!$C$20)+ASSUMPTIONS!$C$18*ASSUMPTIONS!$C$21-ASSUMPTIONS!$C$18*ASSUMPTIONS!$C$22)*(1+H450)^5*(1+K450)/(I450-K450)/(1+I450)^5)-DCF!$C$12)/ASSUMPTIONS!$C$7</f>
        <v/>
      </c>
    </row>
    <row r="451">
      <c r="H451" s="83">
        <f>_xlfn.NORM.INV(RAND(),AVERAGE(ASSUMPTIONS!$C$38,ASSUMPTIONS!$C$39,ASSUMPTIONS!$C$40,ASSUMPTIONS!$C$41,ASSUMPTIONS!$C$42),ASSUMPTIONS!$C$68)</f>
        <v/>
      </c>
      <c r="I451" s="83">
        <f>MAX(_xlfn.NORM.INV(RAND(),DCF!$C$11,ASSUMPTIONS!$C$69),K451+0.005)</f>
        <v/>
      </c>
      <c r="J451" s="83">
        <f>_xlfn.NORM.INV(RAND(),ASSUMPTIONS!$C$19,ASSUMPTIONS!$C$70)</f>
        <v/>
      </c>
      <c r="K451" s="83">
        <f>_xlfn.NORM.INV(RAND(),ASSUMPTIONS!$C$43,ASSUMPTIONS!$C$71)</f>
        <v/>
      </c>
      <c r="L451" s="84">
        <f>(((ASSUMPTIONS!$C$18*J451*(1-ASSUMPTIONS!$C$20)+ASSUMPTIONS!$C$18*ASSUMPTIONS!$C$21-ASSUMPTIONS!$C$18*ASSUMPTIONS!$C$22)*(1+H451)*(1-((1+H451)/(1+I451))^5)/(I451-H451))+((ASSUMPTIONS!$C$18*J451*(1-ASSUMPTIONS!$C$20)+ASSUMPTIONS!$C$18*ASSUMPTIONS!$C$21-ASSUMPTIONS!$C$18*ASSUMPTIONS!$C$22)*(1+H451)^5*(1+K451)/(I451-K451)/(1+I451)^5)-DCF!$C$12)/ASSUMPTIONS!$C$7</f>
        <v/>
      </c>
    </row>
    <row r="452">
      <c r="H452" s="83">
        <f>_xlfn.NORM.INV(RAND(),AVERAGE(ASSUMPTIONS!$C$38,ASSUMPTIONS!$C$39,ASSUMPTIONS!$C$40,ASSUMPTIONS!$C$41,ASSUMPTIONS!$C$42),ASSUMPTIONS!$C$68)</f>
        <v/>
      </c>
      <c r="I452" s="83">
        <f>MAX(_xlfn.NORM.INV(RAND(),DCF!$C$11,ASSUMPTIONS!$C$69),K452+0.005)</f>
        <v/>
      </c>
      <c r="J452" s="83">
        <f>_xlfn.NORM.INV(RAND(),ASSUMPTIONS!$C$19,ASSUMPTIONS!$C$70)</f>
        <v/>
      </c>
      <c r="K452" s="83">
        <f>_xlfn.NORM.INV(RAND(),ASSUMPTIONS!$C$43,ASSUMPTIONS!$C$71)</f>
        <v/>
      </c>
      <c r="L452" s="84">
        <f>(((ASSUMPTIONS!$C$18*J452*(1-ASSUMPTIONS!$C$20)+ASSUMPTIONS!$C$18*ASSUMPTIONS!$C$21-ASSUMPTIONS!$C$18*ASSUMPTIONS!$C$22)*(1+H452)*(1-((1+H452)/(1+I452))^5)/(I452-H452))+((ASSUMPTIONS!$C$18*J452*(1-ASSUMPTIONS!$C$20)+ASSUMPTIONS!$C$18*ASSUMPTIONS!$C$21-ASSUMPTIONS!$C$18*ASSUMPTIONS!$C$22)*(1+H452)^5*(1+K452)/(I452-K452)/(1+I452)^5)-DCF!$C$12)/ASSUMPTIONS!$C$7</f>
        <v/>
      </c>
    </row>
    <row r="453">
      <c r="H453" s="83">
        <f>_xlfn.NORM.INV(RAND(),AVERAGE(ASSUMPTIONS!$C$38,ASSUMPTIONS!$C$39,ASSUMPTIONS!$C$40,ASSUMPTIONS!$C$41,ASSUMPTIONS!$C$42),ASSUMPTIONS!$C$68)</f>
        <v/>
      </c>
      <c r="I453" s="83">
        <f>MAX(_xlfn.NORM.INV(RAND(),DCF!$C$11,ASSUMPTIONS!$C$69),K453+0.005)</f>
        <v/>
      </c>
      <c r="J453" s="83">
        <f>_xlfn.NORM.INV(RAND(),ASSUMPTIONS!$C$19,ASSUMPTIONS!$C$70)</f>
        <v/>
      </c>
      <c r="K453" s="83">
        <f>_xlfn.NORM.INV(RAND(),ASSUMPTIONS!$C$43,ASSUMPTIONS!$C$71)</f>
        <v/>
      </c>
      <c r="L453" s="84">
        <f>(((ASSUMPTIONS!$C$18*J453*(1-ASSUMPTIONS!$C$20)+ASSUMPTIONS!$C$18*ASSUMPTIONS!$C$21-ASSUMPTIONS!$C$18*ASSUMPTIONS!$C$22)*(1+H453)*(1-((1+H453)/(1+I453))^5)/(I453-H453))+((ASSUMPTIONS!$C$18*J453*(1-ASSUMPTIONS!$C$20)+ASSUMPTIONS!$C$18*ASSUMPTIONS!$C$21-ASSUMPTIONS!$C$18*ASSUMPTIONS!$C$22)*(1+H453)^5*(1+K453)/(I453-K453)/(1+I453)^5)-DCF!$C$12)/ASSUMPTIONS!$C$7</f>
        <v/>
      </c>
    </row>
    <row r="454">
      <c r="H454" s="83">
        <f>_xlfn.NORM.INV(RAND(),AVERAGE(ASSUMPTIONS!$C$38,ASSUMPTIONS!$C$39,ASSUMPTIONS!$C$40,ASSUMPTIONS!$C$41,ASSUMPTIONS!$C$42),ASSUMPTIONS!$C$68)</f>
        <v/>
      </c>
      <c r="I454" s="83">
        <f>MAX(_xlfn.NORM.INV(RAND(),DCF!$C$11,ASSUMPTIONS!$C$69),K454+0.005)</f>
        <v/>
      </c>
      <c r="J454" s="83">
        <f>_xlfn.NORM.INV(RAND(),ASSUMPTIONS!$C$19,ASSUMPTIONS!$C$70)</f>
        <v/>
      </c>
      <c r="K454" s="83">
        <f>_xlfn.NORM.INV(RAND(),ASSUMPTIONS!$C$43,ASSUMPTIONS!$C$71)</f>
        <v/>
      </c>
      <c r="L454" s="84">
        <f>(((ASSUMPTIONS!$C$18*J454*(1-ASSUMPTIONS!$C$20)+ASSUMPTIONS!$C$18*ASSUMPTIONS!$C$21-ASSUMPTIONS!$C$18*ASSUMPTIONS!$C$22)*(1+H454)*(1-((1+H454)/(1+I454))^5)/(I454-H454))+((ASSUMPTIONS!$C$18*J454*(1-ASSUMPTIONS!$C$20)+ASSUMPTIONS!$C$18*ASSUMPTIONS!$C$21-ASSUMPTIONS!$C$18*ASSUMPTIONS!$C$22)*(1+H454)^5*(1+K454)/(I454-K454)/(1+I454)^5)-DCF!$C$12)/ASSUMPTIONS!$C$7</f>
        <v/>
      </c>
    </row>
    <row r="455">
      <c r="H455" s="83">
        <f>_xlfn.NORM.INV(RAND(),AVERAGE(ASSUMPTIONS!$C$38,ASSUMPTIONS!$C$39,ASSUMPTIONS!$C$40,ASSUMPTIONS!$C$41,ASSUMPTIONS!$C$42),ASSUMPTIONS!$C$68)</f>
        <v/>
      </c>
      <c r="I455" s="83">
        <f>MAX(_xlfn.NORM.INV(RAND(),DCF!$C$11,ASSUMPTIONS!$C$69),K455+0.005)</f>
        <v/>
      </c>
      <c r="J455" s="83">
        <f>_xlfn.NORM.INV(RAND(),ASSUMPTIONS!$C$19,ASSUMPTIONS!$C$70)</f>
        <v/>
      </c>
      <c r="K455" s="83">
        <f>_xlfn.NORM.INV(RAND(),ASSUMPTIONS!$C$43,ASSUMPTIONS!$C$71)</f>
        <v/>
      </c>
      <c r="L455" s="84">
        <f>(((ASSUMPTIONS!$C$18*J455*(1-ASSUMPTIONS!$C$20)+ASSUMPTIONS!$C$18*ASSUMPTIONS!$C$21-ASSUMPTIONS!$C$18*ASSUMPTIONS!$C$22)*(1+H455)*(1-((1+H455)/(1+I455))^5)/(I455-H455))+((ASSUMPTIONS!$C$18*J455*(1-ASSUMPTIONS!$C$20)+ASSUMPTIONS!$C$18*ASSUMPTIONS!$C$21-ASSUMPTIONS!$C$18*ASSUMPTIONS!$C$22)*(1+H455)^5*(1+K455)/(I455-K455)/(1+I455)^5)-DCF!$C$12)/ASSUMPTIONS!$C$7</f>
        <v/>
      </c>
    </row>
    <row r="456">
      <c r="H456" s="83">
        <f>_xlfn.NORM.INV(RAND(),AVERAGE(ASSUMPTIONS!$C$38,ASSUMPTIONS!$C$39,ASSUMPTIONS!$C$40,ASSUMPTIONS!$C$41,ASSUMPTIONS!$C$42),ASSUMPTIONS!$C$68)</f>
        <v/>
      </c>
      <c r="I456" s="83">
        <f>MAX(_xlfn.NORM.INV(RAND(),DCF!$C$11,ASSUMPTIONS!$C$69),K456+0.005)</f>
        <v/>
      </c>
      <c r="J456" s="83">
        <f>_xlfn.NORM.INV(RAND(),ASSUMPTIONS!$C$19,ASSUMPTIONS!$C$70)</f>
        <v/>
      </c>
      <c r="K456" s="83">
        <f>_xlfn.NORM.INV(RAND(),ASSUMPTIONS!$C$43,ASSUMPTIONS!$C$71)</f>
        <v/>
      </c>
      <c r="L456" s="84">
        <f>(((ASSUMPTIONS!$C$18*J456*(1-ASSUMPTIONS!$C$20)+ASSUMPTIONS!$C$18*ASSUMPTIONS!$C$21-ASSUMPTIONS!$C$18*ASSUMPTIONS!$C$22)*(1+H456)*(1-((1+H456)/(1+I456))^5)/(I456-H456))+((ASSUMPTIONS!$C$18*J456*(1-ASSUMPTIONS!$C$20)+ASSUMPTIONS!$C$18*ASSUMPTIONS!$C$21-ASSUMPTIONS!$C$18*ASSUMPTIONS!$C$22)*(1+H456)^5*(1+K456)/(I456-K456)/(1+I456)^5)-DCF!$C$12)/ASSUMPTIONS!$C$7</f>
        <v/>
      </c>
    </row>
    <row r="457">
      <c r="H457" s="83">
        <f>_xlfn.NORM.INV(RAND(),AVERAGE(ASSUMPTIONS!$C$38,ASSUMPTIONS!$C$39,ASSUMPTIONS!$C$40,ASSUMPTIONS!$C$41,ASSUMPTIONS!$C$42),ASSUMPTIONS!$C$68)</f>
        <v/>
      </c>
      <c r="I457" s="83">
        <f>MAX(_xlfn.NORM.INV(RAND(),DCF!$C$11,ASSUMPTIONS!$C$69),K457+0.005)</f>
        <v/>
      </c>
      <c r="J457" s="83">
        <f>_xlfn.NORM.INV(RAND(),ASSUMPTIONS!$C$19,ASSUMPTIONS!$C$70)</f>
        <v/>
      </c>
      <c r="K457" s="83">
        <f>_xlfn.NORM.INV(RAND(),ASSUMPTIONS!$C$43,ASSUMPTIONS!$C$71)</f>
        <v/>
      </c>
      <c r="L457" s="84">
        <f>(((ASSUMPTIONS!$C$18*J457*(1-ASSUMPTIONS!$C$20)+ASSUMPTIONS!$C$18*ASSUMPTIONS!$C$21-ASSUMPTIONS!$C$18*ASSUMPTIONS!$C$22)*(1+H457)*(1-((1+H457)/(1+I457))^5)/(I457-H457))+((ASSUMPTIONS!$C$18*J457*(1-ASSUMPTIONS!$C$20)+ASSUMPTIONS!$C$18*ASSUMPTIONS!$C$21-ASSUMPTIONS!$C$18*ASSUMPTIONS!$C$22)*(1+H457)^5*(1+K457)/(I457-K457)/(1+I457)^5)-DCF!$C$12)/ASSUMPTIONS!$C$7</f>
        <v/>
      </c>
    </row>
    <row r="458">
      <c r="H458" s="83">
        <f>_xlfn.NORM.INV(RAND(),AVERAGE(ASSUMPTIONS!$C$38,ASSUMPTIONS!$C$39,ASSUMPTIONS!$C$40,ASSUMPTIONS!$C$41,ASSUMPTIONS!$C$42),ASSUMPTIONS!$C$68)</f>
        <v/>
      </c>
      <c r="I458" s="83">
        <f>MAX(_xlfn.NORM.INV(RAND(),DCF!$C$11,ASSUMPTIONS!$C$69),K458+0.005)</f>
        <v/>
      </c>
      <c r="J458" s="83">
        <f>_xlfn.NORM.INV(RAND(),ASSUMPTIONS!$C$19,ASSUMPTIONS!$C$70)</f>
        <v/>
      </c>
      <c r="K458" s="83">
        <f>_xlfn.NORM.INV(RAND(),ASSUMPTIONS!$C$43,ASSUMPTIONS!$C$71)</f>
        <v/>
      </c>
      <c r="L458" s="84">
        <f>(((ASSUMPTIONS!$C$18*J458*(1-ASSUMPTIONS!$C$20)+ASSUMPTIONS!$C$18*ASSUMPTIONS!$C$21-ASSUMPTIONS!$C$18*ASSUMPTIONS!$C$22)*(1+H458)*(1-((1+H458)/(1+I458))^5)/(I458-H458))+((ASSUMPTIONS!$C$18*J458*(1-ASSUMPTIONS!$C$20)+ASSUMPTIONS!$C$18*ASSUMPTIONS!$C$21-ASSUMPTIONS!$C$18*ASSUMPTIONS!$C$22)*(1+H458)^5*(1+K458)/(I458-K458)/(1+I458)^5)-DCF!$C$12)/ASSUMPTIONS!$C$7</f>
        <v/>
      </c>
    </row>
    <row r="459">
      <c r="H459" s="83">
        <f>_xlfn.NORM.INV(RAND(),AVERAGE(ASSUMPTIONS!$C$38,ASSUMPTIONS!$C$39,ASSUMPTIONS!$C$40,ASSUMPTIONS!$C$41,ASSUMPTIONS!$C$42),ASSUMPTIONS!$C$68)</f>
        <v/>
      </c>
      <c r="I459" s="83">
        <f>MAX(_xlfn.NORM.INV(RAND(),DCF!$C$11,ASSUMPTIONS!$C$69),K459+0.005)</f>
        <v/>
      </c>
      <c r="J459" s="83">
        <f>_xlfn.NORM.INV(RAND(),ASSUMPTIONS!$C$19,ASSUMPTIONS!$C$70)</f>
        <v/>
      </c>
      <c r="K459" s="83">
        <f>_xlfn.NORM.INV(RAND(),ASSUMPTIONS!$C$43,ASSUMPTIONS!$C$71)</f>
        <v/>
      </c>
      <c r="L459" s="84">
        <f>(((ASSUMPTIONS!$C$18*J459*(1-ASSUMPTIONS!$C$20)+ASSUMPTIONS!$C$18*ASSUMPTIONS!$C$21-ASSUMPTIONS!$C$18*ASSUMPTIONS!$C$22)*(1+H459)*(1-((1+H459)/(1+I459))^5)/(I459-H459))+((ASSUMPTIONS!$C$18*J459*(1-ASSUMPTIONS!$C$20)+ASSUMPTIONS!$C$18*ASSUMPTIONS!$C$21-ASSUMPTIONS!$C$18*ASSUMPTIONS!$C$22)*(1+H459)^5*(1+K459)/(I459-K459)/(1+I459)^5)-DCF!$C$12)/ASSUMPTIONS!$C$7</f>
        <v/>
      </c>
    </row>
    <row r="460">
      <c r="H460" s="83">
        <f>_xlfn.NORM.INV(RAND(),AVERAGE(ASSUMPTIONS!$C$38,ASSUMPTIONS!$C$39,ASSUMPTIONS!$C$40,ASSUMPTIONS!$C$41,ASSUMPTIONS!$C$42),ASSUMPTIONS!$C$68)</f>
        <v/>
      </c>
      <c r="I460" s="83">
        <f>MAX(_xlfn.NORM.INV(RAND(),DCF!$C$11,ASSUMPTIONS!$C$69),K460+0.005)</f>
        <v/>
      </c>
      <c r="J460" s="83">
        <f>_xlfn.NORM.INV(RAND(),ASSUMPTIONS!$C$19,ASSUMPTIONS!$C$70)</f>
        <v/>
      </c>
      <c r="K460" s="83">
        <f>_xlfn.NORM.INV(RAND(),ASSUMPTIONS!$C$43,ASSUMPTIONS!$C$71)</f>
        <v/>
      </c>
      <c r="L460" s="84">
        <f>(((ASSUMPTIONS!$C$18*J460*(1-ASSUMPTIONS!$C$20)+ASSUMPTIONS!$C$18*ASSUMPTIONS!$C$21-ASSUMPTIONS!$C$18*ASSUMPTIONS!$C$22)*(1+H460)*(1-((1+H460)/(1+I460))^5)/(I460-H460))+((ASSUMPTIONS!$C$18*J460*(1-ASSUMPTIONS!$C$20)+ASSUMPTIONS!$C$18*ASSUMPTIONS!$C$21-ASSUMPTIONS!$C$18*ASSUMPTIONS!$C$22)*(1+H460)^5*(1+K460)/(I460-K460)/(1+I460)^5)-DCF!$C$12)/ASSUMPTIONS!$C$7</f>
        <v/>
      </c>
    </row>
    <row r="461">
      <c r="H461" s="83">
        <f>_xlfn.NORM.INV(RAND(),AVERAGE(ASSUMPTIONS!$C$38,ASSUMPTIONS!$C$39,ASSUMPTIONS!$C$40,ASSUMPTIONS!$C$41,ASSUMPTIONS!$C$42),ASSUMPTIONS!$C$68)</f>
        <v/>
      </c>
      <c r="I461" s="83">
        <f>MAX(_xlfn.NORM.INV(RAND(),DCF!$C$11,ASSUMPTIONS!$C$69),K461+0.005)</f>
        <v/>
      </c>
      <c r="J461" s="83">
        <f>_xlfn.NORM.INV(RAND(),ASSUMPTIONS!$C$19,ASSUMPTIONS!$C$70)</f>
        <v/>
      </c>
      <c r="K461" s="83">
        <f>_xlfn.NORM.INV(RAND(),ASSUMPTIONS!$C$43,ASSUMPTIONS!$C$71)</f>
        <v/>
      </c>
      <c r="L461" s="84">
        <f>(((ASSUMPTIONS!$C$18*J461*(1-ASSUMPTIONS!$C$20)+ASSUMPTIONS!$C$18*ASSUMPTIONS!$C$21-ASSUMPTIONS!$C$18*ASSUMPTIONS!$C$22)*(1+H461)*(1-((1+H461)/(1+I461))^5)/(I461-H461))+((ASSUMPTIONS!$C$18*J461*(1-ASSUMPTIONS!$C$20)+ASSUMPTIONS!$C$18*ASSUMPTIONS!$C$21-ASSUMPTIONS!$C$18*ASSUMPTIONS!$C$22)*(1+H461)^5*(1+K461)/(I461-K461)/(1+I461)^5)-DCF!$C$12)/ASSUMPTIONS!$C$7</f>
        <v/>
      </c>
    </row>
    <row r="462">
      <c r="H462" s="83">
        <f>_xlfn.NORM.INV(RAND(),AVERAGE(ASSUMPTIONS!$C$38,ASSUMPTIONS!$C$39,ASSUMPTIONS!$C$40,ASSUMPTIONS!$C$41,ASSUMPTIONS!$C$42),ASSUMPTIONS!$C$68)</f>
        <v/>
      </c>
      <c r="I462" s="83">
        <f>MAX(_xlfn.NORM.INV(RAND(),DCF!$C$11,ASSUMPTIONS!$C$69),K462+0.005)</f>
        <v/>
      </c>
      <c r="J462" s="83">
        <f>_xlfn.NORM.INV(RAND(),ASSUMPTIONS!$C$19,ASSUMPTIONS!$C$70)</f>
        <v/>
      </c>
      <c r="K462" s="83">
        <f>_xlfn.NORM.INV(RAND(),ASSUMPTIONS!$C$43,ASSUMPTIONS!$C$71)</f>
        <v/>
      </c>
      <c r="L462" s="84">
        <f>(((ASSUMPTIONS!$C$18*J462*(1-ASSUMPTIONS!$C$20)+ASSUMPTIONS!$C$18*ASSUMPTIONS!$C$21-ASSUMPTIONS!$C$18*ASSUMPTIONS!$C$22)*(1+H462)*(1-((1+H462)/(1+I462))^5)/(I462-H462))+((ASSUMPTIONS!$C$18*J462*(1-ASSUMPTIONS!$C$20)+ASSUMPTIONS!$C$18*ASSUMPTIONS!$C$21-ASSUMPTIONS!$C$18*ASSUMPTIONS!$C$22)*(1+H462)^5*(1+K462)/(I462-K462)/(1+I462)^5)-DCF!$C$12)/ASSUMPTIONS!$C$7</f>
        <v/>
      </c>
    </row>
    <row r="463">
      <c r="H463" s="83">
        <f>_xlfn.NORM.INV(RAND(),AVERAGE(ASSUMPTIONS!$C$38,ASSUMPTIONS!$C$39,ASSUMPTIONS!$C$40,ASSUMPTIONS!$C$41,ASSUMPTIONS!$C$42),ASSUMPTIONS!$C$68)</f>
        <v/>
      </c>
      <c r="I463" s="83">
        <f>MAX(_xlfn.NORM.INV(RAND(),DCF!$C$11,ASSUMPTIONS!$C$69),K463+0.005)</f>
        <v/>
      </c>
      <c r="J463" s="83">
        <f>_xlfn.NORM.INV(RAND(),ASSUMPTIONS!$C$19,ASSUMPTIONS!$C$70)</f>
        <v/>
      </c>
      <c r="K463" s="83">
        <f>_xlfn.NORM.INV(RAND(),ASSUMPTIONS!$C$43,ASSUMPTIONS!$C$71)</f>
        <v/>
      </c>
      <c r="L463" s="84">
        <f>(((ASSUMPTIONS!$C$18*J463*(1-ASSUMPTIONS!$C$20)+ASSUMPTIONS!$C$18*ASSUMPTIONS!$C$21-ASSUMPTIONS!$C$18*ASSUMPTIONS!$C$22)*(1+H463)*(1-((1+H463)/(1+I463))^5)/(I463-H463))+((ASSUMPTIONS!$C$18*J463*(1-ASSUMPTIONS!$C$20)+ASSUMPTIONS!$C$18*ASSUMPTIONS!$C$21-ASSUMPTIONS!$C$18*ASSUMPTIONS!$C$22)*(1+H463)^5*(1+K463)/(I463-K463)/(1+I463)^5)-DCF!$C$12)/ASSUMPTIONS!$C$7</f>
        <v/>
      </c>
    </row>
    <row r="464">
      <c r="H464" s="83">
        <f>_xlfn.NORM.INV(RAND(),AVERAGE(ASSUMPTIONS!$C$38,ASSUMPTIONS!$C$39,ASSUMPTIONS!$C$40,ASSUMPTIONS!$C$41,ASSUMPTIONS!$C$42),ASSUMPTIONS!$C$68)</f>
        <v/>
      </c>
      <c r="I464" s="83">
        <f>MAX(_xlfn.NORM.INV(RAND(),DCF!$C$11,ASSUMPTIONS!$C$69),K464+0.005)</f>
        <v/>
      </c>
      <c r="J464" s="83">
        <f>_xlfn.NORM.INV(RAND(),ASSUMPTIONS!$C$19,ASSUMPTIONS!$C$70)</f>
        <v/>
      </c>
      <c r="K464" s="83">
        <f>_xlfn.NORM.INV(RAND(),ASSUMPTIONS!$C$43,ASSUMPTIONS!$C$71)</f>
        <v/>
      </c>
      <c r="L464" s="84">
        <f>(((ASSUMPTIONS!$C$18*J464*(1-ASSUMPTIONS!$C$20)+ASSUMPTIONS!$C$18*ASSUMPTIONS!$C$21-ASSUMPTIONS!$C$18*ASSUMPTIONS!$C$22)*(1+H464)*(1-((1+H464)/(1+I464))^5)/(I464-H464))+((ASSUMPTIONS!$C$18*J464*(1-ASSUMPTIONS!$C$20)+ASSUMPTIONS!$C$18*ASSUMPTIONS!$C$21-ASSUMPTIONS!$C$18*ASSUMPTIONS!$C$22)*(1+H464)^5*(1+K464)/(I464-K464)/(1+I464)^5)-DCF!$C$12)/ASSUMPTIONS!$C$7</f>
        <v/>
      </c>
    </row>
    <row r="465">
      <c r="H465" s="83">
        <f>_xlfn.NORM.INV(RAND(),AVERAGE(ASSUMPTIONS!$C$38,ASSUMPTIONS!$C$39,ASSUMPTIONS!$C$40,ASSUMPTIONS!$C$41,ASSUMPTIONS!$C$42),ASSUMPTIONS!$C$68)</f>
        <v/>
      </c>
      <c r="I465" s="83">
        <f>MAX(_xlfn.NORM.INV(RAND(),DCF!$C$11,ASSUMPTIONS!$C$69),K465+0.005)</f>
        <v/>
      </c>
      <c r="J465" s="83">
        <f>_xlfn.NORM.INV(RAND(),ASSUMPTIONS!$C$19,ASSUMPTIONS!$C$70)</f>
        <v/>
      </c>
      <c r="K465" s="83">
        <f>_xlfn.NORM.INV(RAND(),ASSUMPTIONS!$C$43,ASSUMPTIONS!$C$71)</f>
        <v/>
      </c>
      <c r="L465" s="84">
        <f>(((ASSUMPTIONS!$C$18*J465*(1-ASSUMPTIONS!$C$20)+ASSUMPTIONS!$C$18*ASSUMPTIONS!$C$21-ASSUMPTIONS!$C$18*ASSUMPTIONS!$C$22)*(1+H465)*(1-((1+H465)/(1+I465))^5)/(I465-H465))+((ASSUMPTIONS!$C$18*J465*(1-ASSUMPTIONS!$C$20)+ASSUMPTIONS!$C$18*ASSUMPTIONS!$C$21-ASSUMPTIONS!$C$18*ASSUMPTIONS!$C$22)*(1+H465)^5*(1+K465)/(I465-K465)/(1+I465)^5)-DCF!$C$12)/ASSUMPTIONS!$C$7</f>
        <v/>
      </c>
    </row>
    <row r="466">
      <c r="H466" s="83">
        <f>_xlfn.NORM.INV(RAND(),AVERAGE(ASSUMPTIONS!$C$38,ASSUMPTIONS!$C$39,ASSUMPTIONS!$C$40,ASSUMPTIONS!$C$41,ASSUMPTIONS!$C$42),ASSUMPTIONS!$C$68)</f>
        <v/>
      </c>
      <c r="I466" s="83">
        <f>MAX(_xlfn.NORM.INV(RAND(),DCF!$C$11,ASSUMPTIONS!$C$69),K466+0.005)</f>
        <v/>
      </c>
      <c r="J466" s="83">
        <f>_xlfn.NORM.INV(RAND(),ASSUMPTIONS!$C$19,ASSUMPTIONS!$C$70)</f>
        <v/>
      </c>
      <c r="K466" s="83">
        <f>_xlfn.NORM.INV(RAND(),ASSUMPTIONS!$C$43,ASSUMPTIONS!$C$71)</f>
        <v/>
      </c>
      <c r="L466" s="84">
        <f>(((ASSUMPTIONS!$C$18*J466*(1-ASSUMPTIONS!$C$20)+ASSUMPTIONS!$C$18*ASSUMPTIONS!$C$21-ASSUMPTIONS!$C$18*ASSUMPTIONS!$C$22)*(1+H466)*(1-((1+H466)/(1+I466))^5)/(I466-H466))+((ASSUMPTIONS!$C$18*J466*(1-ASSUMPTIONS!$C$20)+ASSUMPTIONS!$C$18*ASSUMPTIONS!$C$21-ASSUMPTIONS!$C$18*ASSUMPTIONS!$C$22)*(1+H466)^5*(1+K466)/(I466-K466)/(1+I466)^5)-DCF!$C$12)/ASSUMPTIONS!$C$7</f>
        <v/>
      </c>
    </row>
    <row r="467">
      <c r="H467" s="83">
        <f>_xlfn.NORM.INV(RAND(),AVERAGE(ASSUMPTIONS!$C$38,ASSUMPTIONS!$C$39,ASSUMPTIONS!$C$40,ASSUMPTIONS!$C$41,ASSUMPTIONS!$C$42),ASSUMPTIONS!$C$68)</f>
        <v/>
      </c>
      <c r="I467" s="83">
        <f>MAX(_xlfn.NORM.INV(RAND(),DCF!$C$11,ASSUMPTIONS!$C$69),K467+0.005)</f>
        <v/>
      </c>
      <c r="J467" s="83">
        <f>_xlfn.NORM.INV(RAND(),ASSUMPTIONS!$C$19,ASSUMPTIONS!$C$70)</f>
        <v/>
      </c>
      <c r="K467" s="83">
        <f>_xlfn.NORM.INV(RAND(),ASSUMPTIONS!$C$43,ASSUMPTIONS!$C$71)</f>
        <v/>
      </c>
      <c r="L467" s="84">
        <f>(((ASSUMPTIONS!$C$18*J467*(1-ASSUMPTIONS!$C$20)+ASSUMPTIONS!$C$18*ASSUMPTIONS!$C$21-ASSUMPTIONS!$C$18*ASSUMPTIONS!$C$22)*(1+H467)*(1-((1+H467)/(1+I467))^5)/(I467-H467))+((ASSUMPTIONS!$C$18*J467*(1-ASSUMPTIONS!$C$20)+ASSUMPTIONS!$C$18*ASSUMPTIONS!$C$21-ASSUMPTIONS!$C$18*ASSUMPTIONS!$C$22)*(1+H467)^5*(1+K467)/(I467-K467)/(1+I467)^5)-DCF!$C$12)/ASSUMPTIONS!$C$7</f>
        <v/>
      </c>
    </row>
    <row r="468">
      <c r="H468" s="83">
        <f>_xlfn.NORM.INV(RAND(),AVERAGE(ASSUMPTIONS!$C$38,ASSUMPTIONS!$C$39,ASSUMPTIONS!$C$40,ASSUMPTIONS!$C$41,ASSUMPTIONS!$C$42),ASSUMPTIONS!$C$68)</f>
        <v/>
      </c>
      <c r="I468" s="83">
        <f>MAX(_xlfn.NORM.INV(RAND(),DCF!$C$11,ASSUMPTIONS!$C$69),K468+0.005)</f>
        <v/>
      </c>
      <c r="J468" s="83">
        <f>_xlfn.NORM.INV(RAND(),ASSUMPTIONS!$C$19,ASSUMPTIONS!$C$70)</f>
        <v/>
      </c>
      <c r="K468" s="83">
        <f>_xlfn.NORM.INV(RAND(),ASSUMPTIONS!$C$43,ASSUMPTIONS!$C$71)</f>
        <v/>
      </c>
      <c r="L468" s="84">
        <f>(((ASSUMPTIONS!$C$18*J468*(1-ASSUMPTIONS!$C$20)+ASSUMPTIONS!$C$18*ASSUMPTIONS!$C$21-ASSUMPTIONS!$C$18*ASSUMPTIONS!$C$22)*(1+H468)*(1-((1+H468)/(1+I468))^5)/(I468-H468))+((ASSUMPTIONS!$C$18*J468*(1-ASSUMPTIONS!$C$20)+ASSUMPTIONS!$C$18*ASSUMPTIONS!$C$21-ASSUMPTIONS!$C$18*ASSUMPTIONS!$C$22)*(1+H468)^5*(1+K468)/(I468-K468)/(1+I468)^5)-DCF!$C$12)/ASSUMPTIONS!$C$7</f>
        <v/>
      </c>
    </row>
    <row r="469">
      <c r="H469" s="83">
        <f>_xlfn.NORM.INV(RAND(),AVERAGE(ASSUMPTIONS!$C$38,ASSUMPTIONS!$C$39,ASSUMPTIONS!$C$40,ASSUMPTIONS!$C$41,ASSUMPTIONS!$C$42),ASSUMPTIONS!$C$68)</f>
        <v/>
      </c>
      <c r="I469" s="83">
        <f>MAX(_xlfn.NORM.INV(RAND(),DCF!$C$11,ASSUMPTIONS!$C$69),K469+0.005)</f>
        <v/>
      </c>
      <c r="J469" s="83">
        <f>_xlfn.NORM.INV(RAND(),ASSUMPTIONS!$C$19,ASSUMPTIONS!$C$70)</f>
        <v/>
      </c>
      <c r="K469" s="83">
        <f>_xlfn.NORM.INV(RAND(),ASSUMPTIONS!$C$43,ASSUMPTIONS!$C$71)</f>
        <v/>
      </c>
      <c r="L469" s="84">
        <f>(((ASSUMPTIONS!$C$18*J469*(1-ASSUMPTIONS!$C$20)+ASSUMPTIONS!$C$18*ASSUMPTIONS!$C$21-ASSUMPTIONS!$C$18*ASSUMPTIONS!$C$22)*(1+H469)*(1-((1+H469)/(1+I469))^5)/(I469-H469))+((ASSUMPTIONS!$C$18*J469*(1-ASSUMPTIONS!$C$20)+ASSUMPTIONS!$C$18*ASSUMPTIONS!$C$21-ASSUMPTIONS!$C$18*ASSUMPTIONS!$C$22)*(1+H469)^5*(1+K469)/(I469-K469)/(1+I469)^5)-DCF!$C$12)/ASSUMPTIONS!$C$7</f>
        <v/>
      </c>
    </row>
    <row r="470">
      <c r="H470" s="83">
        <f>_xlfn.NORM.INV(RAND(),AVERAGE(ASSUMPTIONS!$C$38,ASSUMPTIONS!$C$39,ASSUMPTIONS!$C$40,ASSUMPTIONS!$C$41,ASSUMPTIONS!$C$42),ASSUMPTIONS!$C$68)</f>
        <v/>
      </c>
      <c r="I470" s="83">
        <f>MAX(_xlfn.NORM.INV(RAND(),DCF!$C$11,ASSUMPTIONS!$C$69),K470+0.005)</f>
        <v/>
      </c>
      <c r="J470" s="83">
        <f>_xlfn.NORM.INV(RAND(),ASSUMPTIONS!$C$19,ASSUMPTIONS!$C$70)</f>
        <v/>
      </c>
      <c r="K470" s="83">
        <f>_xlfn.NORM.INV(RAND(),ASSUMPTIONS!$C$43,ASSUMPTIONS!$C$71)</f>
        <v/>
      </c>
      <c r="L470" s="84">
        <f>(((ASSUMPTIONS!$C$18*J470*(1-ASSUMPTIONS!$C$20)+ASSUMPTIONS!$C$18*ASSUMPTIONS!$C$21-ASSUMPTIONS!$C$18*ASSUMPTIONS!$C$22)*(1+H470)*(1-((1+H470)/(1+I470))^5)/(I470-H470))+((ASSUMPTIONS!$C$18*J470*(1-ASSUMPTIONS!$C$20)+ASSUMPTIONS!$C$18*ASSUMPTIONS!$C$21-ASSUMPTIONS!$C$18*ASSUMPTIONS!$C$22)*(1+H470)^5*(1+K470)/(I470-K470)/(1+I470)^5)-DCF!$C$12)/ASSUMPTIONS!$C$7</f>
        <v/>
      </c>
    </row>
    <row r="471">
      <c r="H471" s="83">
        <f>_xlfn.NORM.INV(RAND(),AVERAGE(ASSUMPTIONS!$C$38,ASSUMPTIONS!$C$39,ASSUMPTIONS!$C$40,ASSUMPTIONS!$C$41,ASSUMPTIONS!$C$42),ASSUMPTIONS!$C$68)</f>
        <v/>
      </c>
      <c r="I471" s="83">
        <f>MAX(_xlfn.NORM.INV(RAND(),DCF!$C$11,ASSUMPTIONS!$C$69),K471+0.005)</f>
        <v/>
      </c>
      <c r="J471" s="83">
        <f>_xlfn.NORM.INV(RAND(),ASSUMPTIONS!$C$19,ASSUMPTIONS!$C$70)</f>
        <v/>
      </c>
      <c r="K471" s="83">
        <f>_xlfn.NORM.INV(RAND(),ASSUMPTIONS!$C$43,ASSUMPTIONS!$C$71)</f>
        <v/>
      </c>
      <c r="L471" s="84">
        <f>(((ASSUMPTIONS!$C$18*J471*(1-ASSUMPTIONS!$C$20)+ASSUMPTIONS!$C$18*ASSUMPTIONS!$C$21-ASSUMPTIONS!$C$18*ASSUMPTIONS!$C$22)*(1+H471)*(1-((1+H471)/(1+I471))^5)/(I471-H471))+((ASSUMPTIONS!$C$18*J471*(1-ASSUMPTIONS!$C$20)+ASSUMPTIONS!$C$18*ASSUMPTIONS!$C$21-ASSUMPTIONS!$C$18*ASSUMPTIONS!$C$22)*(1+H471)^5*(1+K471)/(I471-K471)/(1+I471)^5)-DCF!$C$12)/ASSUMPTIONS!$C$7</f>
        <v/>
      </c>
    </row>
    <row r="472">
      <c r="H472" s="83">
        <f>_xlfn.NORM.INV(RAND(),AVERAGE(ASSUMPTIONS!$C$38,ASSUMPTIONS!$C$39,ASSUMPTIONS!$C$40,ASSUMPTIONS!$C$41,ASSUMPTIONS!$C$42),ASSUMPTIONS!$C$68)</f>
        <v/>
      </c>
      <c r="I472" s="83">
        <f>MAX(_xlfn.NORM.INV(RAND(),DCF!$C$11,ASSUMPTIONS!$C$69),K472+0.005)</f>
        <v/>
      </c>
      <c r="J472" s="83">
        <f>_xlfn.NORM.INV(RAND(),ASSUMPTIONS!$C$19,ASSUMPTIONS!$C$70)</f>
        <v/>
      </c>
      <c r="K472" s="83">
        <f>_xlfn.NORM.INV(RAND(),ASSUMPTIONS!$C$43,ASSUMPTIONS!$C$71)</f>
        <v/>
      </c>
      <c r="L472" s="84">
        <f>(((ASSUMPTIONS!$C$18*J472*(1-ASSUMPTIONS!$C$20)+ASSUMPTIONS!$C$18*ASSUMPTIONS!$C$21-ASSUMPTIONS!$C$18*ASSUMPTIONS!$C$22)*(1+H472)*(1-((1+H472)/(1+I472))^5)/(I472-H472))+((ASSUMPTIONS!$C$18*J472*(1-ASSUMPTIONS!$C$20)+ASSUMPTIONS!$C$18*ASSUMPTIONS!$C$21-ASSUMPTIONS!$C$18*ASSUMPTIONS!$C$22)*(1+H472)^5*(1+K472)/(I472-K472)/(1+I472)^5)-DCF!$C$12)/ASSUMPTIONS!$C$7</f>
        <v/>
      </c>
    </row>
    <row r="473">
      <c r="H473" s="83">
        <f>_xlfn.NORM.INV(RAND(),AVERAGE(ASSUMPTIONS!$C$38,ASSUMPTIONS!$C$39,ASSUMPTIONS!$C$40,ASSUMPTIONS!$C$41,ASSUMPTIONS!$C$42),ASSUMPTIONS!$C$68)</f>
        <v/>
      </c>
      <c r="I473" s="83">
        <f>MAX(_xlfn.NORM.INV(RAND(),DCF!$C$11,ASSUMPTIONS!$C$69),K473+0.005)</f>
        <v/>
      </c>
      <c r="J473" s="83">
        <f>_xlfn.NORM.INV(RAND(),ASSUMPTIONS!$C$19,ASSUMPTIONS!$C$70)</f>
        <v/>
      </c>
      <c r="K473" s="83">
        <f>_xlfn.NORM.INV(RAND(),ASSUMPTIONS!$C$43,ASSUMPTIONS!$C$71)</f>
        <v/>
      </c>
      <c r="L473" s="84">
        <f>(((ASSUMPTIONS!$C$18*J473*(1-ASSUMPTIONS!$C$20)+ASSUMPTIONS!$C$18*ASSUMPTIONS!$C$21-ASSUMPTIONS!$C$18*ASSUMPTIONS!$C$22)*(1+H473)*(1-((1+H473)/(1+I473))^5)/(I473-H473))+((ASSUMPTIONS!$C$18*J473*(1-ASSUMPTIONS!$C$20)+ASSUMPTIONS!$C$18*ASSUMPTIONS!$C$21-ASSUMPTIONS!$C$18*ASSUMPTIONS!$C$22)*(1+H473)^5*(1+K473)/(I473-K473)/(1+I473)^5)-DCF!$C$12)/ASSUMPTIONS!$C$7</f>
        <v/>
      </c>
    </row>
    <row r="474">
      <c r="H474" s="83">
        <f>_xlfn.NORM.INV(RAND(),AVERAGE(ASSUMPTIONS!$C$38,ASSUMPTIONS!$C$39,ASSUMPTIONS!$C$40,ASSUMPTIONS!$C$41,ASSUMPTIONS!$C$42),ASSUMPTIONS!$C$68)</f>
        <v/>
      </c>
      <c r="I474" s="83">
        <f>MAX(_xlfn.NORM.INV(RAND(),DCF!$C$11,ASSUMPTIONS!$C$69),K474+0.005)</f>
        <v/>
      </c>
      <c r="J474" s="83">
        <f>_xlfn.NORM.INV(RAND(),ASSUMPTIONS!$C$19,ASSUMPTIONS!$C$70)</f>
        <v/>
      </c>
      <c r="K474" s="83">
        <f>_xlfn.NORM.INV(RAND(),ASSUMPTIONS!$C$43,ASSUMPTIONS!$C$71)</f>
        <v/>
      </c>
      <c r="L474" s="84">
        <f>(((ASSUMPTIONS!$C$18*J474*(1-ASSUMPTIONS!$C$20)+ASSUMPTIONS!$C$18*ASSUMPTIONS!$C$21-ASSUMPTIONS!$C$18*ASSUMPTIONS!$C$22)*(1+H474)*(1-((1+H474)/(1+I474))^5)/(I474-H474))+((ASSUMPTIONS!$C$18*J474*(1-ASSUMPTIONS!$C$20)+ASSUMPTIONS!$C$18*ASSUMPTIONS!$C$21-ASSUMPTIONS!$C$18*ASSUMPTIONS!$C$22)*(1+H474)^5*(1+K474)/(I474-K474)/(1+I474)^5)-DCF!$C$12)/ASSUMPTIONS!$C$7</f>
        <v/>
      </c>
    </row>
    <row r="475">
      <c r="H475" s="83">
        <f>_xlfn.NORM.INV(RAND(),AVERAGE(ASSUMPTIONS!$C$38,ASSUMPTIONS!$C$39,ASSUMPTIONS!$C$40,ASSUMPTIONS!$C$41,ASSUMPTIONS!$C$42),ASSUMPTIONS!$C$68)</f>
        <v/>
      </c>
      <c r="I475" s="83">
        <f>MAX(_xlfn.NORM.INV(RAND(),DCF!$C$11,ASSUMPTIONS!$C$69),K475+0.005)</f>
        <v/>
      </c>
      <c r="J475" s="83">
        <f>_xlfn.NORM.INV(RAND(),ASSUMPTIONS!$C$19,ASSUMPTIONS!$C$70)</f>
        <v/>
      </c>
      <c r="K475" s="83">
        <f>_xlfn.NORM.INV(RAND(),ASSUMPTIONS!$C$43,ASSUMPTIONS!$C$71)</f>
        <v/>
      </c>
      <c r="L475" s="84">
        <f>(((ASSUMPTIONS!$C$18*J475*(1-ASSUMPTIONS!$C$20)+ASSUMPTIONS!$C$18*ASSUMPTIONS!$C$21-ASSUMPTIONS!$C$18*ASSUMPTIONS!$C$22)*(1+H475)*(1-((1+H475)/(1+I475))^5)/(I475-H475))+((ASSUMPTIONS!$C$18*J475*(1-ASSUMPTIONS!$C$20)+ASSUMPTIONS!$C$18*ASSUMPTIONS!$C$21-ASSUMPTIONS!$C$18*ASSUMPTIONS!$C$22)*(1+H475)^5*(1+K475)/(I475-K475)/(1+I475)^5)-DCF!$C$12)/ASSUMPTIONS!$C$7</f>
        <v/>
      </c>
    </row>
    <row r="476">
      <c r="H476" s="83">
        <f>_xlfn.NORM.INV(RAND(),AVERAGE(ASSUMPTIONS!$C$38,ASSUMPTIONS!$C$39,ASSUMPTIONS!$C$40,ASSUMPTIONS!$C$41,ASSUMPTIONS!$C$42),ASSUMPTIONS!$C$68)</f>
        <v/>
      </c>
      <c r="I476" s="83">
        <f>MAX(_xlfn.NORM.INV(RAND(),DCF!$C$11,ASSUMPTIONS!$C$69),K476+0.005)</f>
        <v/>
      </c>
      <c r="J476" s="83">
        <f>_xlfn.NORM.INV(RAND(),ASSUMPTIONS!$C$19,ASSUMPTIONS!$C$70)</f>
        <v/>
      </c>
      <c r="K476" s="83">
        <f>_xlfn.NORM.INV(RAND(),ASSUMPTIONS!$C$43,ASSUMPTIONS!$C$71)</f>
        <v/>
      </c>
      <c r="L476" s="84">
        <f>(((ASSUMPTIONS!$C$18*J476*(1-ASSUMPTIONS!$C$20)+ASSUMPTIONS!$C$18*ASSUMPTIONS!$C$21-ASSUMPTIONS!$C$18*ASSUMPTIONS!$C$22)*(1+H476)*(1-((1+H476)/(1+I476))^5)/(I476-H476))+((ASSUMPTIONS!$C$18*J476*(1-ASSUMPTIONS!$C$20)+ASSUMPTIONS!$C$18*ASSUMPTIONS!$C$21-ASSUMPTIONS!$C$18*ASSUMPTIONS!$C$22)*(1+H476)^5*(1+K476)/(I476-K476)/(1+I476)^5)-DCF!$C$12)/ASSUMPTIONS!$C$7</f>
        <v/>
      </c>
    </row>
    <row r="477">
      <c r="H477" s="83">
        <f>_xlfn.NORM.INV(RAND(),AVERAGE(ASSUMPTIONS!$C$38,ASSUMPTIONS!$C$39,ASSUMPTIONS!$C$40,ASSUMPTIONS!$C$41,ASSUMPTIONS!$C$42),ASSUMPTIONS!$C$68)</f>
        <v/>
      </c>
      <c r="I477" s="83">
        <f>MAX(_xlfn.NORM.INV(RAND(),DCF!$C$11,ASSUMPTIONS!$C$69),K477+0.005)</f>
        <v/>
      </c>
      <c r="J477" s="83">
        <f>_xlfn.NORM.INV(RAND(),ASSUMPTIONS!$C$19,ASSUMPTIONS!$C$70)</f>
        <v/>
      </c>
      <c r="K477" s="83">
        <f>_xlfn.NORM.INV(RAND(),ASSUMPTIONS!$C$43,ASSUMPTIONS!$C$71)</f>
        <v/>
      </c>
      <c r="L477" s="84">
        <f>(((ASSUMPTIONS!$C$18*J477*(1-ASSUMPTIONS!$C$20)+ASSUMPTIONS!$C$18*ASSUMPTIONS!$C$21-ASSUMPTIONS!$C$18*ASSUMPTIONS!$C$22)*(1+H477)*(1-((1+H477)/(1+I477))^5)/(I477-H477))+((ASSUMPTIONS!$C$18*J477*(1-ASSUMPTIONS!$C$20)+ASSUMPTIONS!$C$18*ASSUMPTIONS!$C$21-ASSUMPTIONS!$C$18*ASSUMPTIONS!$C$22)*(1+H477)^5*(1+K477)/(I477-K477)/(1+I477)^5)-DCF!$C$12)/ASSUMPTIONS!$C$7</f>
        <v/>
      </c>
    </row>
    <row r="478">
      <c r="H478" s="83">
        <f>_xlfn.NORM.INV(RAND(),AVERAGE(ASSUMPTIONS!$C$38,ASSUMPTIONS!$C$39,ASSUMPTIONS!$C$40,ASSUMPTIONS!$C$41,ASSUMPTIONS!$C$42),ASSUMPTIONS!$C$68)</f>
        <v/>
      </c>
      <c r="I478" s="83">
        <f>MAX(_xlfn.NORM.INV(RAND(),DCF!$C$11,ASSUMPTIONS!$C$69),K478+0.005)</f>
        <v/>
      </c>
      <c r="J478" s="83">
        <f>_xlfn.NORM.INV(RAND(),ASSUMPTIONS!$C$19,ASSUMPTIONS!$C$70)</f>
        <v/>
      </c>
      <c r="K478" s="83">
        <f>_xlfn.NORM.INV(RAND(),ASSUMPTIONS!$C$43,ASSUMPTIONS!$C$71)</f>
        <v/>
      </c>
      <c r="L478" s="84">
        <f>(((ASSUMPTIONS!$C$18*J478*(1-ASSUMPTIONS!$C$20)+ASSUMPTIONS!$C$18*ASSUMPTIONS!$C$21-ASSUMPTIONS!$C$18*ASSUMPTIONS!$C$22)*(1+H478)*(1-((1+H478)/(1+I478))^5)/(I478-H478))+((ASSUMPTIONS!$C$18*J478*(1-ASSUMPTIONS!$C$20)+ASSUMPTIONS!$C$18*ASSUMPTIONS!$C$21-ASSUMPTIONS!$C$18*ASSUMPTIONS!$C$22)*(1+H478)^5*(1+K478)/(I478-K478)/(1+I478)^5)-DCF!$C$12)/ASSUMPTIONS!$C$7</f>
        <v/>
      </c>
    </row>
    <row r="479">
      <c r="H479" s="83">
        <f>_xlfn.NORM.INV(RAND(),AVERAGE(ASSUMPTIONS!$C$38,ASSUMPTIONS!$C$39,ASSUMPTIONS!$C$40,ASSUMPTIONS!$C$41,ASSUMPTIONS!$C$42),ASSUMPTIONS!$C$68)</f>
        <v/>
      </c>
      <c r="I479" s="83">
        <f>MAX(_xlfn.NORM.INV(RAND(),DCF!$C$11,ASSUMPTIONS!$C$69),K479+0.005)</f>
        <v/>
      </c>
      <c r="J479" s="83">
        <f>_xlfn.NORM.INV(RAND(),ASSUMPTIONS!$C$19,ASSUMPTIONS!$C$70)</f>
        <v/>
      </c>
      <c r="K479" s="83">
        <f>_xlfn.NORM.INV(RAND(),ASSUMPTIONS!$C$43,ASSUMPTIONS!$C$71)</f>
        <v/>
      </c>
      <c r="L479" s="84">
        <f>(((ASSUMPTIONS!$C$18*J479*(1-ASSUMPTIONS!$C$20)+ASSUMPTIONS!$C$18*ASSUMPTIONS!$C$21-ASSUMPTIONS!$C$18*ASSUMPTIONS!$C$22)*(1+H479)*(1-((1+H479)/(1+I479))^5)/(I479-H479))+((ASSUMPTIONS!$C$18*J479*(1-ASSUMPTIONS!$C$20)+ASSUMPTIONS!$C$18*ASSUMPTIONS!$C$21-ASSUMPTIONS!$C$18*ASSUMPTIONS!$C$22)*(1+H479)^5*(1+K479)/(I479-K479)/(1+I479)^5)-DCF!$C$12)/ASSUMPTIONS!$C$7</f>
        <v/>
      </c>
    </row>
    <row r="480">
      <c r="H480" s="83">
        <f>_xlfn.NORM.INV(RAND(),AVERAGE(ASSUMPTIONS!$C$38,ASSUMPTIONS!$C$39,ASSUMPTIONS!$C$40,ASSUMPTIONS!$C$41,ASSUMPTIONS!$C$42),ASSUMPTIONS!$C$68)</f>
        <v/>
      </c>
      <c r="I480" s="83">
        <f>MAX(_xlfn.NORM.INV(RAND(),DCF!$C$11,ASSUMPTIONS!$C$69),K480+0.005)</f>
        <v/>
      </c>
      <c r="J480" s="83">
        <f>_xlfn.NORM.INV(RAND(),ASSUMPTIONS!$C$19,ASSUMPTIONS!$C$70)</f>
        <v/>
      </c>
      <c r="K480" s="83">
        <f>_xlfn.NORM.INV(RAND(),ASSUMPTIONS!$C$43,ASSUMPTIONS!$C$71)</f>
        <v/>
      </c>
      <c r="L480" s="84">
        <f>(((ASSUMPTIONS!$C$18*J480*(1-ASSUMPTIONS!$C$20)+ASSUMPTIONS!$C$18*ASSUMPTIONS!$C$21-ASSUMPTIONS!$C$18*ASSUMPTIONS!$C$22)*(1+H480)*(1-((1+H480)/(1+I480))^5)/(I480-H480))+((ASSUMPTIONS!$C$18*J480*(1-ASSUMPTIONS!$C$20)+ASSUMPTIONS!$C$18*ASSUMPTIONS!$C$21-ASSUMPTIONS!$C$18*ASSUMPTIONS!$C$22)*(1+H480)^5*(1+K480)/(I480-K480)/(1+I480)^5)-DCF!$C$12)/ASSUMPTIONS!$C$7</f>
        <v/>
      </c>
    </row>
    <row r="481">
      <c r="H481" s="83">
        <f>_xlfn.NORM.INV(RAND(),AVERAGE(ASSUMPTIONS!$C$38,ASSUMPTIONS!$C$39,ASSUMPTIONS!$C$40,ASSUMPTIONS!$C$41,ASSUMPTIONS!$C$42),ASSUMPTIONS!$C$68)</f>
        <v/>
      </c>
      <c r="I481" s="83">
        <f>MAX(_xlfn.NORM.INV(RAND(),DCF!$C$11,ASSUMPTIONS!$C$69),K481+0.005)</f>
        <v/>
      </c>
      <c r="J481" s="83">
        <f>_xlfn.NORM.INV(RAND(),ASSUMPTIONS!$C$19,ASSUMPTIONS!$C$70)</f>
        <v/>
      </c>
      <c r="K481" s="83">
        <f>_xlfn.NORM.INV(RAND(),ASSUMPTIONS!$C$43,ASSUMPTIONS!$C$71)</f>
        <v/>
      </c>
      <c r="L481" s="84">
        <f>(((ASSUMPTIONS!$C$18*J481*(1-ASSUMPTIONS!$C$20)+ASSUMPTIONS!$C$18*ASSUMPTIONS!$C$21-ASSUMPTIONS!$C$18*ASSUMPTIONS!$C$22)*(1+H481)*(1-((1+H481)/(1+I481))^5)/(I481-H481))+((ASSUMPTIONS!$C$18*J481*(1-ASSUMPTIONS!$C$20)+ASSUMPTIONS!$C$18*ASSUMPTIONS!$C$21-ASSUMPTIONS!$C$18*ASSUMPTIONS!$C$22)*(1+H481)^5*(1+K481)/(I481-K481)/(1+I481)^5)-DCF!$C$12)/ASSUMPTIONS!$C$7</f>
        <v/>
      </c>
    </row>
    <row r="482">
      <c r="H482" s="83">
        <f>_xlfn.NORM.INV(RAND(),AVERAGE(ASSUMPTIONS!$C$38,ASSUMPTIONS!$C$39,ASSUMPTIONS!$C$40,ASSUMPTIONS!$C$41,ASSUMPTIONS!$C$42),ASSUMPTIONS!$C$68)</f>
        <v/>
      </c>
      <c r="I482" s="83">
        <f>MAX(_xlfn.NORM.INV(RAND(),DCF!$C$11,ASSUMPTIONS!$C$69),K482+0.005)</f>
        <v/>
      </c>
      <c r="J482" s="83">
        <f>_xlfn.NORM.INV(RAND(),ASSUMPTIONS!$C$19,ASSUMPTIONS!$C$70)</f>
        <v/>
      </c>
      <c r="K482" s="83">
        <f>_xlfn.NORM.INV(RAND(),ASSUMPTIONS!$C$43,ASSUMPTIONS!$C$71)</f>
        <v/>
      </c>
      <c r="L482" s="84">
        <f>(((ASSUMPTIONS!$C$18*J482*(1-ASSUMPTIONS!$C$20)+ASSUMPTIONS!$C$18*ASSUMPTIONS!$C$21-ASSUMPTIONS!$C$18*ASSUMPTIONS!$C$22)*(1+H482)*(1-((1+H482)/(1+I482))^5)/(I482-H482))+((ASSUMPTIONS!$C$18*J482*(1-ASSUMPTIONS!$C$20)+ASSUMPTIONS!$C$18*ASSUMPTIONS!$C$21-ASSUMPTIONS!$C$18*ASSUMPTIONS!$C$22)*(1+H482)^5*(1+K482)/(I482-K482)/(1+I482)^5)-DCF!$C$12)/ASSUMPTIONS!$C$7</f>
        <v/>
      </c>
    </row>
    <row r="483">
      <c r="H483" s="83">
        <f>_xlfn.NORM.INV(RAND(),AVERAGE(ASSUMPTIONS!$C$38,ASSUMPTIONS!$C$39,ASSUMPTIONS!$C$40,ASSUMPTIONS!$C$41,ASSUMPTIONS!$C$42),ASSUMPTIONS!$C$68)</f>
        <v/>
      </c>
      <c r="I483" s="83">
        <f>MAX(_xlfn.NORM.INV(RAND(),DCF!$C$11,ASSUMPTIONS!$C$69),K483+0.005)</f>
        <v/>
      </c>
      <c r="J483" s="83">
        <f>_xlfn.NORM.INV(RAND(),ASSUMPTIONS!$C$19,ASSUMPTIONS!$C$70)</f>
        <v/>
      </c>
      <c r="K483" s="83">
        <f>_xlfn.NORM.INV(RAND(),ASSUMPTIONS!$C$43,ASSUMPTIONS!$C$71)</f>
        <v/>
      </c>
      <c r="L483" s="84">
        <f>(((ASSUMPTIONS!$C$18*J483*(1-ASSUMPTIONS!$C$20)+ASSUMPTIONS!$C$18*ASSUMPTIONS!$C$21-ASSUMPTIONS!$C$18*ASSUMPTIONS!$C$22)*(1+H483)*(1-((1+H483)/(1+I483))^5)/(I483-H483))+((ASSUMPTIONS!$C$18*J483*(1-ASSUMPTIONS!$C$20)+ASSUMPTIONS!$C$18*ASSUMPTIONS!$C$21-ASSUMPTIONS!$C$18*ASSUMPTIONS!$C$22)*(1+H483)^5*(1+K483)/(I483-K483)/(1+I483)^5)-DCF!$C$12)/ASSUMPTIONS!$C$7</f>
        <v/>
      </c>
    </row>
    <row r="484">
      <c r="H484" s="83">
        <f>_xlfn.NORM.INV(RAND(),AVERAGE(ASSUMPTIONS!$C$38,ASSUMPTIONS!$C$39,ASSUMPTIONS!$C$40,ASSUMPTIONS!$C$41,ASSUMPTIONS!$C$42),ASSUMPTIONS!$C$68)</f>
        <v/>
      </c>
      <c r="I484" s="83">
        <f>MAX(_xlfn.NORM.INV(RAND(),DCF!$C$11,ASSUMPTIONS!$C$69),K484+0.005)</f>
        <v/>
      </c>
      <c r="J484" s="83">
        <f>_xlfn.NORM.INV(RAND(),ASSUMPTIONS!$C$19,ASSUMPTIONS!$C$70)</f>
        <v/>
      </c>
      <c r="K484" s="83">
        <f>_xlfn.NORM.INV(RAND(),ASSUMPTIONS!$C$43,ASSUMPTIONS!$C$71)</f>
        <v/>
      </c>
      <c r="L484" s="84">
        <f>(((ASSUMPTIONS!$C$18*J484*(1-ASSUMPTIONS!$C$20)+ASSUMPTIONS!$C$18*ASSUMPTIONS!$C$21-ASSUMPTIONS!$C$18*ASSUMPTIONS!$C$22)*(1+H484)*(1-((1+H484)/(1+I484))^5)/(I484-H484))+((ASSUMPTIONS!$C$18*J484*(1-ASSUMPTIONS!$C$20)+ASSUMPTIONS!$C$18*ASSUMPTIONS!$C$21-ASSUMPTIONS!$C$18*ASSUMPTIONS!$C$22)*(1+H484)^5*(1+K484)/(I484-K484)/(1+I484)^5)-DCF!$C$12)/ASSUMPTIONS!$C$7</f>
        <v/>
      </c>
    </row>
    <row r="485">
      <c r="H485" s="83">
        <f>_xlfn.NORM.INV(RAND(),AVERAGE(ASSUMPTIONS!$C$38,ASSUMPTIONS!$C$39,ASSUMPTIONS!$C$40,ASSUMPTIONS!$C$41,ASSUMPTIONS!$C$42),ASSUMPTIONS!$C$68)</f>
        <v/>
      </c>
      <c r="I485" s="83">
        <f>MAX(_xlfn.NORM.INV(RAND(),DCF!$C$11,ASSUMPTIONS!$C$69),K485+0.005)</f>
        <v/>
      </c>
      <c r="J485" s="83">
        <f>_xlfn.NORM.INV(RAND(),ASSUMPTIONS!$C$19,ASSUMPTIONS!$C$70)</f>
        <v/>
      </c>
      <c r="K485" s="83">
        <f>_xlfn.NORM.INV(RAND(),ASSUMPTIONS!$C$43,ASSUMPTIONS!$C$71)</f>
        <v/>
      </c>
      <c r="L485" s="84">
        <f>(((ASSUMPTIONS!$C$18*J485*(1-ASSUMPTIONS!$C$20)+ASSUMPTIONS!$C$18*ASSUMPTIONS!$C$21-ASSUMPTIONS!$C$18*ASSUMPTIONS!$C$22)*(1+H485)*(1-((1+H485)/(1+I485))^5)/(I485-H485))+((ASSUMPTIONS!$C$18*J485*(1-ASSUMPTIONS!$C$20)+ASSUMPTIONS!$C$18*ASSUMPTIONS!$C$21-ASSUMPTIONS!$C$18*ASSUMPTIONS!$C$22)*(1+H485)^5*(1+K485)/(I485-K485)/(1+I485)^5)-DCF!$C$12)/ASSUMPTIONS!$C$7</f>
        <v/>
      </c>
    </row>
    <row r="486">
      <c r="H486" s="83">
        <f>_xlfn.NORM.INV(RAND(),AVERAGE(ASSUMPTIONS!$C$38,ASSUMPTIONS!$C$39,ASSUMPTIONS!$C$40,ASSUMPTIONS!$C$41,ASSUMPTIONS!$C$42),ASSUMPTIONS!$C$68)</f>
        <v/>
      </c>
      <c r="I486" s="83">
        <f>MAX(_xlfn.NORM.INV(RAND(),DCF!$C$11,ASSUMPTIONS!$C$69),K486+0.005)</f>
        <v/>
      </c>
      <c r="J486" s="83">
        <f>_xlfn.NORM.INV(RAND(),ASSUMPTIONS!$C$19,ASSUMPTIONS!$C$70)</f>
        <v/>
      </c>
      <c r="K486" s="83">
        <f>_xlfn.NORM.INV(RAND(),ASSUMPTIONS!$C$43,ASSUMPTIONS!$C$71)</f>
        <v/>
      </c>
      <c r="L486" s="84">
        <f>(((ASSUMPTIONS!$C$18*J486*(1-ASSUMPTIONS!$C$20)+ASSUMPTIONS!$C$18*ASSUMPTIONS!$C$21-ASSUMPTIONS!$C$18*ASSUMPTIONS!$C$22)*(1+H486)*(1-((1+H486)/(1+I486))^5)/(I486-H486))+((ASSUMPTIONS!$C$18*J486*(1-ASSUMPTIONS!$C$20)+ASSUMPTIONS!$C$18*ASSUMPTIONS!$C$21-ASSUMPTIONS!$C$18*ASSUMPTIONS!$C$22)*(1+H486)^5*(1+K486)/(I486-K486)/(1+I486)^5)-DCF!$C$12)/ASSUMPTIONS!$C$7</f>
        <v/>
      </c>
    </row>
    <row r="487">
      <c r="H487" s="83">
        <f>_xlfn.NORM.INV(RAND(),AVERAGE(ASSUMPTIONS!$C$38,ASSUMPTIONS!$C$39,ASSUMPTIONS!$C$40,ASSUMPTIONS!$C$41,ASSUMPTIONS!$C$42),ASSUMPTIONS!$C$68)</f>
        <v/>
      </c>
      <c r="I487" s="83">
        <f>MAX(_xlfn.NORM.INV(RAND(),DCF!$C$11,ASSUMPTIONS!$C$69),K487+0.005)</f>
        <v/>
      </c>
      <c r="J487" s="83">
        <f>_xlfn.NORM.INV(RAND(),ASSUMPTIONS!$C$19,ASSUMPTIONS!$C$70)</f>
        <v/>
      </c>
      <c r="K487" s="83">
        <f>_xlfn.NORM.INV(RAND(),ASSUMPTIONS!$C$43,ASSUMPTIONS!$C$71)</f>
        <v/>
      </c>
      <c r="L487" s="84">
        <f>(((ASSUMPTIONS!$C$18*J487*(1-ASSUMPTIONS!$C$20)+ASSUMPTIONS!$C$18*ASSUMPTIONS!$C$21-ASSUMPTIONS!$C$18*ASSUMPTIONS!$C$22)*(1+H487)*(1-((1+H487)/(1+I487))^5)/(I487-H487))+((ASSUMPTIONS!$C$18*J487*(1-ASSUMPTIONS!$C$20)+ASSUMPTIONS!$C$18*ASSUMPTIONS!$C$21-ASSUMPTIONS!$C$18*ASSUMPTIONS!$C$22)*(1+H487)^5*(1+K487)/(I487-K487)/(1+I487)^5)-DCF!$C$12)/ASSUMPTIONS!$C$7</f>
        <v/>
      </c>
    </row>
    <row r="488">
      <c r="H488" s="83">
        <f>_xlfn.NORM.INV(RAND(),AVERAGE(ASSUMPTIONS!$C$38,ASSUMPTIONS!$C$39,ASSUMPTIONS!$C$40,ASSUMPTIONS!$C$41,ASSUMPTIONS!$C$42),ASSUMPTIONS!$C$68)</f>
        <v/>
      </c>
      <c r="I488" s="83">
        <f>MAX(_xlfn.NORM.INV(RAND(),DCF!$C$11,ASSUMPTIONS!$C$69),K488+0.005)</f>
        <v/>
      </c>
      <c r="J488" s="83">
        <f>_xlfn.NORM.INV(RAND(),ASSUMPTIONS!$C$19,ASSUMPTIONS!$C$70)</f>
        <v/>
      </c>
      <c r="K488" s="83">
        <f>_xlfn.NORM.INV(RAND(),ASSUMPTIONS!$C$43,ASSUMPTIONS!$C$71)</f>
        <v/>
      </c>
      <c r="L488" s="84">
        <f>(((ASSUMPTIONS!$C$18*J488*(1-ASSUMPTIONS!$C$20)+ASSUMPTIONS!$C$18*ASSUMPTIONS!$C$21-ASSUMPTIONS!$C$18*ASSUMPTIONS!$C$22)*(1+H488)*(1-((1+H488)/(1+I488))^5)/(I488-H488))+((ASSUMPTIONS!$C$18*J488*(1-ASSUMPTIONS!$C$20)+ASSUMPTIONS!$C$18*ASSUMPTIONS!$C$21-ASSUMPTIONS!$C$18*ASSUMPTIONS!$C$22)*(1+H488)^5*(1+K488)/(I488-K488)/(1+I488)^5)-DCF!$C$12)/ASSUMPTIONS!$C$7</f>
        <v/>
      </c>
    </row>
    <row r="489">
      <c r="H489" s="83">
        <f>_xlfn.NORM.INV(RAND(),AVERAGE(ASSUMPTIONS!$C$38,ASSUMPTIONS!$C$39,ASSUMPTIONS!$C$40,ASSUMPTIONS!$C$41,ASSUMPTIONS!$C$42),ASSUMPTIONS!$C$68)</f>
        <v/>
      </c>
      <c r="I489" s="83">
        <f>MAX(_xlfn.NORM.INV(RAND(),DCF!$C$11,ASSUMPTIONS!$C$69),K489+0.005)</f>
        <v/>
      </c>
      <c r="J489" s="83">
        <f>_xlfn.NORM.INV(RAND(),ASSUMPTIONS!$C$19,ASSUMPTIONS!$C$70)</f>
        <v/>
      </c>
      <c r="K489" s="83">
        <f>_xlfn.NORM.INV(RAND(),ASSUMPTIONS!$C$43,ASSUMPTIONS!$C$71)</f>
        <v/>
      </c>
      <c r="L489" s="84">
        <f>(((ASSUMPTIONS!$C$18*J489*(1-ASSUMPTIONS!$C$20)+ASSUMPTIONS!$C$18*ASSUMPTIONS!$C$21-ASSUMPTIONS!$C$18*ASSUMPTIONS!$C$22)*(1+H489)*(1-((1+H489)/(1+I489))^5)/(I489-H489))+((ASSUMPTIONS!$C$18*J489*(1-ASSUMPTIONS!$C$20)+ASSUMPTIONS!$C$18*ASSUMPTIONS!$C$21-ASSUMPTIONS!$C$18*ASSUMPTIONS!$C$22)*(1+H489)^5*(1+K489)/(I489-K489)/(1+I489)^5)-DCF!$C$12)/ASSUMPTIONS!$C$7</f>
        <v/>
      </c>
    </row>
    <row r="490">
      <c r="H490" s="83">
        <f>_xlfn.NORM.INV(RAND(),AVERAGE(ASSUMPTIONS!$C$38,ASSUMPTIONS!$C$39,ASSUMPTIONS!$C$40,ASSUMPTIONS!$C$41,ASSUMPTIONS!$C$42),ASSUMPTIONS!$C$68)</f>
        <v/>
      </c>
      <c r="I490" s="83">
        <f>MAX(_xlfn.NORM.INV(RAND(),DCF!$C$11,ASSUMPTIONS!$C$69),K490+0.005)</f>
        <v/>
      </c>
      <c r="J490" s="83">
        <f>_xlfn.NORM.INV(RAND(),ASSUMPTIONS!$C$19,ASSUMPTIONS!$C$70)</f>
        <v/>
      </c>
      <c r="K490" s="83">
        <f>_xlfn.NORM.INV(RAND(),ASSUMPTIONS!$C$43,ASSUMPTIONS!$C$71)</f>
        <v/>
      </c>
      <c r="L490" s="84">
        <f>(((ASSUMPTIONS!$C$18*J490*(1-ASSUMPTIONS!$C$20)+ASSUMPTIONS!$C$18*ASSUMPTIONS!$C$21-ASSUMPTIONS!$C$18*ASSUMPTIONS!$C$22)*(1+H490)*(1-((1+H490)/(1+I490))^5)/(I490-H490))+((ASSUMPTIONS!$C$18*J490*(1-ASSUMPTIONS!$C$20)+ASSUMPTIONS!$C$18*ASSUMPTIONS!$C$21-ASSUMPTIONS!$C$18*ASSUMPTIONS!$C$22)*(1+H490)^5*(1+K490)/(I490-K490)/(1+I490)^5)-DCF!$C$12)/ASSUMPTIONS!$C$7</f>
        <v/>
      </c>
    </row>
    <row r="491">
      <c r="H491" s="83">
        <f>_xlfn.NORM.INV(RAND(),AVERAGE(ASSUMPTIONS!$C$38,ASSUMPTIONS!$C$39,ASSUMPTIONS!$C$40,ASSUMPTIONS!$C$41,ASSUMPTIONS!$C$42),ASSUMPTIONS!$C$68)</f>
        <v/>
      </c>
      <c r="I491" s="83">
        <f>MAX(_xlfn.NORM.INV(RAND(),DCF!$C$11,ASSUMPTIONS!$C$69),K491+0.005)</f>
        <v/>
      </c>
      <c r="J491" s="83">
        <f>_xlfn.NORM.INV(RAND(),ASSUMPTIONS!$C$19,ASSUMPTIONS!$C$70)</f>
        <v/>
      </c>
      <c r="K491" s="83">
        <f>_xlfn.NORM.INV(RAND(),ASSUMPTIONS!$C$43,ASSUMPTIONS!$C$71)</f>
        <v/>
      </c>
      <c r="L491" s="84">
        <f>(((ASSUMPTIONS!$C$18*J491*(1-ASSUMPTIONS!$C$20)+ASSUMPTIONS!$C$18*ASSUMPTIONS!$C$21-ASSUMPTIONS!$C$18*ASSUMPTIONS!$C$22)*(1+H491)*(1-((1+H491)/(1+I491))^5)/(I491-H491))+((ASSUMPTIONS!$C$18*J491*(1-ASSUMPTIONS!$C$20)+ASSUMPTIONS!$C$18*ASSUMPTIONS!$C$21-ASSUMPTIONS!$C$18*ASSUMPTIONS!$C$22)*(1+H491)^5*(1+K491)/(I491-K491)/(1+I491)^5)-DCF!$C$12)/ASSUMPTIONS!$C$7</f>
        <v/>
      </c>
    </row>
    <row r="492">
      <c r="H492" s="83">
        <f>_xlfn.NORM.INV(RAND(),AVERAGE(ASSUMPTIONS!$C$38,ASSUMPTIONS!$C$39,ASSUMPTIONS!$C$40,ASSUMPTIONS!$C$41,ASSUMPTIONS!$C$42),ASSUMPTIONS!$C$68)</f>
        <v/>
      </c>
      <c r="I492" s="83">
        <f>MAX(_xlfn.NORM.INV(RAND(),DCF!$C$11,ASSUMPTIONS!$C$69),K492+0.005)</f>
        <v/>
      </c>
      <c r="J492" s="83">
        <f>_xlfn.NORM.INV(RAND(),ASSUMPTIONS!$C$19,ASSUMPTIONS!$C$70)</f>
        <v/>
      </c>
      <c r="K492" s="83">
        <f>_xlfn.NORM.INV(RAND(),ASSUMPTIONS!$C$43,ASSUMPTIONS!$C$71)</f>
        <v/>
      </c>
      <c r="L492" s="84">
        <f>(((ASSUMPTIONS!$C$18*J492*(1-ASSUMPTIONS!$C$20)+ASSUMPTIONS!$C$18*ASSUMPTIONS!$C$21-ASSUMPTIONS!$C$18*ASSUMPTIONS!$C$22)*(1+H492)*(1-((1+H492)/(1+I492))^5)/(I492-H492))+((ASSUMPTIONS!$C$18*J492*(1-ASSUMPTIONS!$C$20)+ASSUMPTIONS!$C$18*ASSUMPTIONS!$C$21-ASSUMPTIONS!$C$18*ASSUMPTIONS!$C$22)*(1+H492)^5*(1+K492)/(I492-K492)/(1+I492)^5)-DCF!$C$12)/ASSUMPTIONS!$C$7</f>
        <v/>
      </c>
    </row>
    <row r="493">
      <c r="H493" s="83">
        <f>_xlfn.NORM.INV(RAND(),AVERAGE(ASSUMPTIONS!$C$38,ASSUMPTIONS!$C$39,ASSUMPTIONS!$C$40,ASSUMPTIONS!$C$41,ASSUMPTIONS!$C$42),ASSUMPTIONS!$C$68)</f>
        <v/>
      </c>
      <c r="I493" s="83">
        <f>MAX(_xlfn.NORM.INV(RAND(),DCF!$C$11,ASSUMPTIONS!$C$69),K493+0.005)</f>
        <v/>
      </c>
      <c r="J493" s="83">
        <f>_xlfn.NORM.INV(RAND(),ASSUMPTIONS!$C$19,ASSUMPTIONS!$C$70)</f>
        <v/>
      </c>
      <c r="K493" s="83">
        <f>_xlfn.NORM.INV(RAND(),ASSUMPTIONS!$C$43,ASSUMPTIONS!$C$71)</f>
        <v/>
      </c>
      <c r="L493" s="84">
        <f>(((ASSUMPTIONS!$C$18*J493*(1-ASSUMPTIONS!$C$20)+ASSUMPTIONS!$C$18*ASSUMPTIONS!$C$21-ASSUMPTIONS!$C$18*ASSUMPTIONS!$C$22)*(1+H493)*(1-((1+H493)/(1+I493))^5)/(I493-H493))+((ASSUMPTIONS!$C$18*J493*(1-ASSUMPTIONS!$C$20)+ASSUMPTIONS!$C$18*ASSUMPTIONS!$C$21-ASSUMPTIONS!$C$18*ASSUMPTIONS!$C$22)*(1+H493)^5*(1+K493)/(I493-K493)/(1+I493)^5)-DCF!$C$12)/ASSUMPTIONS!$C$7</f>
        <v/>
      </c>
    </row>
    <row r="494">
      <c r="H494" s="83">
        <f>_xlfn.NORM.INV(RAND(),AVERAGE(ASSUMPTIONS!$C$38,ASSUMPTIONS!$C$39,ASSUMPTIONS!$C$40,ASSUMPTIONS!$C$41,ASSUMPTIONS!$C$42),ASSUMPTIONS!$C$68)</f>
        <v/>
      </c>
      <c r="I494" s="83">
        <f>MAX(_xlfn.NORM.INV(RAND(),DCF!$C$11,ASSUMPTIONS!$C$69),K494+0.005)</f>
        <v/>
      </c>
      <c r="J494" s="83">
        <f>_xlfn.NORM.INV(RAND(),ASSUMPTIONS!$C$19,ASSUMPTIONS!$C$70)</f>
        <v/>
      </c>
      <c r="K494" s="83">
        <f>_xlfn.NORM.INV(RAND(),ASSUMPTIONS!$C$43,ASSUMPTIONS!$C$71)</f>
        <v/>
      </c>
      <c r="L494" s="84">
        <f>(((ASSUMPTIONS!$C$18*J494*(1-ASSUMPTIONS!$C$20)+ASSUMPTIONS!$C$18*ASSUMPTIONS!$C$21-ASSUMPTIONS!$C$18*ASSUMPTIONS!$C$22)*(1+H494)*(1-((1+H494)/(1+I494))^5)/(I494-H494))+((ASSUMPTIONS!$C$18*J494*(1-ASSUMPTIONS!$C$20)+ASSUMPTIONS!$C$18*ASSUMPTIONS!$C$21-ASSUMPTIONS!$C$18*ASSUMPTIONS!$C$22)*(1+H494)^5*(1+K494)/(I494-K494)/(1+I494)^5)-DCF!$C$12)/ASSUMPTIONS!$C$7</f>
        <v/>
      </c>
    </row>
    <row r="495">
      <c r="H495" s="83">
        <f>_xlfn.NORM.INV(RAND(),AVERAGE(ASSUMPTIONS!$C$38,ASSUMPTIONS!$C$39,ASSUMPTIONS!$C$40,ASSUMPTIONS!$C$41,ASSUMPTIONS!$C$42),ASSUMPTIONS!$C$68)</f>
        <v/>
      </c>
      <c r="I495" s="83">
        <f>MAX(_xlfn.NORM.INV(RAND(),DCF!$C$11,ASSUMPTIONS!$C$69),K495+0.005)</f>
        <v/>
      </c>
      <c r="J495" s="83">
        <f>_xlfn.NORM.INV(RAND(),ASSUMPTIONS!$C$19,ASSUMPTIONS!$C$70)</f>
        <v/>
      </c>
      <c r="K495" s="83">
        <f>_xlfn.NORM.INV(RAND(),ASSUMPTIONS!$C$43,ASSUMPTIONS!$C$71)</f>
        <v/>
      </c>
      <c r="L495" s="84">
        <f>(((ASSUMPTIONS!$C$18*J495*(1-ASSUMPTIONS!$C$20)+ASSUMPTIONS!$C$18*ASSUMPTIONS!$C$21-ASSUMPTIONS!$C$18*ASSUMPTIONS!$C$22)*(1+H495)*(1-((1+H495)/(1+I495))^5)/(I495-H495))+((ASSUMPTIONS!$C$18*J495*(1-ASSUMPTIONS!$C$20)+ASSUMPTIONS!$C$18*ASSUMPTIONS!$C$21-ASSUMPTIONS!$C$18*ASSUMPTIONS!$C$22)*(1+H495)^5*(1+K495)/(I495-K495)/(1+I495)^5)-DCF!$C$12)/ASSUMPTIONS!$C$7</f>
        <v/>
      </c>
    </row>
    <row r="496">
      <c r="H496" s="83">
        <f>_xlfn.NORM.INV(RAND(),AVERAGE(ASSUMPTIONS!$C$38,ASSUMPTIONS!$C$39,ASSUMPTIONS!$C$40,ASSUMPTIONS!$C$41,ASSUMPTIONS!$C$42),ASSUMPTIONS!$C$68)</f>
        <v/>
      </c>
      <c r="I496" s="83">
        <f>MAX(_xlfn.NORM.INV(RAND(),DCF!$C$11,ASSUMPTIONS!$C$69),K496+0.005)</f>
        <v/>
      </c>
      <c r="J496" s="83">
        <f>_xlfn.NORM.INV(RAND(),ASSUMPTIONS!$C$19,ASSUMPTIONS!$C$70)</f>
        <v/>
      </c>
      <c r="K496" s="83">
        <f>_xlfn.NORM.INV(RAND(),ASSUMPTIONS!$C$43,ASSUMPTIONS!$C$71)</f>
        <v/>
      </c>
      <c r="L496" s="84">
        <f>(((ASSUMPTIONS!$C$18*J496*(1-ASSUMPTIONS!$C$20)+ASSUMPTIONS!$C$18*ASSUMPTIONS!$C$21-ASSUMPTIONS!$C$18*ASSUMPTIONS!$C$22)*(1+H496)*(1-((1+H496)/(1+I496))^5)/(I496-H496))+((ASSUMPTIONS!$C$18*J496*(1-ASSUMPTIONS!$C$20)+ASSUMPTIONS!$C$18*ASSUMPTIONS!$C$21-ASSUMPTIONS!$C$18*ASSUMPTIONS!$C$22)*(1+H496)^5*(1+K496)/(I496-K496)/(1+I496)^5)-DCF!$C$12)/ASSUMPTIONS!$C$7</f>
        <v/>
      </c>
    </row>
    <row r="497">
      <c r="H497" s="83">
        <f>_xlfn.NORM.INV(RAND(),AVERAGE(ASSUMPTIONS!$C$38,ASSUMPTIONS!$C$39,ASSUMPTIONS!$C$40,ASSUMPTIONS!$C$41,ASSUMPTIONS!$C$42),ASSUMPTIONS!$C$68)</f>
        <v/>
      </c>
      <c r="I497" s="83">
        <f>MAX(_xlfn.NORM.INV(RAND(),DCF!$C$11,ASSUMPTIONS!$C$69),K497+0.005)</f>
        <v/>
      </c>
      <c r="J497" s="83">
        <f>_xlfn.NORM.INV(RAND(),ASSUMPTIONS!$C$19,ASSUMPTIONS!$C$70)</f>
        <v/>
      </c>
      <c r="K497" s="83">
        <f>_xlfn.NORM.INV(RAND(),ASSUMPTIONS!$C$43,ASSUMPTIONS!$C$71)</f>
        <v/>
      </c>
      <c r="L497" s="84">
        <f>(((ASSUMPTIONS!$C$18*J497*(1-ASSUMPTIONS!$C$20)+ASSUMPTIONS!$C$18*ASSUMPTIONS!$C$21-ASSUMPTIONS!$C$18*ASSUMPTIONS!$C$22)*(1+H497)*(1-((1+H497)/(1+I497))^5)/(I497-H497))+((ASSUMPTIONS!$C$18*J497*(1-ASSUMPTIONS!$C$20)+ASSUMPTIONS!$C$18*ASSUMPTIONS!$C$21-ASSUMPTIONS!$C$18*ASSUMPTIONS!$C$22)*(1+H497)^5*(1+K497)/(I497-K497)/(1+I497)^5)-DCF!$C$12)/ASSUMPTIONS!$C$7</f>
        <v/>
      </c>
    </row>
    <row r="498">
      <c r="H498" s="83">
        <f>_xlfn.NORM.INV(RAND(),AVERAGE(ASSUMPTIONS!$C$38,ASSUMPTIONS!$C$39,ASSUMPTIONS!$C$40,ASSUMPTIONS!$C$41,ASSUMPTIONS!$C$42),ASSUMPTIONS!$C$68)</f>
        <v/>
      </c>
      <c r="I498" s="83">
        <f>MAX(_xlfn.NORM.INV(RAND(),DCF!$C$11,ASSUMPTIONS!$C$69),K498+0.005)</f>
        <v/>
      </c>
      <c r="J498" s="83">
        <f>_xlfn.NORM.INV(RAND(),ASSUMPTIONS!$C$19,ASSUMPTIONS!$C$70)</f>
        <v/>
      </c>
      <c r="K498" s="83">
        <f>_xlfn.NORM.INV(RAND(),ASSUMPTIONS!$C$43,ASSUMPTIONS!$C$71)</f>
        <v/>
      </c>
      <c r="L498" s="84">
        <f>(((ASSUMPTIONS!$C$18*J498*(1-ASSUMPTIONS!$C$20)+ASSUMPTIONS!$C$18*ASSUMPTIONS!$C$21-ASSUMPTIONS!$C$18*ASSUMPTIONS!$C$22)*(1+H498)*(1-((1+H498)/(1+I498))^5)/(I498-H498))+((ASSUMPTIONS!$C$18*J498*(1-ASSUMPTIONS!$C$20)+ASSUMPTIONS!$C$18*ASSUMPTIONS!$C$21-ASSUMPTIONS!$C$18*ASSUMPTIONS!$C$22)*(1+H498)^5*(1+K498)/(I498-K498)/(1+I498)^5)-DCF!$C$12)/ASSUMPTIONS!$C$7</f>
        <v/>
      </c>
    </row>
    <row r="499">
      <c r="H499" s="83">
        <f>_xlfn.NORM.INV(RAND(),AVERAGE(ASSUMPTIONS!$C$38,ASSUMPTIONS!$C$39,ASSUMPTIONS!$C$40,ASSUMPTIONS!$C$41,ASSUMPTIONS!$C$42),ASSUMPTIONS!$C$68)</f>
        <v/>
      </c>
      <c r="I499" s="83">
        <f>MAX(_xlfn.NORM.INV(RAND(),DCF!$C$11,ASSUMPTIONS!$C$69),K499+0.005)</f>
        <v/>
      </c>
      <c r="J499" s="83">
        <f>_xlfn.NORM.INV(RAND(),ASSUMPTIONS!$C$19,ASSUMPTIONS!$C$70)</f>
        <v/>
      </c>
      <c r="K499" s="83">
        <f>_xlfn.NORM.INV(RAND(),ASSUMPTIONS!$C$43,ASSUMPTIONS!$C$71)</f>
        <v/>
      </c>
      <c r="L499" s="84">
        <f>(((ASSUMPTIONS!$C$18*J499*(1-ASSUMPTIONS!$C$20)+ASSUMPTIONS!$C$18*ASSUMPTIONS!$C$21-ASSUMPTIONS!$C$18*ASSUMPTIONS!$C$22)*(1+H499)*(1-((1+H499)/(1+I499))^5)/(I499-H499))+((ASSUMPTIONS!$C$18*J499*(1-ASSUMPTIONS!$C$20)+ASSUMPTIONS!$C$18*ASSUMPTIONS!$C$21-ASSUMPTIONS!$C$18*ASSUMPTIONS!$C$22)*(1+H499)^5*(1+K499)/(I499-K499)/(1+I499)^5)-DCF!$C$12)/ASSUMPTIONS!$C$7</f>
        <v/>
      </c>
    </row>
    <row r="500">
      <c r="H500" s="83">
        <f>_xlfn.NORM.INV(RAND(),AVERAGE(ASSUMPTIONS!$C$38,ASSUMPTIONS!$C$39,ASSUMPTIONS!$C$40,ASSUMPTIONS!$C$41,ASSUMPTIONS!$C$42),ASSUMPTIONS!$C$68)</f>
        <v/>
      </c>
      <c r="I500" s="83">
        <f>MAX(_xlfn.NORM.INV(RAND(),DCF!$C$11,ASSUMPTIONS!$C$69),K500+0.005)</f>
        <v/>
      </c>
      <c r="J500" s="83">
        <f>_xlfn.NORM.INV(RAND(),ASSUMPTIONS!$C$19,ASSUMPTIONS!$C$70)</f>
        <v/>
      </c>
      <c r="K500" s="83">
        <f>_xlfn.NORM.INV(RAND(),ASSUMPTIONS!$C$43,ASSUMPTIONS!$C$71)</f>
        <v/>
      </c>
      <c r="L500" s="84">
        <f>(((ASSUMPTIONS!$C$18*J500*(1-ASSUMPTIONS!$C$20)+ASSUMPTIONS!$C$18*ASSUMPTIONS!$C$21-ASSUMPTIONS!$C$18*ASSUMPTIONS!$C$22)*(1+H500)*(1-((1+H500)/(1+I500))^5)/(I500-H500))+((ASSUMPTIONS!$C$18*J500*(1-ASSUMPTIONS!$C$20)+ASSUMPTIONS!$C$18*ASSUMPTIONS!$C$21-ASSUMPTIONS!$C$18*ASSUMPTIONS!$C$22)*(1+H500)^5*(1+K500)/(I500-K500)/(1+I500)^5)-DCF!$C$12)/ASSUMPTIONS!$C$7</f>
        <v/>
      </c>
    </row>
    <row r="501">
      <c r="H501" s="83">
        <f>_xlfn.NORM.INV(RAND(),AVERAGE(ASSUMPTIONS!$C$38,ASSUMPTIONS!$C$39,ASSUMPTIONS!$C$40,ASSUMPTIONS!$C$41,ASSUMPTIONS!$C$42),ASSUMPTIONS!$C$68)</f>
        <v/>
      </c>
      <c r="I501" s="83">
        <f>MAX(_xlfn.NORM.INV(RAND(),DCF!$C$11,ASSUMPTIONS!$C$69),K501+0.005)</f>
        <v/>
      </c>
      <c r="J501" s="83">
        <f>_xlfn.NORM.INV(RAND(),ASSUMPTIONS!$C$19,ASSUMPTIONS!$C$70)</f>
        <v/>
      </c>
      <c r="K501" s="83">
        <f>_xlfn.NORM.INV(RAND(),ASSUMPTIONS!$C$43,ASSUMPTIONS!$C$71)</f>
        <v/>
      </c>
      <c r="L501" s="84">
        <f>(((ASSUMPTIONS!$C$18*J501*(1-ASSUMPTIONS!$C$20)+ASSUMPTIONS!$C$18*ASSUMPTIONS!$C$21-ASSUMPTIONS!$C$18*ASSUMPTIONS!$C$22)*(1+H501)*(1-((1+H501)/(1+I501))^5)/(I501-H501))+((ASSUMPTIONS!$C$18*J501*(1-ASSUMPTIONS!$C$20)+ASSUMPTIONS!$C$18*ASSUMPTIONS!$C$21-ASSUMPTIONS!$C$18*ASSUMPTIONS!$C$22)*(1+H501)^5*(1+K501)/(I501-K501)/(1+I501)^5)-DCF!$C$12)/ASSUMPTIONS!$C$7</f>
        <v/>
      </c>
    </row>
    <row r="502">
      <c r="H502" s="83">
        <f>_xlfn.NORM.INV(RAND(),AVERAGE(ASSUMPTIONS!$C$38,ASSUMPTIONS!$C$39,ASSUMPTIONS!$C$40,ASSUMPTIONS!$C$41,ASSUMPTIONS!$C$42),ASSUMPTIONS!$C$68)</f>
        <v/>
      </c>
      <c r="I502" s="83">
        <f>MAX(_xlfn.NORM.INV(RAND(),DCF!$C$11,ASSUMPTIONS!$C$69),K502+0.005)</f>
        <v/>
      </c>
      <c r="J502" s="83">
        <f>_xlfn.NORM.INV(RAND(),ASSUMPTIONS!$C$19,ASSUMPTIONS!$C$70)</f>
        <v/>
      </c>
      <c r="K502" s="83">
        <f>_xlfn.NORM.INV(RAND(),ASSUMPTIONS!$C$43,ASSUMPTIONS!$C$71)</f>
        <v/>
      </c>
      <c r="L502" s="84">
        <f>(((ASSUMPTIONS!$C$18*J502*(1-ASSUMPTIONS!$C$20)+ASSUMPTIONS!$C$18*ASSUMPTIONS!$C$21-ASSUMPTIONS!$C$18*ASSUMPTIONS!$C$22)*(1+H502)*(1-((1+H502)/(1+I502))^5)/(I502-H502))+((ASSUMPTIONS!$C$18*J502*(1-ASSUMPTIONS!$C$20)+ASSUMPTIONS!$C$18*ASSUMPTIONS!$C$21-ASSUMPTIONS!$C$18*ASSUMPTIONS!$C$22)*(1+H502)^5*(1+K502)/(I502-K502)/(1+I502)^5)-DCF!$C$12)/ASSUMPTIONS!$C$7</f>
        <v/>
      </c>
    </row>
    <row r="503">
      <c r="H503" s="83">
        <f>_xlfn.NORM.INV(RAND(),AVERAGE(ASSUMPTIONS!$C$38,ASSUMPTIONS!$C$39,ASSUMPTIONS!$C$40,ASSUMPTIONS!$C$41,ASSUMPTIONS!$C$42),ASSUMPTIONS!$C$68)</f>
        <v/>
      </c>
      <c r="I503" s="83">
        <f>MAX(_xlfn.NORM.INV(RAND(),DCF!$C$11,ASSUMPTIONS!$C$69),K503+0.005)</f>
        <v/>
      </c>
      <c r="J503" s="83">
        <f>_xlfn.NORM.INV(RAND(),ASSUMPTIONS!$C$19,ASSUMPTIONS!$C$70)</f>
        <v/>
      </c>
      <c r="K503" s="83">
        <f>_xlfn.NORM.INV(RAND(),ASSUMPTIONS!$C$43,ASSUMPTIONS!$C$71)</f>
        <v/>
      </c>
      <c r="L503" s="84">
        <f>(((ASSUMPTIONS!$C$18*J503*(1-ASSUMPTIONS!$C$20)+ASSUMPTIONS!$C$18*ASSUMPTIONS!$C$21-ASSUMPTIONS!$C$18*ASSUMPTIONS!$C$22)*(1+H503)*(1-((1+H503)/(1+I503))^5)/(I503-H503))+((ASSUMPTIONS!$C$18*J503*(1-ASSUMPTIONS!$C$20)+ASSUMPTIONS!$C$18*ASSUMPTIONS!$C$21-ASSUMPTIONS!$C$18*ASSUMPTIONS!$C$22)*(1+H503)^5*(1+K503)/(I503-K503)/(1+I503)^5)-DCF!$C$12)/ASSUMPTIONS!$C$7</f>
        <v/>
      </c>
    </row>
    <row r="504">
      <c r="H504" s="83">
        <f>_xlfn.NORM.INV(RAND(),AVERAGE(ASSUMPTIONS!$C$38,ASSUMPTIONS!$C$39,ASSUMPTIONS!$C$40,ASSUMPTIONS!$C$41,ASSUMPTIONS!$C$42),ASSUMPTIONS!$C$68)</f>
        <v/>
      </c>
      <c r="I504" s="83">
        <f>MAX(_xlfn.NORM.INV(RAND(),DCF!$C$11,ASSUMPTIONS!$C$69),K504+0.005)</f>
        <v/>
      </c>
      <c r="J504" s="83">
        <f>_xlfn.NORM.INV(RAND(),ASSUMPTIONS!$C$19,ASSUMPTIONS!$C$70)</f>
        <v/>
      </c>
      <c r="K504" s="83">
        <f>_xlfn.NORM.INV(RAND(),ASSUMPTIONS!$C$43,ASSUMPTIONS!$C$71)</f>
        <v/>
      </c>
      <c r="L504" s="84">
        <f>(((ASSUMPTIONS!$C$18*J504*(1-ASSUMPTIONS!$C$20)+ASSUMPTIONS!$C$18*ASSUMPTIONS!$C$21-ASSUMPTIONS!$C$18*ASSUMPTIONS!$C$22)*(1+H504)*(1-((1+H504)/(1+I504))^5)/(I504-H504))+((ASSUMPTIONS!$C$18*J504*(1-ASSUMPTIONS!$C$20)+ASSUMPTIONS!$C$18*ASSUMPTIONS!$C$21-ASSUMPTIONS!$C$18*ASSUMPTIONS!$C$22)*(1+H504)^5*(1+K504)/(I504-K504)/(1+I504)^5)-DCF!$C$12)/ASSUMPTIONS!$C$7</f>
        <v/>
      </c>
    </row>
    <row r="505">
      <c r="H505" s="83">
        <f>_xlfn.NORM.INV(RAND(),AVERAGE(ASSUMPTIONS!$C$38,ASSUMPTIONS!$C$39,ASSUMPTIONS!$C$40,ASSUMPTIONS!$C$41,ASSUMPTIONS!$C$42),ASSUMPTIONS!$C$68)</f>
        <v/>
      </c>
      <c r="I505" s="83">
        <f>MAX(_xlfn.NORM.INV(RAND(),DCF!$C$11,ASSUMPTIONS!$C$69),K505+0.005)</f>
        <v/>
      </c>
      <c r="J505" s="83">
        <f>_xlfn.NORM.INV(RAND(),ASSUMPTIONS!$C$19,ASSUMPTIONS!$C$70)</f>
        <v/>
      </c>
      <c r="K505" s="83">
        <f>_xlfn.NORM.INV(RAND(),ASSUMPTIONS!$C$43,ASSUMPTIONS!$C$71)</f>
        <v/>
      </c>
      <c r="L505" s="84">
        <f>(((ASSUMPTIONS!$C$18*J505*(1-ASSUMPTIONS!$C$20)+ASSUMPTIONS!$C$18*ASSUMPTIONS!$C$21-ASSUMPTIONS!$C$18*ASSUMPTIONS!$C$22)*(1+H505)*(1-((1+H505)/(1+I505))^5)/(I505-H505))+((ASSUMPTIONS!$C$18*J505*(1-ASSUMPTIONS!$C$20)+ASSUMPTIONS!$C$18*ASSUMPTIONS!$C$21-ASSUMPTIONS!$C$18*ASSUMPTIONS!$C$22)*(1+H505)^5*(1+K505)/(I505-K505)/(1+I505)^5)-DCF!$C$12)/ASSUMPTIONS!$C$7</f>
        <v/>
      </c>
    </row>
    <row r="506">
      <c r="H506" s="83">
        <f>_xlfn.NORM.INV(RAND(),AVERAGE(ASSUMPTIONS!$C$38,ASSUMPTIONS!$C$39,ASSUMPTIONS!$C$40,ASSUMPTIONS!$C$41,ASSUMPTIONS!$C$42),ASSUMPTIONS!$C$68)</f>
        <v/>
      </c>
      <c r="I506" s="83">
        <f>MAX(_xlfn.NORM.INV(RAND(),DCF!$C$11,ASSUMPTIONS!$C$69),K506+0.005)</f>
        <v/>
      </c>
      <c r="J506" s="83">
        <f>_xlfn.NORM.INV(RAND(),ASSUMPTIONS!$C$19,ASSUMPTIONS!$C$70)</f>
        <v/>
      </c>
      <c r="K506" s="83">
        <f>_xlfn.NORM.INV(RAND(),ASSUMPTIONS!$C$43,ASSUMPTIONS!$C$71)</f>
        <v/>
      </c>
      <c r="L506" s="84">
        <f>(((ASSUMPTIONS!$C$18*J506*(1-ASSUMPTIONS!$C$20)+ASSUMPTIONS!$C$18*ASSUMPTIONS!$C$21-ASSUMPTIONS!$C$18*ASSUMPTIONS!$C$22)*(1+H506)*(1-((1+H506)/(1+I506))^5)/(I506-H506))+((ASSUMPTIONS!$C$18*J506*(1-ASSUMPTIONS!$C$20)+ASSUMPTIONS!$C$18*ASSUMPTIONS!$C$21-ASSUMPTIONS!$C$18*ASSUMPTIONS!$C$22)*(1+H506)^5*(1+K506)/(I506-K506)/(1+I506)^5)-DCF!$C$12)/ASSUMPTIONS!$C$7</f>
        <v/>
      </c>
    </row>
    <row r="507">
      <c r="H507" s="83">
        <f>_xlfn.NORM.INV(RAND(),AVERAGE(ASSUMPTIONS!$C$38,ASSUMPTIONS!$C$39,ASSUMPTIONS!$C$40,ASSUMPTIONS!$C$41,ASSUMPTIONS!$C$42),ASSUMPTIONS!$C$68)</f>
        <v/>
      </c>
      <c r="I507" s="83">
        <f>MAX(_xlfn.NORM.INV(RAND(),DCF!$C$11,ASSUMPTIONS!$C$69),K507+0.005)</f>
        <v/>
      </c>
      <c r="J507" s="83">
        <f>_xlfn.NORM.INV(RAND(),ASSUMPTIONS!$C$19,ASSUMPTIONS!$C$70)</f>
        <v/>
      </c>
      <c r="K507" s="83">
        <f>_xlfn.NORM.INV(RAND(),ASSUMPTIONS!$C$43,ASSUMPTIONS!$C$71)</f>
        <v/>
      </c>
      <c r="L507" s="84">
        <f>(((ASSUMPTIONS!$C$18*J507*(1-ASSUMPTIONS!$C$20)+ASSUMPTIONS!$C$18*ASSUMPTIONS!$C$21-ASSUMPTIONS!$C$18*ASSUMPTIONS!$C$22)*(1+H507)*(1-((1+H507)/(1+I507))^5)/(I507-H507))+((ASSUMPTIONS!$C$18*J507*(1-ASSUMPTIONS!$C$20)+ASSUMPTIONS!$C$18*ASSUMPTIONS!$C$21-ASSUMPTIONS!$C$18*ASSUMPTIONS!$C$22)*(1+H507)^5*(1+K507)/(I507-K507)/(1+I507)^5)-DCF!$C$12)/ASSUMPTIONS!$C$7</f>
        <v/>
      </c>
    </row>
    <row r="508">
      <c r="H508" s="83">
        <f>_xlfn.NORM.INV(RAND(),AVERAGE(ASSUMPTIONS!$C$38,ASSUMPTIONS!$C$39,ASSUMPTIONS!$C$40,ASSUMPTIONS!$C$41,ASSUMPTIONS!$C$42),ASSUMPTIONS!$C$68)</f>
        <v/>
      </c>
      <c r="I508" s="83">
        <f>MAX(_xlfn.NORM.INV(RAND(),DCF!$C$11,ASSUMPTIONS!$C$69),K508+0.005)</f>
        <v/>
      </c>
      <c r="J508" s="83">
        <f>_xlfn.NORM.INV(RAND(),ASSUMPTIONS!$C$19,ASSUMPTIONS!$C$70)</f>
        <v/>
      </c>
      <c r="K508" s="83">
        <f>_xlfn.NORM.INV(RAND(),ASSUMPTIONS!$C$43,ASSUMPTIONS!$C$71)</f>
        <v/>
      </c>
      <c r="L508" s="84">
        <f>(((ASSUMPTIONS!$C$18*J508*(1-ASSUMPTIONS!$C$20)+ASSUMPTIONS!$C$18*ASSUMPTIONS!$C$21-ASSUMPTIONS!$C$18*ASSUMPTIONS!$C$22)*(1+H508)*(1-((1+H508)/(1+I508))^5)/(I508-H508))+((ASSUMPTIONS!$C$18*J508*(1-ASSUMPTIONS!$C$20)+ASSUMPTIONS!$C$18*ASSUMPTIONS!$C$21-ASSUMPTIONS!$C$18*ASSUMPTIONS!$C$22)*(1+H508)^5*(1+K508)/(I508-K508)/(1+I508)^5)-DCF!$C$12)/ASSUMPTIONS!$C$7</f>
        <v/>
      </c>
    </row>
    <row r="509">
      <c r="H509" s="83">
        <f>_xlfn.NORM.INV(RAND(),AVERAGE(ASSUMPTIONS!$C$38,ASSUMPTIONS!$C$39,ASSUMPTIONS!$C$40,ASSUMPTIONS!$C$41,ASSUMPTIONS!$C$42),ASSUMPTIONS!$C$68)</f>
        <v/>
      </c>
      <c r="I509" s="83">
        <f>MAX(_xlfn.NORM.INV(RAND(),DCF!$C$11,ASSUMPTIONS!$C$69),K509+0.005)</f>
        <v/>
      </c>
      <c r="J509" s="83">
        <f>_xlfn.NORM.INV(RAND(),ASSUMPTIONS!$C$19,ASSUMPTIONS!$C$70)</f>
        <v/>
      </c>
      <c r="K509" s="83">
        <f>_xlfn.NORM.INV(RAND(),ASSUMPTIONS!$C$43,ASSUMPTIONS!$C$71)</f>
        <v/>
      </c>
      <c r="L509" s="84">
        <f>(((ASSUMPTIONS!$C$18*J509*(1-ASSUMPTIONS!$C$20)+ASSUMPTIONS!$C$18*ASSUMPTIONS!$C$21-ASSUMPTIONS!$C$18*ASSUMPTIONS!$C$22)*(1+H509)*(1-((1+H509)/(1+I509))^5)/(I509-H509))+((ASSUMPTIONS!$C$18*J509*(1-ASSUMPTIONS!$C$20)+ASSUMPTIONS!$C$18*ASSUMPTIONS!$C$21-ASSUMPTIONS!$C$18*ASSUMPTIONS!$C$22)*(1+H509)^5*(1+K509)/(I509-K509)/(1+I509)^5)-DCF!$C$12)/ASSUMPTIONS!$C$7</f>
        <v/>
      </c>
    </row>
    <row r="510">
      <c r="H510" s="83">
        <f>_xlfn.NORM.INV(RAND(),AVERAGE(ASSUMPTIONS!$C$38,ASSUMPTIONS!$C$39,ASSUMPTIONS!$C$40,ASSUMPTIONS!$C$41,ASSUMPTIONS!$C$42),ASSUMPTIONS!$C$68)</f>
        <v/>
      </c>
      <c r="I510" s="83">
        <f>MAX(_xlfn.NORM.INV(RAND(),DCF!$C$11,ASSUMPTIONS!$C$69),K510+0.005)</f>
        <v/>
      </c>
      <c r="J510" s="83">
        <f>_xlfn.NORM.INV(RAND(),ASSUMPTIONS!$C$19,ASSUMPTIONS!$C$70)</f>
        <v/>
      </c>
      <c r="K510" s="83">
        <f>_xlfn.NORM.INV(RAND(),ASSUMPTIONS!$C$43,ASSUMPTIONS!$C$71)</f>
        <v/>
      </c>
      <c r="L510" s="84">
        <f>(((ASSUMPTIONS!$C$18*J510*(1-ASSUMPTIONS!$C$20)+ASSUMPTIONS!$C$18*ASSUMPTIONS!$C$21-ASSUMPTIONS!$C$18*ASSUMPTIONS!$C$22)*(1+H510)*(1-((1+H510)/(1+I510))^5)/(I510-H510))+((ASSUMPTIONS!$C$18*J510*(1-ASSUMPTIONS!$C$20)+ASSUMPTIONS!$C$18*ASSUMPTIONS!$C$21-ASSUMPTIONS!$C$18*ASSUMPTIONS!$C$22)*(1+H510)^5*(1+K510)/(I510-K510)/(1+I510)^5)-DCF!$C$12)/ASSUMPTIONS!$C$7</f>
        <v/>
      </c>
    </row>
    <row r="511">
      <c r="H511" s="83">
        <f>_xlfn.NORM.INV(RAND(),AVERAGE(ASSUMPTIONS!$C$38,ASSUMPTIONS!$C$39,ASSUMPTIONS!$C$40,ASSUMPTIONS!$C$41,ASSUMPTIONS!$C$42),ASSUMPTIONS!$C$68)</f>
        <v/>
      </c>
      <c r="I511" s="83">
        <f>MAX(_xlfn.NORM.INV(RAND(),DCF!$C$11,ASSUMPTIONS!$C$69),K511+0.005)</f>
        <v/>
      </c>
      <c r="J511" s="83">
        <f>_xlfn.NORM.INV(RAND(),ASSUMPTIONS!$C$19,ASSUMPTIONS!$C$70)</f>
        <v/>
      </c>
      <c r="K511" s="83">
        <f>_xlfn.NORM.INV(RAND(),ASSUMPTIONS!$C$43,ASSUMPTIONS!$C$71)</f>
        <v/>
      </c>
      <c r="L511" s="84">
        <f>(((ASSUMPTIONS!$C$18*J511*(1-ASSUMPTIONS!$C$20)+ASSUMPTIONS!$C$18*ASSUMPTIONS!$C$21-ASSUMPTIONS!$C$18*ASSUMPTIONS!$C$22)*(1+H511)*(1-((1+H511)/(1+I511))^5)/(I511-H511))+((ASSUMPTIONS!$C$18*J511*(1-ASSUMPTIONS!$C$20)+ASSUMPTIONS!$C$18*ASSUMPTIONS!$C$21-ASSUMPTIONS!$C$18*ASSUMPTIONS!$C$22)*(1+H511)^5*(1+K511)/(I511-K511)/(1+I511)^5)-DCF!$C$12)/ASSUMPTIONS!$C$7</f>
        <v/>
      </c>
    </row>
    <row r="512">
      <c r="H512" s="83">
        <f>_xlfn.NORM.INV(RAND(),AVERAGE(ASSUMPTIONS!$C$38,ASSUMPTIONS!$C$39,ASSUMPTIONS!$C$40,ASSUMPTIONS!$C$41,ASSUMPTIONS!$C$42),ASSUMPTIONS!$C$68)</f>
        <v/>
      </c>
      <c r="I512" s="83">
        <f>MAX(_xlfn.NORM.INV(RAND(),DCF!$C$11,ASSUMPTIONS!$C$69),K512+0.005)</f>
        <v/>
      </c>
      <c r="J512" s="83">
        <f>_xlfn.NORM.INV(RAND(),ASSUMPTIONS!$C$19,ASSUMPTIONS!$C$70)</f>
        <v/>
      </c>
      <c r="K512" s="83">
        <f>_xlfn.NORM.INV(RAND(),ASSUMPTIONS!$C$43,ASSUMPTIONS!$C$71)</f>
        <v/>
      </c>
      <c r="L512" s="84">
        <f>(((ASSUMPTIONS!$C$18*J512*(1-ASSUMPTIONS!$C$20)+ASSUMPTIONS!$C$18*ASSUMPTIONS!$C$21-ASSUMPTIONS!$C$18*ASSUMPTIONS!$C$22)*(1+H512)*(1-((1+H512)/(1+I512))^5)/(I512-H512))+((ASSUMPTIONS!$C$18*J512*(1-ASSUMPTIONS!$C$20)+ASSUMPTIONS!$C$18*ASSUMPTIONS!$C$21-ASSUMPTIONS!$C$18*ASSUMPTIONS!$C$22)*(1+H512)^5*(1+K512)/(I512-K512)/(1+I512)^5)-DCF!$C$12)/ASSUMPTIONS!$C$7</f>
        <v/>
      </c>
    </row>
    <row r="513">
      <c r="H513" s="83">
        <f>_xlfn.NORM.INV(RAND(),AVERAGE(ASSUMPTIONS!$C$38,ASSUMPTIONS!$C$39,ASSUMPTIONS!$C$40,ASSUMPTIONS!$C$41,ASSUMPTIONS!$C$42),ASSUMPTIONS!$C$68)</f>
        <v/>
      </c>
      <c r="I513" s="83">
        <f>MAX(_xlfn.NORM.INV(RAND(),DCF!$C$11,ASSUMPTIONS!$C$69),K513+0.005)</f>
        <v/>
      </c>
      <c r="J513" s="83">
        <f>_xlfn.NORM.INV(RAND(),ASSUMPTIONS!$C$19,ASSUMPTIONS!$C$70)</f>
        <v/>
      </c>
      <c r="K513" s="83">
        <f>_xlfn.NORM.INV(RAND(),ASSUMPTIONS!$C$43,ASSUMPTIONS!$C$71)</f>
        <v/>
      </c>
      <c r="L513" s="84">
        <f>(((ASSUMPTIONS!$C$18*J513*(1-ASSUMPTIONS!$C$20)+ASSUMPTIONS!$C$18*ASSUMPTIONS!$C$21-ASSUMPTIONS!$C$18*ASSUMPTIONS!$C$22)*(1+H513)*(1-((1+H513)/(1+I513))^5)/(I513-H513))+((ASSUMPTIONS!$C$18*J513*(1-ASSUMPTIONS!$C$20)+ASSUMPTIONS!$C$18*ASSUMPTIONS!$C$21-ASSUMPTIONS!$C$18*ASSUMPTIONS!$C$22)*(1+H513)^5*(1+K513)/(I513-K513)/(1+I513)^5)-DCF!$C$12)/ASSUMPTIONS!$C$7</f>
        <v/>
      </c>
    </row>
    <row r="514">
      <c r="H514" s="83">
        <f>_xlfn.NORM.INV(RAND(),AVERAGE(ASSUMPTIONS!$C$38,ASSUMPTIONS!$C$39,ASSUMPTIONS!$C$40,ASSUMPTIONS!$C$41,ASSUMPTIONS!$C$42),ASSUMPTIONS!$C$68)</f>
        <v/>
      </c>
      <c r="I514" s="83">
        <f>MAX(_xlfn.NORM.INV(RAND(),DCF!$C$11,ASSUMPTIONS!$C$69),K514+0.005)</f>
        <v/>
      </c>
      <c r="J514" s="83">
        <f>_xlfn.NORM.INV(RAND(),ASSUMPTIONS!$C$19,ASSUMPTIONS!$C$70)</f>
        <v/>
      </c>
      <c r="K514" s="83">
        <f>_xlfn.NORM.INV(RAND(),ASSUMPTIONS!$C$43,ASSUMPTIONS!$C$71)</f>
        <v/>
      </c>
      <c r="L514" s="84">
        <f>(((ASSUMPTIONS!$C$18*J514*(1-ASSUMPTIONS!$C$20)+ASSUMPTIONS!$C$18*ASSUMPTIONS!$C$21-ASSUMPTIONS!$C$18*ASSUMPTIONS!$C$22)*(1+H514)*(1-((1+H514)/(1+I514))^5)/(I514-H514))+((ASSUMPTIONS!$C$18*J514*(1-ASSUMPTIONS!$C$20)+ASSUMPTIONS!$C$18*ASSUMPTIONS!$C$21-ASSUMPTIONS!$C$18*ASSUMPTIONS!$C$22)*(1+H514)^5*(1+K514)/(I514-K514)/(1+I514)^5)-DCF!$C$12)/ASSUMPTIONS!$C$7</f>
        <v/>
      </c>
    </row>
    <row r="515">
      <c r="H515" s="83">
        <f>_xlfn.NORM.INV(RAND(),AVERAGE(ASSUMPTIONS!$C$38,ASSUMPTIONS!$C$39,ASSUMPTIONS!$C$40,ASSUMPTIONS!$C$41,ASSUMPTIONS!$C$42),ASSUMPTIONS!$C$68)</f>
        <v/>
      </c>
      <c r="I515" s="83">
        <f>MAX(_xlfn.NORM.INV(RAND(),DCF!$C$11,ASSUMPTIONS!$C$69),K515+0.005)</f>
        <v/>
      </c>
      <c r="J515" s="83">
        <f>_xlfn.NORM.INV(RAND(),ASSUMPTIONS!$C$19,ASSUMPTIONS!$C$70)</f>
        <v/>
      </c>
      <c r="K515" s="83">
        <f>_xlfn.NORM.INV(RAND(),ASSUMPTIONS!$C$43,ASSUMPTIONS!$C$71)</f>
        <v/>
      </c>
      <c r="L515" s="84">
        <f>(((ASSUMPTIONS!$C$18*J515*(1-ASSUMPTIONS!$C$20)+ASSUMPTIONS!$C$18*ASSUMPTIONS!$C$21-ASSUMPTIONS!$C$18*ASSUMPTIONS!$C$22)*(1+H515)*(1-((1+H515)/(1+I515))^5)/(I515-H515))+((ASSUMPTIONS!$C$18*J515*(1-ASSUMPTIONS!$C$20)+ASSUMPTIONS!$C$18*ASSUMPTIONS!$C$21-ASSUMPTIONS!$C$18*ASSUMPTIONS!$C$22)*(1+H515)^5*(1+K515)/(I515-K515)/(1+I515)^5)-DCF!$C$12)/ASSUMPTIONS!$C$7</f>
        <v/>
      </c>
    </row>
    <row r="516">
      <c r="H516" s="83">
        <f>_xlfn.NORM.INV(RAND(),AVERAGE(ASSUMPTIONS!$C$38,ASSUMPTIONS!$C$39,ASSUMPTIONS!$C$40,ASSUMPTIONS!$C$41,ASSUMPTIONS!$C$42),ASSUMPTIONS!$C$68)</f>
        <v/>
      </c>
      <c r="I516" s="83">
        <f>MAX(_xlfn.NORM.INV(RAND(),DCF!$C$11,ASSUMPTIONS!$C$69),K516+0.005)</f>
        <v/>
      </c>
      <c r="J516" s="83">
        <f>_xlfn.NORM.INV(RAND(),ASSUMPTIONS!$C$19,ASSUMPTIONS!$C$70)</f>
        <v/>
      </c>
      <c r="K516" s="83">
        <f>_xlfn.NORM.INV(RAND(),ASSUMPTIONS!$C$43,ASSUMPTIONS!$C$71)</f>
        <v/>
      </c>
      <c r="L516" s="84">
        <f>(((ASSUMPTIONS!$C$18*J516*(1-ASSUMPTIONS!$C$20)+ASSUMPTIONS!$C$18*ASSUMPTIONS!$C$21-ASSUMPTIONS!$C$18*ASSUMPTIONS!$C$22)*(1+H516)*(1-((1+H516)/(1+I516))^5)/(I516-H516))+((ASSUMPTIONS!$C$18*J516*(1-ASSUMPTIONS!$C$20)+ASSUMPTIONS!$C$18*ASSUMPTIONS!$C$21-ASSUMPTIONS!$C$18*ASSUMPTIONS!$C$22)*(1+H516)^5*(1+K516)/(I516-K516)/(1+I516)^5)-DCF!$C$12)/ASSUMPTIONS!$C$7</f>
        <v/>
      </c>
    </row>
    <row r="517">
      <c r="H517" s="83">
        <f>_xlfn.NORM.INV(RAND(),AVERAGE(ASSUMPTIONS!$C$38,ASSUMPTIONS!$C$39,ASSUMPTIONS!$C$40,ASSUMPTIONS!$C$41,ASSUMPTIONS!$C$42),ASSUMPTIONS!$C$68)</f>
        <v/>
      </c>
      <c r="I517" s="83">
        <f>MAX(_xlfn.NORM.INV(RAND(),DCF!$C$11,ASSUMPTIONS!$C$69),K517+0.005)</f>
        <v/>
      </c>
      <c r="J517" s="83">
        <f>_xlfn.NORM.INV(RAND(),ASSUMPTIONS!$C$19,ASSUMPTIONS!$C$70)</f>
        <v/>
      </c>
      <c r="K517" s="83">
        <f>_xlfn.NORM.INV(RAND(),ASSUMPTIONS!$C$43,ASSUMPTIONS!$C$71)</f>
        <v/>
      </c>
      <c r="L517" s="84">
        <f>(((ASSUMPTIONS!$C$18*J517*(1-ASSUMPTIONS!$C$20)+ASSUMPTIONS!$C$18*ASSUMPTIONS!$C$21-ASSUMPTIONS!$C$18*ASSUMPTIONS!$C$22)*(1+H517)*(1-((1+H517)/(1+I517))^5)/(I517-H517))+((ASSUMPTIONS!$C$18*J517*(1-ASSUMPTIONS!$C$20)+ASSUMPTIONS!$C$18*ASSUMPTIONS!$C$21-ASSUMPTIONS!$C$18*ASSUMPTIONS!$C$22)*(1+H517)^5*(1+K517)/(I517-K517)/(1+I517)^5)-DCF!$C$12)/ASSUMPTIONS!$C$7</f>
        <v/>
      </c>
    </row>
    <row r="518">
      <c r="H518" s="83">
        <f>_xlfn.NORM.INV(RAND(),AVERAGE(ASSUMPTIONS!$C$38,ASSUMPTIONS!$C$39,ASSUMPTIONS!$C$40,ASSUMPTIONS!$C$41,ASSUMPTIONS!$C$42),ASSUMPTIONS!$C$68)</f>
        <v/>
      </c>
      <c r="I518" s="83">
        <f>MAX(_xlfn.NORM.INV(RAND(),DCF!$C$11,ASSUMPTIONS!$C$69),K518+0.005)</f>
        <v/>
      </c>
      <c r="J518" s="83">
        <f>_xlfn.NORM.INV(RAND(),ASSUMPTIONS!$C$19,ASSUMPTIONS!$C$70)</f>
        <v/>
      </c>
      <c r="K518" s="83">
        <f>_xlfn.NORM.INV(RAND(),ASSUMPTIONS!$C$43,ASSUMPTIONS!$C$71)</f>
        <v/>
      </c>
      <c r="L518" s="84">
        <f>(((ASSUMPTIONS!$C$18*J518*(1-ASSUMPTIONS!$C$20)+ASSUMPTIONS!$C$18*ASSUMPTIONS!$C$21-ASSUMPTIONS!$C$18*ASSUMPTIONS!$C$22)*(1+H518)*(1-((1+H518)/(1+I518))^5)/(I518-H518))+((ASSUMPTIONS!$C$18*J518*(1-ASSUMPTIONS!$C$20)+ASSUMPTIONS!$C$18*ASSUMPTIONS!$C$21-ASSUMPTIONS!$C$18*ASSUMPTIONS!$C$22)*(1+H518)^5*(1+K518)/(I518-K518)/(1+I518)^5)-DCF!$C$12)/ASSUMPTIONS!$C$7</f>
        <v/>
      </c>
    </row>
    <row r="519">
      <c r="H519" s="83">
        <f>_xlfn.NORM.INV(RAND(),AVERAGE(ASSUMPTIONS!$C$38,ASSUMPTIONS!$C$39,ASSUMPTIONS!$C$40,ASSUMPTIONS!$C$41,ASSUMPTIONS!$C$42),ASSUMPTIONS!$C$68)</f>
        <v/>
      </c>
      <c r="I519" s="83">
        <f>MAX(_xlfn.NORM.INV(RAND(),DCF!$C$11,ASSUMPTIONS!$C$69),K519+0.005)</f>
        <v/>
      </c>
      <c r="J519" s="83">
        <f>_xlfn.NORM.INV(RAND(),ASSUMPTIONS!$C$19,ASSUMPTIONS!$C$70)</f>
        <v/>
      </c>
      <c r="K519" s="83">
        <f>_xlfn.NORM.INV(RAND(),ASSUMPTIONS!$C$43,ASSUMPTIONS!$C$71)</f>
        <v/>
      </c>
      <c r="L519" s="84">
        <f>(((ASSUMPTIONS!$C$18*J519*(1-ASSUMPTIONS!$C$20)+ASSUMPTIONS!$C$18*ASSUMPTIONS!$C$21-ASSUMPTIONS!$C$18*ASSUMPTIONS!$C$22)*(1+H519)*(1-((1+H519)/(1+I519))^5)/(I519-H519))+((ASSUMPTIONS!$C$18*J519*(1-ASSUMPTIONS!$C$20)+ASSUMPTIONS!$C$18*ASSUMPTIONS!$C$21-ASSUMPTIONS!$C$18*ASSUMPTIONS!$C$22)*(1+H519)^5*(1+K519)/(I519-K519)/(1+I519)^5)-DCF!$C$12)/ASSUMPTIONS!$C$7</f>
        <v/>
      </c>
    </row>
    <row r="520">
      <c r="H520" s="83">
        <f>_xlfn.NORM.INV(RAND(),AVERAGE(ASSUMPTIONS!$C$38,ASSUMPTIONS!$C$39,ASSUMPTIONS!$C$40,ASSUMPTIONS!$C$41,ASSUMPTIONS!$C$42),ASSUMPTIONS!$C$68)</f>
        <v/>
      </c>
      <c r="I520" s="83">
        <f>MAX(_xlfn.NORM.INV(RAND(),DCF!$C$11,ASSUMPTIONS!$C$69),K520+0.005)</f>
        <v/>
      </c>
      <c r="J520" s="83">
        <f>_xlfn.NORM.INV(RAND(),ASSUMPTIONS!$C$19,ASSUMPTIONS!$C$70)</f>
        <v/>
      </c>
      <c r="K520" s="83">
        <f>_xlfn.NORM.INV(RAND(),ASSUMPTIONS!$C$43,ASSUMPTIONS!$C$71)</f>
        <v/>
      </c>
      <c r="L520" s="84">
        <f>(((ASSUMPTIONS!$C$18*J520*(1-ASSUMPTIONS!$C$20)+ASSUMPTIONS!$C$18*ASSUMPTIONS!$C$21-ASSUMPTIONS!$C$18*ASSUMPTIONS!$C$22)*(1+H520)*(1-((1+H520)/(1+I520))^5)/(I520-H520))+((ASSUMPTIONS!$C$18*J520*(1-ASSUMPTIONS!$C$20)+ASSUMPTIONS!$C$18*ASSUMPTIONS!$C$21-ASSUMPTIONS!$C$18*ASSUMPTIONS!$C$22)*(1+H520)^5*(1+K520)/(I520-K520)/(1+I520)^5)-DCF!$C$12)/ASSUMPTIONS!$C$7</f>
        <v/>
      </c>
    </row>
    <row r="521">
      <c r="H521" s="83">
        <f>_xlfn.NORM.INV(RAND(),AVERAGE(ASSUMPTIONS!$C$38,ASSUMPTIONS!$C$39,ASSUMPTIONS!$C$40,ASSUMPTIONS!$C$41,ASSUMPTIONS!$C$42),ASSUMPTIONS!$C$68)</f>
        <v/>
      </c>
      <c r="I521" s="83">
        <f>MAX(_xlfn.NORM.INV(RAND(),DCF!$C$11,ASSUMPTIONS!$C$69),K521+0.005)</f>
        <v/>
      </c>
      <c r="J521" s="83">
        <f>_xlfn.NORM.INV(RAND(),ASSUMPTIONS!$C$19,ASSUMPTIONS!$C$70)</f>
        <v/>
      </c>
      <c r="K521" s="83">
        <f>_xlfn.NORM.INV(RAND(),ASSUMPTIONS!$C$43,ASSUMPTIONS!$C$71)</f>
        <v/>
      </c>
      <c r="L521" s="84">
        <f>(((ASSUMPTIONS!$C$18*J521*(1-ASSUMPTIONS!$C$20)+ASSUMPTIONS!$C$18*ASSUMPTIONS!$C$21-ASSUMPTIONS!$C$18*ASSUMPTIONS!$C$22)*(1+H521)*(1-((1+H521)/(1+I521))^5)/(I521-H521))+((ASSUMPTIONS!$C$18*J521*(1-ASSUMPTIONS!$C$20)+ASSUMPTIONS!$C$18*ASSUMPTIONS!$C$21-ASSUMPTIONS!$C$18*ASSUMPTIONS!$C$22)*(1+H521)^5*(1+K521)/(I521-K521)/(1+I521)^5)-DCF!$C$12)/ASSUMPTIONS!$C$7</f>
        <v/>
      </c>
    </row>
    <row r="522">
      <c r="H522" s="83">
        <f>_xlfn.NORM.INV(RAND(),AVERAGE(ASSUMPTIONS!$C$38,ASSUMPTIONS!$C$39,ASSUMPTIONS!$C$40,ASSUMPTIONS!$C$41,ASSUMPTIONS!$C$42),ASSUMPTIONS!$C$68)</f>
        <v/>
      </c>
      <c r="I522" s="83">
        <f>MAX(_xlfn.NORM.INV(RAND(),DCF!$C$11,ASSUMPTIONS!$C$69),K522+0.005)</f>
        <v/>
      </c>
      <c r="J522" s="83">
        <f>_xlfn.NORM.INV(RAND(),ASSUMPTIONS!$C$19,ASSUMPTIONS!$C$70)</f>
        <v/>
      </c>
      <c r="K522" s="83">
        <f>_xlfn.NORM.INV(RAND(),ASSUMPTIONS!$C$43,ASSUMPTIONS!$C$71)</f>
        <v/>
      </c>
      <c r="L522" s="84">
        <f>(((ASSUMPTIONS!$C$18*J522*(1-ASSUMPTIONS!$C$20)+ASSUMPTIONS!$C$18*ASSUMPTIONS!$C$21-ASSUMPTIONS!$C$18*ASSUMPTIONS!$C$22)*(1+H522)*(1-((1+H522)/(1+I522))^5)/(I522-H522))+((ASSUMPTIONS!$C$18*J522*(1-ASSUMPTIONS!$C$20)+ASSUMPTIONS!$C$18*ASSUMPTIONS!$C$21-ASSUMPTIONS!$C$18*ASSUMPTIONS!$C$22)*(1+H522)^5*(1+K522)/(I522-K522)/(1+I522)^5)-DCF!$C$12)/ASSUMPTIONS!$C$7</f>
        <v/>
      </c>
    </row>
    <row r="523">
      <c r="H523" s="83">
        <f>_xlfn.NORM.INV(RAND(),AVERAGE(ASSUMPTIONS!$C$38,ASSUMPTIONS!$C$39,ASSUMPTIONS!$C$40,ASSUMPTIONS!$C$41,ASSUMPTIONS!$C$42),ASSUMPTIONS!$C$68)</f>
        <v/>
      </c>
      <c r="I523" s="83">
        <f>MAX(_xlfn.NORM.INV(RAND(),DCF!$C$11,ASSUMPTIONS!$C$69),K523+0.005)</f>
        <v/>
      </c>
      <c r="J523" s="83">
        <f>_xlfn.NORM.INV(RAND(),ASSUMPTIONS!$C$19,ASSUMPTIONS!$C$70)</f>
        <v/>
      </c>
      <c r="K523" s="83">
        <f>_xlfn.NORM.INV(RAND(),ASSUMPTIONS!$C$43,ASSUMPTIONS!$C$71)</f>
        <v/>
      </c>
      <c r="L523" s="84">
        <f>(((ASSUMPTIONS!$C$18*J523*(1-ASSUMPTIONS!$C$20)+ASSUMPTIONS!$C$18*ASSUMPTIONS!$C$21-ASSUMPTIONS!$C$18*ASSUMPTIONS!$C$22)*(1+H523)*(1-((1+H523)/(1+I523))^5)/(I523-H523))+((ASSUMPTIONS!$C$18*J523*(1-ASSUMPTIONS!$C$20)+ASSUMPTIONS!$C$18*ASSUMPTIONS!$C$21-ASSUMPTIONS!$C$18*ASSUMPTIONS!$C$22)*(1+H523)^5*(1+K523)/(I523-K523)/(1+I523)^5)-DCF!$C$12)/ASSUMPTIONS!$C$7</f>
        <v/>
      </c>
    </row>
    <row r="524">
      <c r="H524" s="83">
        <f>_xlfn.NORM.INV(RAND(),AVERAGE(ASSUMPTIONS!$C$38,ASSUMPTIONS!$C$39,ASSUMPTIONS!$C$40,ASSUMPTIONS!$C$41,ASSUMPTIONS!$C$42),ASSUMPTIONS!$C$68)</f>
        <v/>
      </c>
      <c r="I524" s="83">
        <f>MAX(_xlfn.NORM.INV(RAND(),DCF!$C$11,ASSUMPTIONS!$C$69),K524+0.005)</f>
        <v/>
      </c>
      <c r="J524" s="83">
        <f>_xlfn.NORM.INV(RAND(),ASSUMPTIONS!$C$19,ASSUMPTIONS!$C$70)</f>
        <v/>
      </c>
      <c r="K524" s="83">
        <f>_xlfn.NORM.INV(RAND(),ASSUMPTIONS!$C$43,ASSUMPTIONS!$C$71)</f>
        <v/>
      </c>
      <c r="L524" s="84">
        <f>(((ASSUMPTIONS!$C$18*J524*(1-ASSUMPTIONS!$C$20)+ASSUMPTIONS!$C$18*ASSUMPTIONS!$C$21-ASSUMPTIONS!$C$18*ASSUMPTIONS!$C$22)*(1+H524)*(1-((1+H524)/(1+I524))^5)/(I524-H524))+((ASSUMPTIONS!$C$18*J524*(1-ASSUMPTIONS!$C$20)+ASSUMPTIONS!$C$18*ASSUMPTIONS!$C$21-ASSUMPTIONS!$C$18*ASSUMPTIONS!$C$22)*(1+H524)^5*(1+K524)/(I524-K524)/(1+I524)^5)-DCF!$C$12)/ASSUMPTIONS!$C$7</f>
        <v/>
      </c>
    </row>
    <row r="525">
      <c r="H525" s="83">
        <f>_xlfn.NORM.INV(RAND(),AVERAGE(ASSUMPTIONS!$C$38,ASSUMPTIONS!$C$39,ASSUMPTIONS!$C$40,ASSUMPTIONS!$C$41,ASSUMPTIONS!$C$42),ASSUMPTIONS!$C$68)</f>
        <v/>
      </c>
      <c r="I525" s="83">
        <f>MAX(_xlfn.NORM.INV(RAND(),DCF!$C$11,ASSUMPTIONS!$C$69),K525+0.005)</f>
        <v/>
      </c>
      <c r="J525" s="83">
        <f>_xlfn.NORM.INV(RAND(),ASSUMPTIONS!$C$19,ASSUMPTIONS!$C$70)</f>
        <v/>
      </c>
      <c r="K525" s="83">
        <f>_xlfn.NORM.INV(RAND(),ASSUMPTIONS!$C$43,ASSUMPTIONS!$C$71)</f>
        <v/>
      </c>
      <c r="L525" s="84">
        <f>(((ASSUMPTIONS!$C$18*J525*(1-ASSUMPTIONS!$C$20)+ASSUMPTIONS!$C$18*ASSUMPTIONS!$C$21-ASSUMPTIONS!$C$18*ASSUMPTIONS!$C$22)*(1+H525)*(1-((1+H525)/(1+I525))^5)/(I525-H525))+((ASSUMPTIONS!$C$18*J525*(1-ASSUMPTIONS!$C$20)+ASSUMPTIONS!$C$18*ASSUMPTIONS!$C$21-ASSUMPTIONS!$C$18*ASSUMPTIONS!$C$22)*(1+H525)^5*(1+K525)/(I525-K525)/(1+I525)^5)-DCF!$C$12)/ASSUMPTIONS!$C$7</f>
        <v/>
      </c>
    </row>
    <row r="526">
      <c r="H526" s="83">
        <f>_xlfn.NORM.INV(RAND(),AVERAGE(ASSUMPTIONS!$C$38,ASSUMPTIONS!$C$39,ASSUMPTIONS!$C$40,ASSUMPTIONS!$C$41,ASSUMPTIONS!$C$42),ASSUMPTIONS!$C$68)</f>
        <v/>
      </c>
      <c r="I526" s="83">
        <f>MAX(_xlfn.NORM.INV(RAND(),DCF!$C$11,ASSUMPTIONS!$C$69),K526+0.005)</f>
        <v/>
      </c>
      <c r="J526" s="83">
        <f>_xlfn.NORM.INV(RAND(),ASSUMPTIONS!$C$19,ASSUMPTIONS!$C$70)</f>
        <v/>
      </c>
      <c r="K526" s="83">
        <f>_xlfn.NORM.INV(RAND(),ASSUMPTIONS!$C$43,ASSUMPTIONS!$C$71)</f>
        <v/>
      </c>
      <c r="L526" s="84">
        <f>(((ASSUMPTIONS!$C$18*J526*(1-ASSUMPTIONS!$C$20)+ASSUMPTIONS!$C$18*ASSUMPTIONS!$C$21-ASSUMPTIONS!$C$18*ASSUMPTIONS!$C$22)*(1+H526)*(1-((1+H526)/(1+I526))^5)/(I526-H526))+((ASSUMPTIONS!$C$18*J526*(1-ASSUMPTIONS!$C$20)+ASSUMPTIONS!$C$18*ASSUMPTIONS!$C$21-ASSUMPTIONS!$C$18*ASSUMPTIONS!$C$22)*(1+H526)^5*(1+K526)/(I526-K526)/(1+I526)^5)-DCF!$C$12)/ASSUMPTIONS!$C$7</f>
        <v/>
      </c>
    </row>
    <row r="527">
      <c r="H527" s="83">
        <f>_xlfn.NORM.INV(RAND(),AVERAGE(ASSUMPTIONS!$C$38,ASSUMPTIONS!$C$39,ASSUMPTIONS!$C$40,ASSUMPTIONS!$C$41,ASSUMPTIONS!$C$42),ASSUMPTIONS!$C$68)</f>
        <v/>
      </c>
      <c r="I527" s="83">
        <f>MAX(_xlfn.NORM.INV(RAND(),DCF!$C$11,ASSUMPTIONS!$C$69),K527+0.005)</f>
        <v/>
      </c>
      <c r="J527" s="83">
        <f>_xlfn.NORM.INV(RAND(),ASSUMPTIONS!$C$19,ASSUMPTIONS!$C$70)</f>
        <v/>
      </c>
      <c r="K527" s="83">
        <f>_xlfn.NORM.INV(RAND(),ASSUMPTIONS!$C$43,ASSUMPTIONS!$C$71)</f>
        <v/>
      </c>
      <c r="L527" s="84">
        <f>(((ASSUMPTIONS!$C$18*J527*(1-ASSUMPTIONS!$C$20)+ASSUMPTIONS!$C$18*ASSUMPTIONS!$C$21-ASSUMPTIONS!$C$18*ASSUMPTIONS!$C$22)*(1+H527)*(1-((1+H527)/(1+I527))^5)/(I527-H527))+((ASSUMPTIONS!$C$18*J527*(1-ASSUMPTIONS!$C$20)+ASSUMPTIONS!$C$18*ASSUMPTIONS!$C$21-ASSUMPTIONS!$C$18*ASSUMPTIONS!$C$22)*(1+H527)^5*(1+K527)/(I527-K527)/(1+I527)^5)-DCF!$C$12)/ASSUMPTIONS!$C$7</f>
        <v/>
      </c>
    </row>
    <row r="528">
      <c r="H528" s="83">
        <f>_xlfn.NORM.INV(RAND(),AVERAGE(ASSUMPTIONS!$C$38,ASSUMPTIONS!$C$39,ASSUMPTIONS!$C$40,ASSUMPTIONS!$C$41,ASSUMPTIONS!$C$42),ASSUMPTIONS!$C$68)</f>
        <v/>
      </c>
      <c r="I528" s="83">
        <f>MAX(_xlfn.NORM.INV(RAND(),DCF!$C$11,ASSUMPTIONS!$C$69),K528+0.005)</f>
        <v/>
      </c>
      <c r="J528" s="83">
        <f>_xlfn.NORM.INV(RAND(),ASSUMPTIONS!$C$19,ASSUMPTIONS!$C$70)</f>
        <v/>
      </c>
      <c r="K528" s="83">
        <f>_xlfn.NORM.INV(RAND(),ASSUMPTIONS!$C$43,ASSUMPTIONS!$C$71)</f>
        <v/>
      </c>
      <c r="L528" s="84">
        <f>(((ASSUMPTIONS!$C$18*J528*(1-ASSUMPTIONS!$C$20)+ASSUMPTIONS!$C$18*ASSUMPTIONS!$C$21-ASSUMPTIONS!$C$18*ASSUMPTIONS!$C$22)*(1+H528)*(1-((1+H528)/(1+I528))^5)/(I528-H528))+((ASSUMPTIONS!$C$18*J528*(1-ASSUMPTIONS!$C$20)+ASSUMPTIONS!$C$18*ASSUMPTIONS!$C$21-ASSUMPTIONS!$C$18*ASSUMPTIONS!$C$22)*(1+H528)^5*(1+K528)/(I528-K528)/(1+I528)^5)-DCF!$C$12)/ASSUMPTIONS!$C$7</f>
        <v/>
      </c>
    </row>
    <row r="529">
      <c r="H529" s="83">
        <f>_xlfn.NORM.INV(RAND(),AVERAGE(ASSUMPTIONS!$C$38,ASSUMPTIONS!$C$39,ASSUMPTIONS!$C$40,ASSUMPTIONS!$C$41,ASSUMPTIONS!$C$42),ASSUMPTIONS!$C$68)</f>
        <v/>
      </c>
      <c r="I529" s="83">
        <f>MAX(_xlfn.NORM.INV(RAND(),DCF!$C$11,ASSUMPTIONS!$C$69),K529+0.005)</f>
        <v/>
      </c>
      <c r="J529" s="83">
        <f>_xlfn.NORM.INV(RAND(),ASSUMPTIONS!$C$19,ASSUMPTIONS!$C$70)</f>
        <v/>
      </c>
      <c r="K529" s="83">
        <f>_xlfn.NORM.INV(RAND(),ASSUMPTIONS!$C$43,ASSUMPTIONS!$C$71)</f>
        <v/>
      </c>
      <c r="L529" s="84">
        <f>(((ASSUMPTIONS!$C$18*J529*(1-ASSUMPTIONS!$C$20)+ASSUMPTIONS!$C$18*ASSUMPTIONS!$C$21-ASSUMPTIONS!$C$18*ASSUMPTIONS!$C$22)*(1+H529)*(1-((1+H529)/(1+I529))^5)/(I529-H529))+((ASSUMPTIONS!$C$18*J529*(1-ASSUMPTIONS!$C$20)+ASSUMPTIONS!$C$18*ASSUMPTIONS!$C$21-ASSUMPTIONS!$C$18*ASSUMPTIONS!$C$22)*(1+H529)^5*(1+K529)/(I529-K529)/(1+I529)^5)-DCF!$C$12)/ASSUMPTIONS!$C$7</f>
        <v/>
      </c>
    </row>
    <row r="530">
      <c r="H530" s="83">
        <f>_xlfn.NORM.INV(RAND(),AVERAGE(ASSUMPTIONS!$C$38,ASSUMPTIONS!$C$39,ASSUMPTIONS!$C$40,ASSUMPTIONS!$C$41,ASSUMPTIONS!$C$42),ASSUMPTIONS!$C$68)</f>
        <v/>
      </c>
      <c r="I530" s="83">
        <f>MAX(_xlfn.NORM.INV(RAND(),DCF!$C$11,ASSUMPTIONS!$C$69),K530+0.005)</f>
        <v/>
      </c>
      <c r="J530" s="83">
        <f>_xlfn.NORM.INV(RAND(),ASSUMPTIONS!$C$19,ASSUMPTIONS!$C$70)</f>
        <v/>
      </c>
      <c r="K530" s="83">
        <f>_xlfn.NORM.INV(RAND(),ASSUMPTIONS!$C$43,ASSUMPTIONS!$C$71)</f>
        <v/>
      </c>
      <c r="L530" s="84">
        <f>(((ASSUMPTIONS!$C$18*J530*(1-ASSUMPTIONS!$C$20)+ASSUMPTIONS!$C$18*ASSUMPTIONS!$C$21-ASSUMPTIONS!$C$18*ASSUMPTIONS!$C$22)*(1+H530)*(1-((1+H530)/(1+I530))^5)/(I530-H530))+((ASSUMPTIONS!$C$18*J530*(1-ASSUMPTIONS!$C$20)+ASSUMPTIONS!$C$18*ASSUMPTIONS!$C$21-ASSUMPTIONS!$C$18*ASSUMPTIONS!$C$22)*(1+H530)^5*(1+K530)/(I530-K530)/(1+I530)^5)-DCF!$C$12)/ASSUMPTIONS!$C$7</f>
        <v/>
      </c>
    </row>
    <row r="531">
      <c r="H531" s="83">
        <f>_xlfn.NORM.INV(RAND(),AVERAGE(ASSUMPTIONS!$C$38,ASSUMPTIONS!$C$39,ASSUMPTIONS!$C$40,ASSUMPTIONS!$C$41,ASSUMPTIONS!$C$42),ASSUMPTIONS!$C$68)</f>
        <v/>
      </c>
      <c r="I531" s="83">
        <f>MAX(_xlfn.NORM.INV(RAND(),DCF!$C$11,ASSUMPTIONS!$C$69),K531+0.005)</f>
        <v/>
      </c>
      <c r="J531" s="83">
        <f>_xlfn.NORM.INV(RAND(),ASSUMPTIONS!$C$19,ASSUMPTIONS!$C$70)</f>
        <v/>
      </c>
      <c r="K531" s="83">
        <f>_xlfn.NORM.INV(RAND(),ASSUMPTIONS!$C$43,ASSUMPTIONS!$C$71)</f>
        <v/>
      </c>
      <c r="L531" s="84">
        <f>(((ASSUMPTIONS!$C$18*J531*(1-ASSUMPTIONS!$C$20)+ASSUMPTIONS!$C$18*ASSUMPTIONS!$C$21-ASSUMPTIONS!$C$18*ASSUMPTIONS!$C$22)*(1+H531)*(1-((1+H531)/(1+I531))^5)/(I531-H531))+((ASSUMPTIONS!$C$18*J531*(1-ASSUMPTIONS!$C$20)+ASSUMPTIONS!$C$18*ASSUMPTIONS!$C$21-ASSUMPTIONS!$C$18*ASSUMPTIONS!$C$22)*(1+H531)^5*(1+K531)/(I531-K531)/(1+I531)^5)-DCF!$C$12)/ASSUMPTIONS!$C$7</f>
        <v/>
      </c>
    </row>
    <row r="532">
      <c r="H532" s="83">
        <f>_xlfn.NORM.INV(RAND(),AVERAGE(ASSUMPTIONS!$C$38,ASSUMPTIONS!$C$39,ASSUMPTIONS!$C$40,ASSUMPTIONS!$C$41,ASSUMPTIONS!$C$42),ASSUMPTIONS!$C$68)</f>
        <v/>
      </c>
      <c r="I532" s="83">
        <f>MAX(_xlfn.NORM.INV(RAND(),DCF!$C$11,ASSUMPTIONS!$C$69),K532+0.005)</f>
        <v/>
      </c>
      <c r="J532" s="83">
        <f>_xlfn.NORM.INV(RAND(),ASSUMPTIONS!$C$19,ASSUMPTIONS!$C$70)</f>
        <v/>
      </c>
      <c r="K532" s="83">
        <f>_xlfn.NORM.INV(RAND(),ASSUMPTIONS!$C$43,ASSUMPTIONS!$C$71)</f>
        <v/>
      </c>
      <c r="L532" s="84">
        <f>(((ASSUMPTIONS!$C$18*J532*(1-ASSUMPTIONS!$C$20)+ASSUMPTIONS!$C$18*ASSUMPTIONS!$C$21-ASSUMPTIONS!$C$18*ASSUMPTIONS!$C$22)*(1+H532)*(1-((1+H532)/(1+I532))^5)/(I532-H532))+((ASSUMPTIONS!$C$18*J532*(1-ASSUMPTIONS!$C$20)+ASSUMPTIONS!$C$18*ASSUMPTIONS!$C$21-ASSUMPTIONS!$C$18*ASSUMPTIONS!$C$22)*(1+H532)^5*(1+K532)/(I532-K532)/(1+I532)^5)-DCF!$C$12)/ASSUMPTIONS!$C$7</f>
        <v/>
      </c>
    </row>
    <row r="533">
      <c r="H533" s="83">
        <f>_xlfn.NORM.INV(RAND(),AVERAGE(ASSUMPTIONS!$C$38,ASSUMPTIONS!$C$39,ASSUMPTIONS!$C$40,ASSUMPTIONS!$C$41,ASSUMPTIONS!$C$42),ASSUMPTIONS!$C$68)</f>
        <v/>
      </c>
      <c r="I533" s="83">
        <f>MAX(_xlfn.NORM.INV(RAND(),DCF!$C$11,ASSUMPTIONS!$C$69),K533+0.005)</f>
        <v/>
      </c>
      <c r="J533" s="83">
        <f>_xlfn.NORM.INV(RAND(),ASSUMPTIONS!$C$19,ASSUMPTIONS!$C$70)</f>
        <v/>
      </c>
      <c r="K533" s="83">
        <f>_xlfn.NORM.INV(RAND(),ASSUMPTIONS!$C$43,ASSUMPTIONS!$C$71)</f>
        <v/>
      </c>
      <c r="L533" s="84">
        <f>(((ASSUMPTIONS!$C$18*J533*(1-ASSUMPTIONS!$C$20)+ASSUMPTIONS!$C$18*ASSUMPTIONS!$C$21-ASSUMPTIONS!$C$18*ASSUMPTIONS!$C$22)*(1+H533)*(1-((1+H533)/(1+I533))^5)/(I533-H533))+((ASSUMPTIONS!$C$18*J533*(1-ASSUMPTIONS!$C$20)+ASSUMPTIONS!$C$18*ASSUMPTIONS!$C$21-ASSUMPTIONS!$C$18*ASSUMPTIONS!$C$22)*(1+H533)^5*(1+K533)/(I533-K533)/(1+I533)^5)-DCF!$C$12)/ASSUMPTIONS!$C$7</f>
        <v/>
      </c>
    </row>
    <row r="534">
      <c r="H534" s="83">
        <f>_xlfn.NORM.INV(RAND(),AVERAGE(ASSUMPTIONS!$C$38,ASSUMPTIONS!$C$39,ASSUMPTIONS!$C$40,ASSUMPTIONS!$C$41,ASSUMPTIONS!$C$42),ASSUMPTIONS!$C$68)</f>
        <v/>
      </c>
      <c r="I534" s="83">
        <f>MAX(_xlfn.NORM.INV(RAND(),DCF!$C$11,ASSUMPTIONS!$C$69),K534+0.005)</f>
        <v/>
      </c>
      <c r="J534" s="83">
        <f>_xlfn.NORM.INV(RAND(),ASSUMPTIONS!$C$19,ASSUMPTIONS!$C$70)</f>
        <v/>
      </c>
      <c r="K534" s="83">
        <f>_xlfn.NORM.INV(RAND(),ASSUMPTIONS!$C$43,ASSUMPTIONS!$C$71)</f>
        <v/>
      </c>
      <c r="L534" s="84">
        <f>(((ASSUMPTIONS!$C$18*J534*(1-ASSUMPTIONS!$C$20)+ASSUMPTIONS!$C$18*ASSUMPTIONS!$C$21-ASSUMPTIONS!$C$18*ASSUMPTIONS!$C$22)*(1+H534)*(1-((1+H534)/(1+I534))^5)/(I534-H534))+((ASSUMPTIONS!$C$18*J534*(1-ASSUMPTIONS!$C$20)+ASSUMPTIONS!$C$18*ASSUMPTIONS!$C$21-ASSUMPTIONS!$C$18*ASSUMPTIONS!$C$22)*(1+H534)^5*(1+K534)/(I534-K534)/(1+I534)^5)-DCF!$C$12)/ASSUMPTIONS!$C$7</f>
        <v/>
      </c>
    </row>
    <row r="535">
      <c r="H535" s="83">
        <f>_xlfn.NORM.INV(RAND(),AVERAGE(ASSUMPTIONS!$C$38,ASSUMPTIONS!$C$39,ASSUMPTIONS!$C$40,ASSUMPTIONS!$C$41,ASSUMPTIONS!$C$42),ASSUMPTIONS!$C$68)</f>
        <v/>
      </c>
      <c r="I535" s="83">
        <f>MAX(_xlfn.NORM.INV(RAND(),DCF!$C$11,ASSUMPTIONS!$C$69),K535+0.005)</f>
        <v/>
      </c>
      <c r="J535" s="83">
        <f>_xlfn.NORM.INV(RAND(),ASSUMPTIONS!$C$19,ASSUMPTIONS!$C$70)</f>
        <v/>
      </c>
      <c r="K535" s="83">
        <f>_xlfn.NORM.INV(RAND(),ASSUMPTIONS!$C$43,ASSUMPTIONS!$C$71)</f>
        <v/>
      </c>
      <c r="L535" s="84">
        <f>(((ASSUMPTIONS!$C$18*J535*(1-ASSUMPTIONS!$C$20)+ASSUMPTIONS!$C$18*ASSUMPTIONS!$C$21-ASSUMPTIONS!$C$18*ASSUMPTIONS!$C$22)*(1+H535)*(1-((1+H535)/(1+I535))^5)/(I535-H535))+((ASSUMPTIONS!$C$18*J535*(1-ASSUMPTIONS!$C$20)+ASSUMPTIONS!$C$18*ASSUMPTIONS!$C$21-ASSUMPTIONS!$C$18*ASSUMPTIONS!$C$22)*(1+H535)^5*(1+K535)/(I535-K535)/(1+I535)^5)-DCF!$C$12)/ASSUMPTIONS!$C$7</f>
        <v/>
      </c>
    </row>
    <row r="536">
      <c r="H536" s="83">
        <f>_xlfn.NORM.INV(RAND(),AVERAGE(ASSUMPTIONS!$C$38,ASSUMPTIONS!$C$39,ASSUMPTIONS!$C$40,ASSUMPTIONS!$C$41,ASSUMPTIONS!$C$42),ASSUMPTIONS!$C$68)</f>
        <v/>
      </c>
      <c r="I536" s="83">
        <f>MAX(_xlfn.NORM.INV(RAND(),DCF!$C$11,ASSUMPTIONS!$C$69),K536+0.005)</f>
        <v/>
      </c>
      <c r="J536" s="83">
        <f>_xlfn.NORM.INV(RAND(),ASSUMPTIONS!$C$19,ASSUMPTIONS!$C$70)</f>
        <v/>
      </c>
      <c r="K536" s="83">
        <f>_xlfn.NORM.INV(RAND(),ASSUMPTIONS!$C$43,ASSUMPTIONS!$C$71)</f>
        <v/>
      </c>
      <c r="L536" s="84">
        <f>(((ASSUMPTIONS!$C$18*J536*(1-ASSUMPTIONS!$C$20)+ASSUMPTIONS!$C$18*ASSUMPTIONS!$C$21-ASSUMPTIONS!$C$18*ASSUMPTIONS!$C$22)*(1+H536)*(1-((1+H536)/(1+I536))^5)/(I536-H536))+((ASSUMPTIONS!$C$18*J536*(1-ASSUMPTIONS!$C$20)+ASSUMPTIONS!$C$18*ASSUMPTIONS!$C$21-ASSUMPTIONS!$C$18*ASSUMPTIONS!$C$22)*(1+H536)^5*(1+K536)/(I536-K536)/(1+I536)^5)-DCF!$C$12)/ASSUMPTIONS!$C$7</f>
        <v/>
      </c>
    </row>
    <row r="537">
      <c r="H537" s="83">
        <f>_xlfn.NORM.INV(RAND(),AVERAGE(ASSUMPTIONS!$C$38,ASSUMPTIONS!$C$39,ASSUMPTIONS!$C$40,ASSUMPTIONS!$C$41,ASSUMPTIONS!$C$42),ASSUMPTIONS!$C$68)</f>
        <v/>
      </c>
      <c r="I537" s="83">
        <f>MAX(_xlfn.NORM.INV(RAND(),DCF!$C$11,ASSUMPTIONS!$C$69),K537+0.005)</f>
        <v/>
      </c>
      <c r="J537" s="83">
        <f>_xlfn.NORM.INV(RAND(),ASSUMPTIONS!$C$19,ASSUMPTIONS!$C$70)</f>
        <v/>
      </c>
      <c r="K537" s="83">
        <f>_xlfn.NORM.INV(RAND(),ASSUMPTIONS!$C$43,ASSUMPTIONS!$C$71)</f>
        <v/>
      </c>
      <c r="L537" s="84">
        <f>(((ASSUMPTIONS!$C$18*J537*(1-ASSUMPTIONS!$C$20)+ASSUMPTIONS!$C$18*ASSUMPTIONS!$C$21-ASSUMPTIONS!$C$18*ASSUMPTIONS!$C$22)*(1+H537)*(1-((1+H537)/(1+I537))^5)/(I537-H537))+((ASSUMPTIONS!$C$18*J537*(1-ASSUMPTIONS!$C$20)+ASSUMPTIONS!$C$18*ASSUMPTIONS!$C$21-ASSUMPTIONS!$C$18*ASSUMPTIONS!$C$22)*(1+H537)^5*(1+K537)/(I537-K537)/(1+I537)^5)-DCF!$C$12)/ASSUMPTIONS!$C$7</f>
        <v/>
      </c>
    </row>
    <row r="538">
      <c r="H538" s="83">
        <f>_xlfn.NORM.INV(RAND(),AVERAGE(ASSUMPTIONS!$C$38,ASSUMPTIONS!$C$39,ASSUMPTIONS!$C$40,ASSUMPTIONS!$C$41,ASSUMPTIONS!$C$42),ASSUMPTIONS!$C$68)</f>
        <v/>
      </c>
      <c r="I538" s="83">
        <f>MAX(_xlfn.NORM.INV(RAND(),DCF!$C$11,ASSUMPTIONS!$C$69),K538+0.005)</f>
        <v/>
      </c>
      <c r="J538" s="83">
        <f>_xlfn.NORM.INV(RAND(),ASSUMPTIONS!$C$19,ASSUMPTIONS!$C$70)</f>
        <v/>
      </c>
      <c r="K538" s="83">
        <f>_xlfn.NORM.INV(RAND(),ASSUMPTIONS!$C$43,ASSUMPTIONS!$C$71)</f>
        <v/>
      </c>
      <c r="L538" s="84">
        <f>(((ASSUMPTIONS!$C$18*J538*(1-ASSUMPTIONS!$C$20)+ASSUMPTIONS!$C$18*ASSUMPTIONS!$C$21-ASSUMPTIONS!$C$18*ASSUMPTIONS!$C$22)*(1+H538)*(1-((1+H538)/(1+I538))^5)/(I538-H538))+((ASSUMPTIONS!$C$18*J538*(1-ASSUMPTIONS!$C$20)+ASSUMPTIONS!$C$18*ASSUMPTIONS!$C$21-ASSUMPTIONS!$C$18*ASSUMPTIONS!$C$22)*(1+H538)^5*(1+K538)/(I538-K538)/(1+I538)^5)-DCF!$C$12)/ASSUMPTIONS!$C$7</f>
        <v/>
      </c>
    </row>
    <row r="539">
      <c r="H539" s="83">
        <f>_xlfn.NORM.INV(RAND(),AVERAGE(ASSUMPTIONS!$C$38,ASSUMPTIONS!$C$39,ASSUMPTIONS!$C$40,ASSUMPTIONS!$C$41,ASSUMPTIONS!$C$42),ASSUMPTIONS!$C$68)</f>
        <v/>
      </c>
      <c r="I539" s="83">
        <f>MAX(_xlfn.NORM.INV(RAND(),DCF!$C$11,ASSUMPTIONS!$C$69),K539+0.005)</f>
        <v/>
      </c>
      <c r="J539" s="83">
        <f>_xlfn.NORM.INV(RAND(),ASSUMPTIONS!$C$19,ASSUMPTIONS!$C$70)</f>
        <v/>
      </c>
      <c r="K539" s="83">
        <f>_xlfn.NORM.INV(RAND(),ASSUMPTIONS!$C$43,ASSUMPTIONS!$C$71)</f>
        <v/>
      </c>
      <c r="L539" s="84">
        <f>(((ASSUMPTIONS!$C$18*J539*(1-ASSUMPTIONS!$C$20)+ASSUMPTIONS!$C$18*ASSUMPTIONS!$C$21-ASSUMPTIONS!$C$18*ASSUMPTIONS!$C$22)*(1+H539)*(1-((1+H539)/(1+I539))^5)/(I539-H539))+((ASSUMPTIONS!$C$18*J539*(1-ASSUMPTIONS!$C$20)+ASSUMPTIONS!$C$18*ASSUMPTIONS!$C$21-ASSUMPTIONS!$C$18*ASSUMPTIONS!$C$22)*(1+H539)^5*(1+K539)/(I539-K539)/(1+I539)^5)-DCF!$C$12)/ASSUMPTIONS!$C$7</f>
        <v/>
      </c>
    </row>
    <row r="540">
      <c r="H540" s="83">
        <f>_xlfn.NORM.INV(RAND(),AVERAGE(ASSUMPTIONS!$C$38,ASSUMPTIONS!$C$39,ASSUMPTIONS!$C$40,ASSUMPTIONS!$C$41,ASSUMPTIONS!$C$42),ASSUMPTIONS!$C$68)</f>
        <v/>
      </c>
      <c r="I540" s="83">
        <f>MAX(_xlfn.NORM.INV(RAND(),DCF!$C$11,ASSUMPTIONS!$C$69),K540+0.005)</f>
        <v/>
      </c>
      <c r="J540" s="83">
        <f>_xlfn.NORM.INV(RAND(),ASSUMPTIONS!$C$19,ASSUMPTIONS!$C$70)</f>
        <v/>
      </c>
      <c r="K540" s="83">
        <f>_xlfn.NORM.INV(RAND(),ASSUMPTIONS!$C$43,ASSUMPTIONS!$C$71)</f>
        <v/>
      </c>
      <c r="L540" s="84">
        <f>(((ASSUMPTIONS!$C$18*J540*(1-ASSUMPTIONS!$C$20)+ASSUMPTIONS!$C$18*ASSUMPTIONS!$C$21-ASSUMPTIONS!$C$18*ASSUMPTIONS!$C$22)*(1+H540)*(1-((1+H540)/(1+I540))^5)/(I540-H540))+((ASSUMPTIONS!$C$18*J540*(1-ASSUMPTIONS!$C$20)+ASSUMPTIONS!$C$18*ASSUMPTIONS!$C$21-ASSUMPTIONS!$C$18*ASSUMPTIONS!$C$22)*(1+H540)^5*(1+K540)/(I540-K540)/(1+I540)^5)-DCF!$C$12)/ASSUMPTIONS!$C$7</f>
        <v/>
      </c>
    </row>
    <row r="541">
      <c r="H541" s="83">
        <f>_xlfn.NORM.INV(RAND(),AVERAGE(ASSUMPTIONS!$C$38,ASSUMPTIONS!$C$39,ASSUMPTIONS!$C$40,ASSUMPTIONS!$C$41,ASSUMPTIONS!$C$42),ASSUMPTIONS!$C$68)</f>
        <v/>
      </c>
      <c r="I541" s="83">
        <f>MAX(_xlfn.NORM.INV(RAND(),DCF!$C$11,ASSUMPTIONS!$C$69),K541+0.005)</f>
        <v/>
      </c>
      <c r="J541" s="83">
        <f>_xlfn.NORM.INV(RAND(),ASSUMPTIONS!$C$19,ASSUMPTIONS!$C$70)</f>
        <v/>
      </c>
      <c r="K541" s="83">
        <f>_xlfn.NORM.INV(RAND(),ASSUMPTIONS!$C$43,ASSUMPTIONS!$C$71)</f>
        <v/>
      </c>
      <c r="L541" s="84">
        <f>(((ASSUMPTIONS!$C$18*J541*(1-ASSUMPTIONS!$C$20)+ASSUMPTIONS!$C$18*ASSUMPTIONS!$C$21-ASSUMPTIONS!$C$18*ASSUMPTIONS!$C$22)*(1+H541)*(1-((1+H541)/(1+I541))^5)/(I541-H541))+((ASSUMPTIONS!$C$18*J541*(1-ASSUMPTIONS!$C$20)+ASSUMPTIONS!$C$18*ASSUMPTIONS!$C$21-ASSUMPTIONS!$C$18*ASSUMPTIONS!$C$22)*(1+H541)^5*(1+K541)/(I541-K541)/(1+I541)^5)-DCF!$C$12)/ASSUMPTIONS!$C$7</f>
        <v/>
      </c>
    </row>
    <row r="542">
      <c r="H542" s="83">
        <f>_xlfn.NORM.INV(RAND(),AVERAGE(ASSUMPTIONS!$C$38,ASSUMPTIONS!$C$39,ASSUMPTIONS!$C$40,ASSUMPTIONS!$C$41,ASSUMPTIONS!$C$42),ASSUMPTIONS!$C$68)</f>
        <v/>
      </c>
      <c r="I542" s="83">
        <f>MAX(_xlfn.NORM.INV(RAND(),DCF!$C$11,ASSUMPTIONS!$C$69),K542+0.005)</f>
        <v/>
      </c>
      <c r="J542" s="83">
        <f>_xlfn.NORM.INV(RAND(),ASSUMPTIONS!$C$19,ASSUMPTIONS!$C$70)</f>
        <v/>
      </c>
      <c r="K542" s="83">
        <f>_xlfn.NORM.INV(RAND(),ASSUMPTIONS!$C$43,ASSUMPTIONS!$C$71)</f>
        <v/>
      </c>
      <c r="L542" s="84">
        <f>(((ASSUMPTIONS!$C$18*J542*(1-ASSUMPTIONS!$C$20)+ASSUMPTIONS!$C$18*ASSUMPTIONS!$C$21-ASSUMPTIONS!$C$18*ASSUMPTIONS!$C$22)*(1+H542)*(1-((1+H542)/(1+I542))^5)/(I542-H542))+((ASSUMPTIONS!$C$18*J542*(1-ASSUMPTIONS!$C$20)+ASSUMPTIONS!$C$18*ASSUMPTIONS!$C$21-ASSUMPTIONS!$C$18*ASSUMPTIONS!$C$22)*(1+H542)^5*(1+K542)/(I542-K542)/(1+I542)^5)-DCF!$C$12)/ASSUMPTIONS!$C$7</f>
        <v/>
      </c>
    </row>
    <row r="543">
      <c r="H543" s="83">
        <f>_xlfn.NORM.INV(RAND(),AVERAGE(ASSUMPTIONS!$C$38,ASSUMPTIONS!$C$39,ASSUMPTIONS!$C$40,ASSUMPTIONS!$C$41,ASSUMPTIONS!$C$42),ASSUMPTIONS!$C$68)</f>
        <v/>
      </c>
      <c r="I543" s="83">
        <f>MAX(_xlfn.NORM.INV(RAND(),DCF!$C$11,ASSUMPTIONS!$C$69),K543+0.005)</f>
        <v/>
      </c>
      <c r="J543" s="83">
        <f>_xlfn.NORM.INV(RAND(),ASSUMPTIONS!$C$19,ASSUMPTIONS!$C$70)</f>
        <v/>
      </c>
      <c r="K543" s="83">
        <f>_xlfn.NORM.INV(RAND(),ASSUMPTIONS!$C$43,ASSUMPTIONS!$C$71)</f>
        <v/>
      </c>
      <c r="L543" s="84">
        <f>(((ASSUMPTIONS!$C$18*J543*(1-ASSUMPTIONS!$C$20)+ASSUMPTIONS!$C$18*ASSUMPTIONS!$C$21-ASSUMPTIONS!$C$18*ASSUMPTIONS!$C$22)*(1+H543)*(1-((1+H543)/(1+I543))^5)/(I543-H543))+((ASSUMPTIONS!$C$18*J543*(1-ASSUMPTIONS!$C$20)+ASSUMPTIONS!$C$18*ASSUMPTIONS!$C$21-ASSUMPTIONS!$C$18*ASSUMPTIONS!$C$22)*(1+H543)^5*(1+K543)/(I543-K543)/(1+I543)^5)-DCF!$C$12)/ASSUMPTIONS!$C$7</f>
        <v/>
      </c>
    </row>
    <row r="544">
      <c r="H544" s="83">
        <f>_xlfn.NORM.INV(RAND(),AVERAGE(ASSUMPTIONS!$C$38,ASSUMPTIONS!$C$39,ASSUMPTIONS!$C$40,ASSUMPTIONS!$C$41,ASSUMPTIONS!$C$42),ASSUMPTIONS!$C$68)</f>
        <v/>
      </c>
      <c r="I544" s="83">
        <f>MAX(_xlfn.NORM.INV(RAND(),DCF!$C$11,ASSUMPTIONS!$C$69),K544+0.005)</f>
        <v/>
      </c>
      <c r="J544" s="83">
        <f>_xlfn.NORM.INV(RAND(),ASSUMPTIONS!$C$19,ASSUMPTIONS!$C$70)</f>
        <v/>
      </c>
      <c r="K544" s="83">
        <f>_xlfn.NORM.INV(RAND(),ASSUMPTIONS!$C$43,ASSUMPTIONS!$C$71)</f>
        <v/>
      </c>
      <c r="L544" s="84">
        <f>(((ASSUMPTIONS!$C$18*J544*(1-ASSUMPTIONS!$C$20)+ASSUMPTIONS!$C$18*ASSUMPTIONS!$C$21-ASSUMPTIONS!$C$18*ASSUMPTIONS!$C$22)*(1+H544)*(1-((1+H544)/(1+I544))^5)/(I544-H544))+((ASSUMPTIONS!$C$18*J544*(1-ASSUMPTIONS!$C$20)+ASSUMPTIONS!$C$18*ASSUMPTIONS!$C$21-ASSUMPTIONS!$C$18*ASSUMPTIONS!$C$22)*(1+H544)^5*(1+K544)/(I544-K544)/(1+I544)^5)-DCF!$C$12)/ASSUMPTIONS!$C$7</f>
        <v/>
      </c>
    </row>
    <row r="545">
      <c r="H545" s="83">
        <f>_xlfn.NORM.INV(RAND(),AVERAGE(ASSUMPTIONS!$C$38,ASSUMPTIONS!$C$39,ASSUMPTIONS!$C$40,ASSUMPTIONS!$C$41,ASSUMPTIONS!$C$42),ASSUMPTIONS!$C$68)</f>
        <v/>
      </c>
      <c r="I545" s="83">
        <f>MAX(_xlfn.NORM.INV(RAND(),DCF!$C$11,ASSUMPTIONS!$C$69),K545+0.005)</f>
        <v/>
      </c>
      <c r="J545" s="83">
        <f>_xlfn.NORM.INV(RAND(),ASSUMPTIONS!$C$19,ASSUMPTIONS!$C$70)</f>
        <v/>
      </c>
      <c r="K545" s="83">
        <f>_xlfn.NORM.INV(RAND(),ASSUMPTIONS!$C$43,ASSUMPTIONS!$C$71)</f>
        <v/>
      </c>
      <c r="L545" s="84">
        <f>(((ASSUMPTIONS!$C$18*J545*(1-ASSUMPTIONS!$C$20)+ASSUMPTIONS!$C$18*ASSUMPTIONS!$C$21-ASSUMPTIONS!$C$18*ASSUMPTIONS!$C$22)*(1+H545)*(1-((1+H545)/(1+I545))^5)/(I545-H545))+((ASSUMPTIONS!$C$18*J545*(1-ASSUMPTIONS!$C$20)+ASSUMPTIONS!$C$18*ASSUMPTIONS!$C$21-ASSUMPTIONS!$C$18*ASSUMPTIONS!$C$22)*(1+H545)^5*(1+K545)/(I545-K545)/(1+I545)^5)-DCF!$C$12)/ASSUMPTIONS!$C$7</f>
        <v/>
      </c>
    </row>
    <row r="546">
      <c r="H546" s="83">
        <f>_xlfn.NORM.INV(RAND(),AVERAGE(ASSUMPTIONS!$C$38,ASSUMPTIONS!$C$39,ASSUMPTIONS!$C$40,ASSUMPTIONS!$C$41,ASSUMPTIONS!$C$42),ASSUMPTIONS!$C$68)</f>
        <v/>
      </c>
      <c r="I546" s="83">
        <f>MAX(_xlfn.NORM.INV(RAND(),DCF!$C$11,ASSUMPTIONS!$C$69),K546+0.005)</f>
        <v/>
      </c>
      <c r="J546" s="83">
        <f>_xlfn.NORM.INV(RAND(),ASSUMPTIONS!$C$19,ASSUMPTIONS!$C$70)</f>
        <v/>
      </c>
      <c r="K546" s="83">
        <f>_xlfn.NORM.INV(RAND(),ASSUMPTIONS!$C$43,ASSUMPTIONS!$C$71)</f>
        <v/>
      </c>
      <c r="L546" s="84">
        <f>(((ASSUMPTIONS!$C$18*J546*(1-ASSUMPTIONS!$C$20)+ASSUMPTIONS!$C$18*ASSUMPTIONS!$C$21-ASSUMPTIONS!$C$18*ASSUMPTIONS!$C$22)*(1+H546)*(1-((1+H546)/(1+I546))^5)/(I546-H546))+((ASSUMPTIONS!$C$18*J546*(1-ASSUMPTIONS!$C$20)+ASSUMPTIONS!$C$18*ASSUMPTIONS!$C$21-ASSUMPTIONS!$C$18*ASSUMPTIONS!$C$22)*(1+H546)^5*(1+K546)/(I546-K546)/(1+I546)^5)-DCF!$C$12)/ASSUMPTIONS!$C$7</f>
        <v/>
      </c>
    </row>
    <row r="547">
      <c r="H547" s="83">
        <f>_xlfn.NORM.INV(RAND(),AVERAGE(ASSUMPTIONS!$C$38,ASSUMPTIONS!$C$39,ASSUMPTIONS!$C$40,ASSUMPTIONS!$C$41,ASSUMPTIONS!$C$42),ASSUMPTIONS!$C$68)</f>
        <v/>
      </c>
      <c r="I547" s="83">
        <f>MAX(_xlfn.NORM.INV(RAND(),DCF!$C$11,ASSUMPTIONS!$C$69),K547+0.005)</f>
        <v/>
      </c>
      <c r="J547" s="83">
        <f>_xlfn.NORM.INV(RAND(),ASSUMPTIONS!$C$19,ASSUMPTIONS!$C$70)</f>
        <v/>
      </c>
      <c r="K547" s="83">
        <f>_xlfn.NORM.INV(RAND(),ASSUMPTIONS!$C$43,ASSUMPTIONS!$C$71)</f>
        <v/>
      </c>
      <c r="L547" s="84">
        <f>(((ASSUMPTIONS!$C$18*J547*(1-ASSUMPTIONS!$C$20)+ASSUMPTIONS!$C$18*ASSUMPTIONS!$C$21-ASSUMPTIONS!$C$18*ASSUMPTIONS!$C$22)*(1+H547)*(1-((1+H547)/(1+I547))^5)/(I547-H547))+((ASSUMPTIONS!$C$18*J547*(1-ASSUMPTIONS!$C$20)+ASSUMPTIONS!$C$18*ASSUMPTIONS!$C$21-ASSUMPTIONS!$C$18*ASSUMPTIONS!$C$22)*(1+H547)^5*(1+K547)/(I547-K547)/(1+I547)^5)-DCF!$C$12)/ASSUMPTIONS!$C$7</f>
        <v/>
      </c>
    </row>
    <row r="548">
      <c r="H548" s="83">
        <f>_xlfn.NORM.INV(RAND(),AVERAGE(ASSUMPTIONS!$C$38,ASSUMPTIONS!$C$39,ASSUMPTIONS!$C$40,ASSUMPTIONS!$C$41,ASSUMPTIONS!$C$42),ASSUMPTIONS!$C$68)</f>
        <v/>
      </c>
      <c r="I548" s="83">
        <f>MAX(_xlfn.NORM.INV(RAND(),DCF!$C$11,ASSUMPTIONS!$C$69),K548+0.005)</f>
        <v/>
      </c>
      <c r="J548" s="83">
        <f>_xlfn.NORM.INV(RAND(),ASSUMPTIONS!$C$19,ASSUMPTIONS!$C$70)</f>
        <v/>
      </c>
      <c r="K548" s="83">
        <f>_xlfn.NORM.INV(RAND(),ASSUMPTIONS!$C$43,ASSUMPTIONS!$C$71)</f>
        <v/>
      </c>
      <c r="L548" s="84">
        <f>(((ASSUMPTIONS!$C$18*J548*(1-ASSUMPTIONS!$C$20)+ASSUMPTIONS!$C$18*ASSUMPTIONS!$C$21-ASSUMPTIONS!$C$18*ASSUMPTIONS!$C$22)*(1+H548)*(1-((1+H548)/(1+I548))^5)/(I548-H548))+((ASSUMPTIONS!$C$18*J548*(1-ASSUMPTIONS!$C$20)+ASSUMPTIONS!$C$18*ASSUMPTIONS!$C$21-ASSUMPTIONS!$C$18*ASSUMPTIONS!$C$22)*(1+H548)^5*(1+K548)/(I548-K548)/(1+I548)^5)-DCF!$C$12)/ASSUMPTIONS!$C$7</f>
        <v/>
      </c>
    </row>
    <row r="549">
      <c r="H549" s="83">
        <f>_xlfn.NORM.INV(RAND(),AVERAGE(ASSUMPTIONS!$C$38,ASSUMPTIONS!$C$39,ASSUMPTIONS!$C$40,ASSUMPTIONS!$C$41,ASSUMPTIONS!$C$42),ASSUMPTIONS!$C$68)</f>
        <v/>
      </c>
      <c r="I549" s="83">
        <f>MAX(_xlfn.NORM.INV(RAND(),DCF!$C$11,ASSUMPTIONS!$C$69),K549+0.005)</f>
        <v/>
      </c>
      <c r="J549" s="83">
        <f>_xlfn.NORM.INV(RAND(),ASSUMPTIONS!$C$19,ASSUMPTIONS!$C$70)</f>
        <v/>
      </c>
      <c r="K549" s="83">
        <f>_xlfn.NORM.INV(RAND(),ASSUMPTIONS!$C$43,ASSUMPTIONS!$C$71)</f>
        <v/>
      </c>
      <c r="L549" s="84">
        <f>(((ASSUMPTIONS!$C$18*J549*(1-ASSUMPTIONS!$C$20)+ASSUMPTIONS!$C$18*ASSUMPTIONS!$C$21-ASSUMPTIONS!$C$18*ASSUMPTIONS!$C$22)*(1+H549)*(1-((1+H549)/(1+I549))^5)/(I549-H549))+((ASSUMPTIONS!$C$18*J549*(1-ASSUMPTIONS!$C$20)+ASSUMPTIONS!$C$18*ASSUMPTIONS!$C$21-ASSUMPTIONS!$C$18*ASSUMPTIONS!$C$22)*(1+H549)^5*(1+K549)/(I549-K549)/(1+I549)^5)-DCF!$C$12)/ASSUMPTIONS!$C$7</f>
        <v/>
      </c>
    </row>
    <row r="550">
      <c r="H550" s="83">
        <f>_xlfn.NORM.INV(RAND(),AVERAGE(ASSUMPTIONS!$C$38,ASSUMPTIONS!$C$39,ASSUMPTIONS!$C$40,ASSUMPTIONS!$C$41,ASSUMPTIONS!$C$42),ASSUMPTIONS!$C$68)</f>
        <v/>
      </c>
      <c r="I550" s="83">
        <f>MAX(_xlfn.NORM.INV(RAND(),DCF!$C$11,ASSUMPTIONS!$C$69),K550+0.005)</f>
        <v/>
      </c>
      <c r="J550" s="83">
        <f>_xlfn.NORM.INV(RAND(),ASSUMPTIONS!$C$19,ASSUMPTIONS!$C$70)</f>
        <v/>
      </c>
      <c r="K550" s="83">
        <f>_xlfn.NORM.INV(RAND(),ASSUMPTIONS!$C$43,ASSUMPTIONS!$C$71)</f>
        <v/>
      </c>
      <c r="L550" s="84">
        <f>(((ASSUMPTIONS!$C$18*J550*(1-ASSUMPTIONS!$C$20)+ASSUMPTIONS!$C$18*ASSUMPTIONS!$C$21-ASSUMPTIONS!$C$18*ASSUMPTIONS!$C$22)*(1+H550)*(1-((1+H550)/(1+I550))^5)/(I550-H550))+((ASSUMPTIONS!$C$18*J550*(1-ASSUMPTIONS!$C$20)+ASSUMPTIONS!$C$18*ASSUMPTIONS!$C$21-ASSUMPTIONS!$C$18*ASSUMPTIONS!$C$22)*(1+H550)^5*(1+K550)/(I550-K550)/(1+I550)^5)-DCF!$C$12)/ASSUMPTIONS!$C$7</f>
        <v/>
      </c>
    </row>
    <row r="551">
      <c r="H551" s="83">
        <f>_xlfn.NORM.INV(RAND(),AVERAGE(ASSUMPTIONS!$C$38,ASSUMPTIONS!$C$39,ASSUMPTIONS!$C$40,ASSUMPTIONS!$C$41,ASSUMPTIONS!$C$42),ASSUMPTIONS!$C$68)</f>
        <v/>
      </c>
      <c r="I551" s="83">
        <f>MAX(_xlfn.NORM.INV(RAND(),DCF!$C$11,ASSUMPTIONS!$C$69),K551+0.005)</f>
        <v/>
      </c>
      <c r="J551" s="83">
        <f>_xlfn.NORM.INV(RAND(),ASSUMPTIONS!$C$19,ASSUMPTIONS!$C$70)</f>
        <v/>
      </c>
      <c r="K551" s="83">
        <f>_xlfn.NORM.INV(RAND(),ASSUMPTIONS!$C$43,ASSUMPTIONS!$C$71)</f>
        <v/>
      </c>
      <c r="L551" s="84">
        <f>(((ASSUMPTIONS!$C$18*J551*(1-ASSUMPTIONS!$C$20)+ASSUMPTIONS!$C$18*ASSUMPTIONS!$C$21-ASSUMPTIONS!$C$18*ASSUMPTIONS!$C$22)*(1+H551)*(1-((1+H551)/(1+I551))^5)/(I551-H551))+((ASSUMPTIONS!$C$18*J551*(1-ASSUMPTIONS!$C$20)+ASSUMPTIONS!$C$18*ASSUMPTIONS!$C$21-ASSUMPTIONS!$C$18*ASSUMPTIONS!$C$22)*(1+H551)^5*(1+K551)/(I551-K551)/(1+I551)^5)-DCF!$C$12)/ASSUMPTIONS!$C$7</f>
        <v/>
      </c>
    </row>
    <row r="552">
      <c r="H552" s="83">
        <f>_xlfn.NORM.INV(RAND(),AVERAGE(ASSUMPTIONS!$C$38,ASSUMPTIONS!$C$39,ASSUMPTIONS!$C$40,ASSUMPTIONS!$C$41,ASSUMPTIONS!$C$42),ASSUMPTIONS!$C$68)</f>
        <v/>
      </c>
      <c r="I552" s="83">
        <f>MAX(_xlfn.NORM.INV(RAND(),DCF!$C$11,ASSUMPTIONS!$C$69),K552+0.005)</f>
        <v/>
      </c>
      <c r="J552" s="83">
        <f>_xlfn.NORM.INV(RAND(),ASSUMPTIONS!$C$19,ASSUMPTIONS!$C$70)</f>
        <v/>
      </c>
      <c r="K552" s="83">
        <f>_xlfn.NORM.INV(RAND(),ASSUMPTIONS!$C$43,ASSUMPTIONS!$C$71)</f>
        <v/>
      </c>
      <c r="L552" s="84">
        <f>(((ASSUMPTIONS!$C$18*J552*(1-ASSUMPTIONS!$C$20)+ASSUMPTIONS!$C$18*ASSUMPTIONS!$C$21-ASSUMPTIONS!$C$18*ASSUMPTIONS!$C$22)*(1+H552)*(1-((1+H552)/(1+I552))^5)/(I552-H552))+((ASSUMPTIONS!$C$18*J552*(1-ASSUMPTIONS!$C$20)+ASSUMPTIONS!$C$18*ASSUMPTIONS!$C$21-ASSUMPTIONS!$C$18*ASSUMPTIONS!$C$22)*(1+H552)^5*(1+K552)/(I552-K552)/(1+I552)^5)-DCF!$C$12)/ASSUMPTIONS!$C$7</f>
        <v/>
      </c>
    </row>
    <row r="553">
      <c r="H553" s="83">
        <f>_xlfn.NORM.INV(RAND(),AVERAGE(ASSUMPTIONS!$C$38,ASSUMPTIONS!$C$39,ASSUMPTIONS!$C$40,ASSUMPTIONS!$C$41,ASSUMPTIONS!$C$42),ASSUMPTIONS!$C$68)</f>
        <v/>
      </c>
      <c r="I553" s="83">
        <f>MAX(_xlfn.NORM.INV(RAND(),DCF!$C$11,ASSUMPTIONS!$C$69),K553+0.005)</f>
        <v/>
      </c>
      <c r="J553" s="83">
        <f>_xlfn.NORM.INV(RAND(),ASSUMPTIONS!$C$19,ASSUMPTIONS!$C$70)</f>
        <v/>
      </c>
      <c r="K553" s="83">
        <f>_xlfn.NORM.INV(RAND(),ASSUMPTIONS!$C$43,ASSUMPTIONS!$C$71)</f>
        <v/>
      </c>
      <c r="L553" s="84">
        <f>(((ASSUMPTIONS!$C$18*J553*(1-ASSUMPTIONS!$C$20)+ASSUMPTIONS!$C$18*ASSUMPTIONS!$C$21-ASSUMPTIONS!$C$18*ASSUMPTIONS!$C$22)*(1+H553)*(1-((1+H553)/(1+I553))^5)/(I553-H553))+((ASSUMPTIONS!$C$18*J553*(1-ASSUMPTIONS!$C$20)+ASSUMPTIONS!$C$18*ASSUMPTIONS!$C$21-ASSUMPTIONS!$C$18*ASSUMPTIONS!$C$22)*(1+H553)^5*(1+K553)/(I553-K553)/(1+I553)^5)-DCF!$C$12)/ASSUMPTIONS!$C$7</f>
        <v/>
      </c>
    </row>
    <row r="554">
      <c r="H554" s="83">
        <f>_xlfn.NORM.INV(RAND(),AVERAGE(ASSUMPTIONS!$C$38,ASSUMPTIONS!$C$39,ASSUMPTIONS!$C$40,ASSUMPTIONS!$C$41,ASSUMPTIONS!$C$42),ASSUMPTIONS!$C$68)</f>
        <v/>
      </c>
      <c r="I554" s="83">
        <f>MAX(_xlfn.NORM.INV(RAND(),DCF!$C$11,ASSUMPTIONS!$C$69),K554+0.005)</f>
        <v/>
      </c>
      <c r="J554" s="83">
        <f>_xlfn.NORM.INV(RAND(),ASSUMPTIONS!$C$19,ASSUMPTIONS!$C$70)</f>
        <v/>
      </c>
      <c r="K554" s="83">
        <f>_xlfn.NORM.INV(RAND(),ASSUMPTIONS!$C$43,ASSUMPTIONS!$C$71)</f>
        <v/>
      </c>
      <c r="L554" s="84">
        <f>(((ASSUMPTIONS!$C$18*J554*(1-ASSUMPTIONS!$C$20)+ASSUMPTIONS!$C$18*ASSUMPTIONS!$C$21-ASSUMPTIONS!$C$18*ASSUMPTIONS!$C$22)*(1+H554)*(1-((1+H554)/(1+I554))^5)/(I554-H554))+((ASSUMPTIONS!$C$18*J554*(1-ASSUMPTIONS!$C$20)+ASSUMPTIONS!$C$18*ASSUMPTIONS!$C$21-ASSUMPTIONS!$C$18*ASSUMPTIONS!$C$22)*(1+H554)^5*(1+K554)/(I554-K554)/(1+I554)^5)-DCF!$C$12)/ASSUMPTIONS!$C$7</f>
        <v/>
      </c>
    </row>
    <row r="555">
      <c r="H555" s="83">
        <f>_xlfn.NORM.INV(RAND(),AVERAGE(ASSUMPTIONS!$C$38,ASSUMPTIONS!$C$39,ASSUMPTIONS!$C$40,ASSUMPTIONS!$C$41,ASSUMPTIONS!$C$42),ASSUMPTIONS!$C$68)</f>
        <v/>
      </c>
      <c r="I555" s="83">
        <f>MAX(_xlfn.NORM.INV(RAND(),DCF!$C$11,ASSUMPTIONS!$C$69),K555+0.005)</f>
        <v/>
      </c>
      <c r="J555" s="83">
        <f>_xlfn.NORM.INV(RAND(),ASSUMPTIONS!$C$19,ASSUMPTIONS!$C$70)</f>
        <v/>
      </c>
      <c r="K555" s="83">
        <f>_xlfn.NORM.INV(RAND(),ASSUMPTIONS!$C$43,ASSUMPTIONS!$C$71)</f>
        <v/>
      </c>
      <c r="L555" s="84">
        <f>(((ASSUMPTIONS!$C$18*J555*(1-ASSUMPTIONS!$C$20)+ASSUMPTIONS!$C$18*ASSUMPTIONS!$C$21-ASSUMPTIONS!$C$18*ASSUMPTIONS!$C$22)*(1+H555)*(1-((1+H555)/(1+I555))^5)/(I555-H555))+((ASSUMPTIONS!$C$18*J555*(1-ASSUMPTIONS!$C$20)+ASSUMPTIONS!$C$18*ASSUMPTIONS!$C$21-ASSUMPTIONS!$C$18*ASSUMPTIONS!$C$22)*(1+H555)^5*(1+K555)/(I555-K555)/(1+I555)^5)-DCF!$C$12)/ASSUMPTIONS!$C$7</f>
        <v/>
      </c>
    </row>
    <row r="556">
      <c r="H556" s="83">
        <f>_xlfn.NORM.INV(RAND(),AVERAGE(ASSUMPTIONS!$C$38,ASSUMPTIONS!$C$39,ASSUMPTIONS!$C$40,ASSUMPTIONS!$C$41,ASSUMPTIONS!$C$42),ASSUMPTIONS!$C$68)</f>
        <v/>
      </c>
      <c r="I556" s="83">
        <f>MAX(_xlfn.NORM.INV(RAND(),DCF!$C$11,ASSUMPTIONS!$C$69),K556+0.005)</f>
        <v/>
      </c>
      <c r="J556" s="83">
        <f>_xlfn.NORM.INV(RAND(),ASSUMPTIONS!$C$19,ASSUMPTIONS!$C$70)</f>
        <v/>
      </c>
      <c r="K556" s="83">
        <f>_xlfn.NORM.INV(RAND(),ASSUMPTIONS!$C$43,ASSUMPTIONS!$C$71)</f>
        <v/>
      </c>
      <c r="L556" s="84">
        <f>(((ASSUMPTIONS!$C$18*J556*(1-ASSUMPTIONS!$C$20)+ASSUMPTIONS!$C$18*ASSUMPTIONS!$C$21-ASSUMPTIONS!$C$18*ASSUMPTIONS!$C$22)*(1+H556)*(1-((1+H556)/(1+I556))^5)/(I556-H556))+((ASSUMPTIONS!$C$18*J556*(1-ASSUMPTIONS!$C$20)+ASSUMPTIONS!$C$18*ASSUMPTIONS!$C$21-ASSUMPTIONS!$C$18*ASSUMPTIONS!$C$22)*(1+H556)^5*(1+K556)/(I556-K556)/(1+I556)^5)-DCF!$C$12)/ASSUMPTIONS!$C$7</f>
        <v/>
      </c>
    </row>
    <row r="557">
      <c r="H557" s="83">
        <f>_xlfn.NORM.INV(RAND(),AVERAGE(ASSUMPTIONS!$C$38,ASSUMPTIONS!$C$39,ASSUMPTIONS!$C$40,ASSUMPTIONS!$C$41,ASSUMPTIONS!$C$42),ASSUMPTIONS!$C$68)</f>
        <v/>
      </c>
      <c r="I557" s="83">
        <f>MAX(_xlfn.NORM.INV(RAND(),DCF!$C$11,ASSUMPTIONS!$C$69),K557+0.005)</f>
        <v/>
      </c>
      <c r="J557" s="83">
        <f>_xlfn.NORM.INV(RAND(),ASSUMPTIONS!$C$19,ASSUMPTIONS!$C$70)</f>
        <v/>
      </c>
      <c r="K557" s="83">
        <f>_xlfn.NORM.INV(RAND(),ASSUMPTIONS!$C$43,ASSUMPTIONS!$C$71)</f>
        <v/>
      </c>
      <c r="L557" s="84">
        <f>(((ASSUMPTIONS!$C$18*J557*(1-ASSUMPTIONS!$C$20)+ASSUMPTIONS!$C$18*ASSUMPTIONS!$C$21-ASSUMPTIONS!$C$18*ASSUMPTIONS!$C$22)*(1+H557)*(1-((1+H557)/(1+I557))^5)/(I557-H557))+((ASSUMPTIONS!$C$18*J557*(1-ASSUMPTIONS!$C$20)+ASSUMPTIONS!$C$18*ASSUMPTIONS!$C$21-ASSUMPTIONS!$C$18*ASSUMPTIONS!$C$22)*(1+H557)^5*(1+K557)/(I557-K557)/(1+I557)^5)-DCF!$C$12)/ASSUMPTIONS!$C$7</f>
        <v/>
      </c>
    </row>
    <row r="558">
      <c r="H558" s="83">
        <f>_xlfn.NORM.INV(RAND(),AVERAGE(ASSUMPTIONS!$C$38,ASSUMPTIONS!$C$39,ASSUMPTIONS!$C$40,ASSUMPTIONS!$C$41,ASSUMPTIONS!$C$42),ASSUMPTIONS!$C$68)</f>
        <v/>
      </c>
      <c r="I558" s="83">
        <f>MAX(_xlfn.NORM.INV(RAND(),DCF!$C$11,ASSUMPTIONS!$C$69),K558+0.005)</f>
        <v/>
      </c>
      <c r="J558" s="83">
        <f>_xlfn.NORM.INV(RAND(),ASSUMPTIONS!$C$19,ASSUMPTIONS!$C$70)</f>
        <v/>
      </c>
      <c r="K558" s="83">
        <f>_xlfn.NORM.INV(RAND(),ASSUMPTIONS!$C$43,ASSUMPTIONS!$C$71)</f>
        <v/>
      </c>
      <c r="L558" s="84">
        <f>(((ASSUMPTIONS!$C$18*J558*(1-ASSUMPTIONS!$C$20)+ASSUMPTIONS!$C$18*ASSUMPTIONS!$C$21-ASSUMPTIONS!$C$18*ASSUMPTIONS!$C$22)*(1+H558)*(1-((1+H558)/(1+I558))^5)/(I558-H558))+((ASSUMPTIONS!$C$18*J558*(1-ASSUMPTIONS!$C$20)+ASSUMPTIONS!$C$18*ASSUMPTIONS!$C$21-ASSUMPTIONS!$C$18*ASSUMPTIONS!$C$22)*(1+H558)^5*(1+K558)/(I558-K558)/(1+I558)^5)-DCF!$C$12)/ASSUMPTIONS!$C$7</f>
        <v/>
      </c>
    </row>
    <row r="559">
      <c r="H559" s="83">
        <f>_xlfn.NORM.INV(RAND(),AVERAGE(ASSUMPTIONS!$C$38,ASSUMPTIONS!$C$39,ASSUMPTIONS!$C$40,ASSUMPTIONS!$C$41,ASSUMPTIONS!$C$42),ASSUMPTIONS!$C$68)</f>
        <v/>
      </c>
      <c r="I559" s="83">
        <f>MAX(_xlfn.NORM.INV(RAND(),DCF!$C$11,ASSUMPTIONS!$C$69),K559+0.005)</f>
        <v/>
      </c>
      <c r="J559" s="83">
        <f>_xlfn.NORM.INV(RAND(),ASSUMPTIONS!$C$19,ASSUMPTIONS!$C$70)</f>
        <v/>
      </c>
      <c r="K559" s="83">
        <f>_xlfn.NORM.INV(RAND(),ASSUMPTIONS!$C$43,ASSUMPTIONS!$C$71)</f>
        <v/>
      </c>
      <c r="L559" s="84">
        <f>(((ASSUMPTIONS!$C$18*J559*(1-ASSUMPTIONS!$C$20)+ASSUMPTIONS!$C$18*ASSUMPTIONS!$C$21-ASSUMPTIONS!$C$18*ASSUMPTIONS!$C$22)*(1+H559)*(1-((1+H559)/(1+I559))^5)/(I559-H559))+((ASSUMPTIONS!$C$18*J559*(1-ASSUMPTIONS!$C$20)+ASSUMPTIONS!$C$18*ASSUMPTIONS!$C$21-ASSUMPTIONS!$C$18*ASSUMPTIONS!$C$22)*(1+H559)^5*(1+K559)/(I559-K559)/(1+I559)^5)-DCF!$C$12)/ASSUMPTIONS!$C$7</f>
        <v/>
      </c>
    </row>
    <row r="560">
      <c r="H560" s="83">
        <f>_xlfn.NORM.INV(RAND(),AVERAGE(ASSUMPTIONS!$C$38,ASSUMPTIONS!$C$39,ASSUMPTIONS!$C$40,ASSUMPTIONS!$C$41,ASSUMPTIONS!$C$42),ASSUMPTIONS!$C$68)</f>
        <v/>
      </c>
      <c r="I560" s="83">
        <f>MAX(_xlfn.NORM.INV(RAND(),DCF!$C$11,ASSUMPTIONS!$C$69),K560+0.005)</f>
        <v/>
      </c>
      <c r="J560" s="83">
        <f>_xlfn.NORM.INV(RAND(),ASSUMPTIONS!$C$19,ASSUMPTIONS!$C$70)</f>
        <v/>
      </c>
      <c r="K560" s="83">
        <f>_xlfn.NORM.INV(RAND(),ASSUMPTIONS!$C$43,ASSUMPTIONS!$C$71)</f>
        <v/>
      </c>
      <c r="L560" s="84">
        <f>(((ASSUMPTIONS!$C$18*J560*(1-ASSUMPTIONS!$C$20)+ASSUMPTIONS!$C$18*ASSUMPTIONS!$C$21-ASSUMPTIONS!$C$18*ASSUMPTIONS!$C$22)*(1+H560)*(1-((1+H560)/(1+I560))^5)/(I560-H560))+((ASSUMPTIONS!$C$18*J560*(1-ASSUMPTIONS!$C$20)+ASSUMPTIONS!$C$18*ASSUMPTIONS!$C$21-ASSUMPTIONS!$C$18*ASSUMPTIONS!$C$22)*(1+H560)^5*(1+K560)/(I560-K560)/(1+I560)^5)-DCF!$C$12)/ASSUMPTIONS!$C$7</f>
        <v/>
      </c>
    </row>
    <row r="561">
      <c r="H561" s="83">
        <f>_xlfn.NORM.INV(RAND(),AVERAGE(ASSUMPTIONS!$C$38,ASSUMPTIONS!$C$39,ASSUMPTIONS!$C$40,ASSUMPTIONS!$C$41,ASSUMPTIONS!$C$42),ASSUMPTIONS!$C$68)</f>
        <v/>
      </c>
      <c r="I561" s="83">
        <f>MAX(_xlfn.NORM.INV(RAND(),DCF!$C$11,ASSUMPTIONS!$C$69),K561+0.005)</f>
        <v/>
      </c>
      <c r="J561" s="83">
        <f>_xlfn.NORM.INV(RAND(),ASSUMPTIONS!$C$19,ASSUMPTIONS!$C$70)</f>
        <v/>
      </c>
      <c r="K561" s="83">
        <f>_xlfn.NORM.INV(RAND(),ASSUMPTIONS!$C$43,ASSUMPTIONS!$C$71)</f>
        <v/>
      </c>
      <c r="L561" s="84">
        <f>(((ASSUMPTIONS!$C$18*J561*(1-ASSUMPTIONS!$C$20)+ASSUMPTIONS!$C$18*ASSUMPTIONS!$C$21-ASSUMPTIONS!$C$18*ASSUMPTIONS!$C$22)*(1+H561)*(1-((1+H561)/(1+I561))^5)/(I561-H561))+((ASSUMPTIONS!$C$18*J561*(1-ASSUMPTIONS!$C$20)+ASSUMPTIONS!$C$18*ASSUMPTIONS!$C$21-ASSUMPTIONS!$C$18*ASSUMPTIONS!$C$22)*(1+H561)^5*(1+K561)/(I561-K561)/(1+I561)^5)-DCF!$C$12)/ASSUMPTIONS!$C$7</f>
        <v/>
      </c>
    </row>
    <row r="562">
      <c r="H562" s="83">
        <f>_xlfn.NORM.INV(RAND(),AVERAGE(ASSUMPTIONS!$C$38,ASSUMPTIONS!$C$39,ASSUMPTIONS!$C$40,ASSUMPTIONS!$C$41,ASSUMPTIONS!$C$42),ASSUMPTIONS!$C$68)</f>
        <v/>
      </c>
      <c r="I562" s="83">
        <f>MAX(_xlfn.NORM.INV(RAND(),DCF!$C$11,ASSUMPTIONS!$C$69),K562+0.005)</f>
        <v/>
      </c>
      <c r="J562" s="83">
        <f>_xlfn.NORM.INV(RAND(),ASSUMPTIONS!$C$19,ASSUMPTIONS!$C$70)</f>
        <v/>
      </c>
      <c r="K562" s="83">
        <f>_xlfn.NORM.INV(RAND(),ASSUMPTIONS!$C$43,ASSUMPTIONS!$C$71)</f>
        <v/>
      </c>
      <c r="L562" s="84">
        <f>(((ASSUMPTIONS!$C$18*J562*(1-ASSUMPTIONS!$C$20)+ASSUMPTIONS!$C$18*ASSUMPTIONS!$C$21-ASSUMPTIONS!$C$18*ASSUMPTIONS!$C$22)*(1+H562)*(1-((1+H562)/(1+I562))^5)/(I562-H562))+((ASSUMPTIONS!$C$18*J562*(1-ASSUMPTIONS!$C$20)+ASSUMPTIONS!$C$18*ASSUMPTIONS!$C$21-ASSUMPTIONS!$C$18*ASSUMPTIONS!$C$22)*(1+H562)^5*(1+K562)/(I562-K562)/(1+I562)^5)-DCF!$C$12)/ASSUMPTIONS!$C$7</f>
        <v/>
      </c>
    </row>
    <row r="563">
      <c r="H563" s="83">
        <f>_xlfn.NORM.INV(RAND(),AVERAGE(ASSUMPTIONS!$C$38,ASSUMPTIONS!$C$39,ASSUMPTIONS!$C$40,ASSUMPTIONS!$C$41,ASSUMPTIONS!$C$42),ASSUMPTIONS!$C$68)</f>
        <v/>
      </c>
      <c r="I563" s="83">
        <f>MAX(_xlfn.NORM.INV(RAND(),DCF!$C$11,ASSUMPTIONS!$C$69),K563+0.005)</f>
        <v/>
      </c>
      <c r="J563" s="83">
        <f>_xlfn.NORM.INV(RAND(),ASSUMPTIONS!$C$19,ASSUMPTIONS!$C$70)</f>
        <v/>
      </c>
      <c r="K563" s="83">
        <f>_xlfn.NORM.INV(RAND(),ASSUMPTIONS!$C$43,ASSUMPTIONS!$C$71)</f>
        <v/>
      </c>
      <c r="L563" s="84">
        <f>(((ASSUMPTIONS!$C$18*J563*(1-ASSUMPTIONS!$C$20)+ASSUMPTIONS!$C$18*ASSUMPTIONS!$C$21-ASSUMPTIONS!$C$18*ASSUMPTIONS!$C$22)*(1+H563)*(1-((1+H563)/(1+I563))^5)/(I563-H563))+((ASSUMPTIONS!$C$18*J563*(1-ASSUMPTIONS!$C$20)+ASSUMPTIONS!$C$18*ASSUMPTIONS!$C$21-ASSUMPTIONS!$C$18*ASSUMPTIONS!$C$22)*(1+H563)^5*(1+K563)/(I563-K563)/(1+I563)^5)-DCF!$C$12)/ASSUMPTIONS!$C$7</f>
        <v/>
      </c>
    </row>
    <row r="564">
      <c r="H564" s="83">
        <f>_xlfn.NORM.INV(RAND(),AVERAGE(ASSUMPTIONS!$C$38,ASSUMPTIONS!$C$39,ASSUMPTIONS!$C$40,ASSUMPTIONS!$C$41,ASSUMPTIONS!$C$42),ASSUMPTIONS!$C$68)</f>
        <v/>
      </c>
      <c r="I564" s="83">
        <f>MAX(_xlfn.NORM.INV(RAND(),DCF!$C$11,ASSUMPTIONS!$C$69),K564+0.005)</f>
        <v/>
      </c>
      <c r="J564" s="83">
        <f>_xlfn.NORM.INV(RAND(),ASSUMPTIONS!$C$19,ASSUMPTIONS!$C$70)</f>
        <v/>
      </c>
      <c r="K564" s="83">
        <f>_xlfn.NORM.INV(RAND(),ASSUMPTIONS!$C$43,ASSUMPTIONS!$C$71)</f>
        <v/>
      </c>
      <c r="L564" s="84">
        <f>(((ASSUMPTIONS!$C$18*J564*(1-ASSUMPTIONS!$C$20)+ASSUMPTIONS!$C$18*ASSUMPTIONS!$C$21-ASSUMPTIONS!$C$18*ASSUMPTIONS!$C$22)*(1+H564)*(1-((1+H564)/(1+I564))^5)/(I564-H564))+((ASSUMPTIONS!$C$18*J564*(1-ASSUMPTIONS!$C$20)+ASSUMPTIONS!$C$18*ASSUMPTIONS!$C$21-ASSUMPTIONS!$C$18*ASSUMPTIONS!$C$22)*(1+H564)^5*(1+K564)/(I564-K564)/(1+I564)^5)-DCF!$C$12)/ASSUMPTIONS!$C$7</f>
        <v/>
      </c>
    </row>
    <row r="565">
      <c r="H565" s="83">
        <f>_xlfn.NORM.INV(RAND(),AVERAGE(ASSUMPTIONS!$C$38,ASSUMPTIONS!$C$39,ASSUMPTIONS!$C$40,ASSUMPTIONS!$C$41,ASSUMPTIONS!$C$42),ASSUMPTIONS!$C$68)</f>
        <v/>
      </c>
      <c r="I565" s="83">
        <f>MAX(_xlfn.NORM.INV(RAND(),DCF!$C$11,ASSUMPTIONS!$C$69),K565+0.005)</f>
        <v/>
      </c>
      <c r="J565" s="83">
        <f>_xlfn.NORM.INV(RAND(),ASSUMPTIONS!$C$19,ASSUMPTIONS!$C$70)</f>
        <v/>
      </c>
      <c r="K565" s="83">
        <f>_xlfn.NORM.INV(RAND(),ASSUMPTIONS!$C$43,ASSUMPTIONS!$C$71)</f>
        <v/>
      </c>
      <c r="L565" s="84">
        <f>(((ASSUMPTIONS!$C$18*J565*(1-ASSUMPTIONS!$C$20)+ASSUMPTIONS!$C$18*ASSUMPTIONS!$C$21-ASSUMPTIONS!$C$18*ASSUMPTIONS!$C$22)*(1+H565)*(1-((1+H565)/(1+I565))^5)/(I565-H565))+((ASSUMPTIONS!$C$18*J565*(1-ASSUMPTIONS!$C$20)+ASSUMPTIONS!$C$18*ASSUMPTIONS!$C$21-ASSUMPTIONS!$C$18*ASSUMPTIONS!$C$22)*(1+H565)^5*(1+K565)/(I565-K565)/(1+I565)^5)-DCF!$C$12)/ASSUMPTIONS!$C$7</f>
        <v/>
      </c>
    </row>
    <row r="566">
      <c r="H566" s="83">
        <f>_xlfn.NORM.INV(RAND(),AVERAGE(ASSUMPTIONS!$C$38,ASSUMPTIONS!$C$39,ASSUMPTIONS!$C$40,ASSUMPTIONS!$C$41,ASSUMPTIONS!$C$42),ASSUMPTIONS!$C$68)</f>
        <v/>
      </c>
      <c r="I566" s="83">
        <f>MAX(_xlfn.NORM.INV(RAND(),DCF!$C$11,ASSUMPTIONS!$C$69),K566+0.005)</f>
        <v/>
      </c>
      <c r="J566" s="83">
        <f>_xlfn.NORM.INV(RAND(),ASSUMPTIONS!$C$19,ASSUMPTIONS!$C$70)</f>
        <v/>
      </c>
      <c r="K566" s="83">
        <f>_xlfn.NORM.INV(RAND(),ASSUMPTIONS!$C$43,ASSUMPTIONS!$C$71)</f>
        <v/>
      </c>
      <c r="L566" s="84">
        <f>(((ASSUMPTIONS!$C$18*J566*(1-ASSUMPTIONS!$C$20)+ASSUMPTIONS!$C$18*ASSUMPTIONS!$C$21-ASSUMPTIONS!$C$18*ASSUMPTIONS!$C$22)*(1+H566)*(1-((1+H566)/(1+I566))^5)/(I566-H566))+((ASSUMPTIONS!$C$18*J566*(1-ASSUMPTIONS!$C$20)+ASSUMPTIONS!$C$18*ASSUMPTIONS!$C$21-ASSUMPTIONS!$C$18*ASSUMPTIONS!$C$22)*(1+H566)^5*(1+K566)/(I566-K566)/(1+I566)^5)-DCF!$C$12)/ASSUMPTIONS!$C$7</f>
        <v/>
      </c>
    </row>
    <row r="567">
      <c r="H567" s="83">
        <f>_xlfn.NORM.INV(RAND(),AVERAGE(ASSUMPTIONS!$C$38,ASSUMPTIONS!$C$39,ASSUMPTIONS!$C$40,ASSUMPTIONS!$C$41,ASSUMPTIONS!$C$42),ASSUMPTIONS!$C$68)</f>
        <v/>
      </c>
      <c r="I567" s="83">
        <f>MAX(_xlfn.NORM.INV(RAND(),DCF!$C$11,ASSUMPTIONS!$C$69),K567+0.005)</f>
        <v/>
      </c>
      <c r="J567" s="83">
        <f>_xlfn.NORM.INV(RAND(),ASSUMPTIONS!$C$19,ASSUMPTIONS!$C$70)</f>
        <v/>
      </c>
      <c r="K567" s="83">
        <f>_xlfn.NORM.INV(RAND(),ASSUMPTIONS!$C$43,ASSUMPTIONS!$C$71)</f>
        <v/>
      </c>
      <c r="L567" s="84">
        <f>(((ASSUMPTIONS!$C$18*J567*(1-ASSUMPTIONS!$C$20)+ASSUMPTIONS!$C$18*ASSUMPTIONS!$C$21-ASSUMPTIONS!$C$18*ASSUMPTIONS!$C$22)*(1+H567)*(1-((1+H567)/(1+I567))^5)/(I567-H567))+((ASSUMPTIONS!$C$18*J567*(1-ASSUMPTIONS!$C$20)+ASSUMPTIONS!$C$18*ASSUMPTIONS!$C$21-ASSUMPTIONS!$C$18*ASSUMPTIONS!$C$22)*(1+H567)^5*(1+K567)/(I567-K567)/(1+I567)^5)-DCF!$C$12)/ASSUMPTIONS!$C$7</f>
        <v/>
      </c>
    </row>
    <row r="568">
      <c r="H568" s="83">
        <f>_xlfn.NORM.INV(RAND(),AVERAGE(ASSUMPTIONS!$C$38,ASSUMPTIONS!$C$39,ASSUMPTIONS!$C$40,ASSUMPTIONS!$C$41,ASSUMPTIONS!$C$42),ASSUMPTIONS!$C$68)</f>
        <v/>
      </c>
      <c r="I568" s="83">
        <f>MAX(_xlfn.NORM.INV(RAND(),DCF!$C$11,ASSUMPTIONS!$C$69),K568+0.005)</f>
        <v/>
      </c>
      <c r="J568" s="83">
        <f>_xlfn.NORM.INV(RAND(),ASSUMPTIONS!$C$19,ASSUMPTIONS!$C$70)</f>
        <v/>
      </c>
      <c r="K568" s="83">
        <f>_xlfn.NORM.INV(RAND(),ASSUMPTIONS!$C$43,ASSUMPTIONS!$C$71)</f>
        <v/>
      </c>
      <c r="L568" s="84">
        <f>(((ASSUMPTIONS!$C$18*J568*(1-ASSUMPTIONS!$C$20)+ASSUMPTIONS!$C$18*ASSUMPTIONS!$C$21-ASSUMPTIONS!$C$18*ASSUMPTIONS!$C$22)*(1+H568)*(1-((1+H568)/(1+I568))^5)/(I568-H568))+((ASSUMPTIONS!$C$18*J568*(1-ASSUMPTIONS!$C$20)+ASSUMPTIONS!$C$18*ASSUMPTIONS!$C$21-ASSUMPTIONS!$C$18*ASSUMPTIONS!$C$22)*(1+H568)^5*(1+K568)/(I568-K568)/(1+I568)^5)-DCF!$C$12)/ASSUMPTIONS!$C$7</f>
        <v/>
      </c>
    </row>
    <row r="569">
      <c r="H569" s="83">
        <f>_xlfn.NORM.INV(RAND(),AVERAGE(ASSUMPTIONS!$C$38,ASSUMPTIONS!$C$39,ASSUMPTIONS!$C$40,ASSUMPTIONS!$C$41,ASSUMPTIONS!$C$42),ASSUMPTIONS!$C$68)</f>
        <v/>
      </c>
      <c r="I569" s="83">
        <f>MAX(_xlfn.NORM.INV(RAND(),DCF!$C$11,ASSUMPTIONS!$C$69),K569+0.005)</f>
        <v/>
      </c>
      <c r="J569" s="83">
        <f>_xlfn.NORM.INV(RAND(),ASSUMPTIONS!$C$19,ASSUMPTIONS!$C$70)</f>
        <v/>
      </c>
      <c r="K569" s="83">
        <f>_xlfn.NORM.INV(RAND(),ASSUMPTIONS!$C$43,ASSUMPTIONS!$C$71)</f>
        <v/>
      </c>
      <c r="L569" s="84">
        <f>(((ASSUMPTIONS!$C$18*J569*(1-ASSUMPTIONS!$C$20)+ASSUMPTIONS!$C$18*ASSUMPTIONS!$C$21-ASSUMPTIONS!$C$18*ASSUMPTIONS!$C$22)*(1+H569)*(1-((1+H569)/(1+I569))^5)/(I569-H569))+((ASSUMPTIONS!$C$18*J569*(1-ASSUMPTIONS!$C$20)+ASSUMPTIONS!$C$18*ASSUMPTIONS!$C$21-ASSUMPTIONS!$C$18*ASSUMPTIONS!$C$22)*(1+H569)^5*(1+K569)/(I569-K569)/(1+I569)^5)-DCF!$C$12)/ASSUMPTIONS!$C$7</f>
        <v/>
      </c>
    </row>
    <row r="570">
      <c r="H570" s="83">
        <f>_xlfn.NORM.INV(RAND(),AVERAGE(ASSUMPTIONS!$C$38,ASSUMPTIONS!$C$39,ASSUMPTIONS!$C$40,ASSUMPTIONS!$C$41,ASSUMPTIONS!$C$42),ASSUMPTIONS!$C$68)</f>
        <v/>
      </c>
      <c r="I570" s="83">
        <f>MAX(_xlfn.NORM.INV(RAND(),DCF!$C$11,ASSUMPTIONS!$C$69),K570+0.005)</f>
        <v/>
      </c>
      <c r="J570" s="83">
        <f>_xlfn.NORM.INV(RAND(),ASSUMPTIONS!$C$19,ASSUMPTIONS!$C$70)</f>
        <v/>
      </c>
      <c r="K570" s="83">
        <f>_xlfn.NORM.INV(RAND(),ASSUMPTIONS!$C$43,ASSUMPTIONS!$C$71)</f>
        <v/>
      </c>
      <c r="L570" s="84">
        <f>(((ASSUMPTIONS!$C$18*J570*(1-ASSUMPTIONS!$C$20)+ASSUMPTIONS!$C$18*ASSUMPTIONS!$C$21-ASSUMPTIONS!$C$18*ASSUMPTIONS!$C$22)*(1+H570)*(1-((1+H570)/(1+I570))^5)/(I570-H570))+((ASSUMPTIONS!$C$18*J570*(1-ASSUMPTIONS!$C$20)+ASSUMPTIONS!$C$18*ASSUMPTIONS!$C$21-ASSUMPTIONS!$C$18*ASSUMPTIONS!$C$22)*(1+H570)^5*(1+K570)/(I570-K570)/(1+I570)^5)-DCF!$C$12)/ASSUMPTIONS!$C$7</f>
        <v/>
      </c>
    </row>
    <row r="571">
      <c r="H571" s="83">
        <f>_xlfn.NORM.INV(RAND(),AVERAGE(ASSUMPTIONS!$C$38,ASSUMPTIONS!$C$39,ASSUMPTIONS!$C$40,ASSUMPTIONS!$C$41,ASSUMPTIONS!$C$42),ASSUMPTIONS!$C$68)</f>
        <v/>
      </c>
      <c r="I571" s="83">
        <f>MAX(_xlfn.NORM.INV(RAND(),DCF!$C$11,ASSUMPTIONS!$C$69),K571+0.005)</f>
        <v/>
      </c>
      <c r="J571" s="83">
        <f>_xlfn.NORM.INV(RAND(),ASSUMPTIONS!$C$19,ASSUMPTIONS!$C$70)</f>
        <v/>
      </c>
      <c r="K571" s="83">
        <f>_xlfn.NORM.INV(RAND(),ASSUMPTIONS!$C$43,ASSUMPTIONS!$C$71)</f>
        <v/>
      </c>
      <c r="L571" s="84">
        <f>(((ASSUMPTIONS!$C$18*J571*(1-ASSUMPTIONS!$C$20)+ASSUMPTIONS!$C$18*ASSUMPTIONS!$C$21-ASSUMPTIONS!$C$18*ASSUMPTIONS!$C$22)*(1+H571)*(1-((1+H571)/(1+I571))^5)/(I571-H571))+((ASSUMPTIONS!$C$18*J571*(1-ASSUMPTIONS!$C$20)+ASSUMPTIONS!$C$18*ASSUMPTIONS!$C$21-ASSUMPTIONS!$C$18*ASSUMPTIONS!$C$22)*(1+H571)^5*(1+K571)/(I571-K571)/(1+I571)^5)-DCF!$C$12)/ASSUMPTIONS!$C$7</f>
        <v/>
      </c>
    </row>
    <row r="572">
      <c r="H572" s="83">
        <f>_xlfn.NORM.INV(RAND(),AVERAGE(ASSUMPTIONS!$C$38,ASSUMPTIONS!$C$39,ASSUMPTIONS!$C$40,ASSUMPTIONS!$C$41,ASSUMPTIONS!$C$42),ASSUMPTIONS!$C$68)</f>
        <v/>
      </c>
      <c r="I572" s="83">
        <f>MAX(_xlfn.NORM.INV(RAND(),DCF!$C$11,ASSUMPTIONS!$C$69),K572+0.005)</f>
        <v/>
      </c>
      <c r="J572" s="83">
        <f>_xlfn.NORM.INV(RAND(),ASSUMPTIONS!$C$19,ASSUMPTIONS!$C$70)</f>
        <v/>
      </c>
      <c r="K572" s="83">
        <f>_xlfn.NORM.INV(RAND(),ASSUMPTIONS!$C$43,ASSUMPTIONS!$C$71)</f>
        <v/>
      </c>
      <c r="L572" s="84">
        <f>(((ASSUMPTIONS!$C$18*J572*(1-ASSUMPTIONS!$C$20)+ASSUMPTIONS!$C$18*ASSUMPTIONS!$C$21-ASSUMPTIONS!$C$18*ASSUMPTIONS!$C$22)*(1+H572)*(1-((1+H572)/(1+I572))^5)/(I572-H572))+((ASSUMPTIONS!$C$18*J572*(1-ASSUMPTIONS!$C$20)+ASSUMPTIONS!$C$18*ASSUMPTIONS!$C$21-ASSUMPTIONS!$C$18*ASSUMPTIONS!$C$22)*(1+H572)^5*(1+K572)/(I572-K572)/(1+I572)^5)-DCF!$C$12)/ASSUMPTIONS!$C$7</f>
        <v/>
      </c>
    </row>
    <row r="573">
      <c r="H573" s="83">
        <f>_xlfn.NORM.INV(RAND(),AVERAGE(ASSUMPTIONS!$C$38,ASSUMPTIONS!$C$39,ASSUMPTIONS!$C$40,ASSUMPTIONS!$C$41,ASSUMPTIONS!$C$42),ASSUMPTIONS!$C$68)</f>
        <v/>
      </c>
      <c r="I573" s="83">
        <f>MAX(_xlfn.NORM.INV(RAND(),DCF!$C$11,ASSUMPTIONS!$C$69),K573+0.005)</f>
        <v/>
      </c>
      <c r="J573" s="83">
        <f>_xlfn.NORM.INV(RAND(),ASSUMPTIONS!$C$19,ASSUMPTIONS!$C$70)</f>
        <v/>
      </c>
      <c r="K573" s="83">
        <f>_xlfn.NORM.INV(RAND(),ASSUMPTIONS!$C$43,ASSUMPTIONS!$C$71)</f>
        <v/>
      </c>
      <c r="L573" s="84">
        <f>(((ASSUMPTIONS!$C$18*J573*(1-ASSUMPTIONS!$C$20)+ASSUMPTIONS!$C$18*ASSUMPTIONS!$C$21-ASSUMPTIONS!$C$18*ASSUMPTIONS!$C$22)*(1+H573)*(1-((1+H573)/(1+I573))^5)/(I573-H573))+((ASSUMPTIONS!$C$18*J573*(1-ASSUMPTIONS!$C$20)+ASSUMPTIONS!$C$18*ASSUMPTIONS!$C$21-ASSUMPTIONS!$C$18*ASSUMPTIONS!$C$22)*(1+H573)^5*(1+K573)/(I573-K573)/(1+I573)^5)-DCF!$C$12)/ASSUMPTIONS!$C$7</f>
        <v/>
      </c>
    </row>
    <row r="574">
      <c r="H574" s="83">
        <f>_xlfn.NORM.INV(RAND(),AVERAGE(ASSUMPTIONS!$C$38,ASSUMPTIONS!$C$39,ASSUMPTIONS!$C$40,ASSUMPTIONS!$C$41,ASSUMPTIONS!$C$42),ASSUMPTIONS!$C$68)</f>
        <v/>
      </c>
      <c r="I574" s="83">
        <f>MAX(_xlfn.NORM.INV(RAND(),DCF!$C$11,ASSUMPTIONS!$C$69),K574+0.005)</f>
        <v/>
      </c>
      <c r="J574" s="83">
        <f>_xlfn.NORM.INV(RAND(),ASSUMPTIONS!$C$19,ASSUMPTIONS!$C$70)</f>
        <v/>
      </c>
      <c r="K574" s="83">
        <f>_xlfn.NORM.INV(RAND(),ASSUMPTIONS!$C$43,ASSUMPTIONS!$C$71)</f>
        <v/>
      </c>
      <c r="L574" s="84">
        <f>(((ASSUMPTIONS!$C$18*J574*(1-ASSUMPTIONS!$C$20)+ASSUMPTIONS!$C$18*ASSUMPTIONS!$C$21-ASSUMPTIONS!$C$18*ASSUMPTIONS!$C$22)*(1+H574)*(1-((1+H574)/(1+I574))^5)/(I574-H574))+((ASSUMPTIONS!$C$18*J574*(1-ASSUMPTIONS!$C$20)+ASSUMPTIONS!$C$18*ASSUMPTIONS!$C$21-ASSUMPTIONS!$C$18*ASSUMPTIONS!$C$22)*(1+H574)^5*(1+K574)/(I574-K574)/(1+I574)^5)-DCF!$C$12)/ASSUMPTIONS!$C$7</f>
        <v/>
      </c>
    </row>
    <row r="575">
      <c r="H575" s="83">
        <f>_xlfn.NORM.INV(RAND(),AVERAGE(ASSUMPTIONS!$C$38,ASSUMPTIONS!$C$39,ASSUMPTIONS!$C$40,ASSUMPTIONS!$C$41,ASSUMPTIONS!$C$42),ASSUMPTIONS!$C$68)</f>
        <v/>
      </c>
      <c r="I575" s="83">
        <f>MAX(_xlfn.NORM.INV(RAND(),DCF!$C$11,ASSUMPTIONS!$C$69),K575+0.005)</f>
        <v/>
      </c>
      <c r="J575" s="83">
        <f>_xlfn.NORM.INV(RAND(),ASSUMPTIONS!$C$19,ASSUMPTIONS!$C$70)</f>
        <v/>
      </c>
      <c r="K575" s="83">
        <f>_xlfn.NORM.INV(RAND(),ASSUMPTIONS!$C$43,ASSUMPTIONS!$C$71)</f>
        <v/>
      </c>
      <c r="L575" s="84">
        <f>(((ASSUMPTIONS!$C$18*J575*(1-ASSUMPTIONS!$C$20)+ASSUMPTIONS!$C$18*ASSUMPTIONS!$C$21-ASSUMPTIONS!$C$18*ASSUMPTIONS!$C$22)*(1+H575)*(1-((1+H575)/(1+I575))^5)/(I575-H575))+((ASSUMPTIONS!$C$18*J575*(1-ASSUMPTIONS!$C$20)+ASSUMPTIONS!$C$18*ASSUMPTIONS!$C$21-ASSUMPTIONS!$C$18*ASSUMPTIONS!$C$22)*(1+H575)^5*(1+K575)/(I575-K575)/(1+I575)^5)-DCF!$C$12)/ASSUMPTIONS!$C$7</f>
        <v/>
      </c>
    </row>
    <row r="576">
      <c r="H576" s="83">
        <f>_xlfn.NORM.INV(RAND(),AVERAGE(ASSUMPTIONS!$C$38,ASSUMPTIONS!$C$39,ASSUMPTIONS!$C$40,ASSUMPTIONS!$C$41,ASSUMPTIONS!$C$42),ASSUMPTIONS!$C$68)</f>
        <v/>
      </c>
      <c r="I576" s="83">
        <f>MAX(_xlfn.NORM.INV(RAND(),DCF!$C$11,ASSUMPTIONS!$C$69),K576+0.005)</f>
        <v/>
      </c>
      <c r="J576" s="83">
        <f>_xlfn.NORM.INV(RAND(),ASSUMPTIONS!$C$19,ASSUMPTIONS!$C$70)</f>
        <v/>
      </c>
      <c r="K576" s="83">
        <f>_xlfn.NORM.INV(RAND(),ASSUMPTIONS!$C$43,ASSUMPTIONS!$C$71)</f>
        <v/>
      </c>
      <c r="L576" s="84">
        <f>(((ASSUMPTIONS!$C$18*J576*(1-ASSUMPTIONS!$C$20)+ASSUMPTIONS!$C$18*ASSUMPTIONS!$C$21-ASSUMPTIONS!$C$18*ASSUMPTIONS!$C$22)*(1+H576)*(1-((1+H576)/(1+I576))^5)/(I576-H576))+((ASSUMPTIONS!$C$18*J576*(1-ASSUMPTIONS!$C$20)+ASSUMPTIONS!$C$18*ASSUMPTIONS!$C$21-ASSUMPTIONS!$C$18*ASSUMPTIONS!$C$22)*(1+H576)^5*(1+K576)/(I576-K576)/(1+I576)^5)-DCF!$C$12)/ASSUMPTIONS!$C$7</f>
        <v/>
      </c>
    </row>
    <row r="577">
      <c r="H577" s="83">
        <f>_xlfn.NORM.INV(RAND(),AVERAGE(ASSUMPTIONS!$C$38,ASSUMPTIONS!$C$39,ASSUMPTIONS!$C$40,ASSUMPTIONS!$C$41,ASSUMPTIONS!$C$42),ASSUMPTIONS!$C$68)</f>
        <v/>
      </c>
      <c r="I577" s="83">
        <f>MAX(_xlfn.NORM.INV(RAND(),DCF!$C$11,ASSUMPTIONS!$C$69),K577+0.005)</f>
        <v/>
      </c>
      <c r="J577" s="83">
        <f>_xlfn.NORM.INV(RAND(),ASSUMPTIONS!$C$19,ASSUMPTIONS!$C$70)</f>
        <v/>
      </c>
      <c r="K577" s="83">
        <f>_xlfn.NORM.INV(RAND(),ASSUMPTIONS!$C$43,ASSUMPTIONS!$C$71)</f>
        <v/>
      </c>
      <c r="L577" s="84">
        <f>(((ASSUMPTIONS!$C$18*J577*(1-ASSUMPTIONS!$C$20)+ASSUMPTIONS!$C$18*ASSUMPTIONS!$C$21-ASSUMPTIONS!$C$18*ASSUMPTIONS!$C$22)*(1+H577)*(1-((1+H577)/(1+I577))^5)/(I577-H577))+((ASSUMPTIONS!$C$18*J577*(1-ASSUMPTIONS!$C$20)+ASSUMPTIONS!$C$18*ASSUMPTIONS!$C$21-ASSUMPTIONS!$C$18*ASSUMPTIONS!$C$22)*(1+H577)^5*(1+K577)/(I577-K577)/(1+I577)^5)-DCF!$C$12)/ASSUMPTIONS!$C$7</f>
        <v/>
      </c>
    </row>
    <row r="578">
      <c r="H578" s="83">
        <f>_xlfn.NORM.INV(RAND(),AVERAGE(ASSUMPTIONS!$C$38,ASSUMPTIONS!$C$39,ASSUMPTIONS!$C$40,ASSUMPTIONS!$C$41,ASSUMPTIONS!$C$42),ASSUMPTIONS!$C$68)</f>
        <v/>
      </c>
      <c r="I578" s="83">
        <f>MAX(_xlfn.NORM.INV(RAND(),DCF!$C$11,ASSUMPTIONS!$C$69),K578+0.005)</f>
        <v/>
      </c>
      <c r="J578" s="83">
        <f>_xlfn.NORM.INV(RAND(),ASSUMPTIONS!$C$19,ASSUMPTIONS!$C$70)</f>
        <v/>
      </c>
      <c r="K578" s="83">
        <f>_xlfn.NORM.INV(RAND(),ASSUMPTIONS!$C$43,ASSUMPTIONS!$C$71)</f>
        <v/>
      </c>
      <c r="L578" s="84">
        <f>(((ASSUMPTIONS!$C$18*J578*(1-ASSUMPTIONS!$C$20)+ASSUMPTIONS!$C$18*ASSUMPTIONS!$C$21-ASSUMPTIONS!$C$18*ASSUMPTIONS!$C$22)*(1+H578)*(1-((1+H578)/(1+I578))^5)/(I578-H578))+((ASSUMPTIONS!$C$18*J578*(1-ASSUMPTIONS!$C$20)+ASSUMPTIONS!$C$18*ASSUMPTIONS!$C$21-ASSUMPTIONS!$C$18*ASSUMPTIONS!$C$22)*(1+H578)^5*(1+K578)/(I578-K578)/(1+I578)^5)-DCF!$C$12)/ASSUMPTIONS!$C$7</f>
        <v/>
      </c>
    </row>
    <row r="579">
      <c r="H579" s="83">
        <f>_xlfn.NORM.INV(RAND(),AVERAGE(ASSUMPTIONS!$C$38,ASSUMPTIONS!$C$39,ASSUMPTIONS!$C$40,ASSUMPTIONS!$C$41,ASSUMPTIONS!$C$42),ASSUMPTIONS!$C$68)</f>
        <v/>
      </c>
      <c r="I579" s="83">
        <f>MAX(_xlfn.NORM.INV(RAND(),DCF!$C$11,ASSUMPTIONS!$C$69),K579+0.005)</f>
        <v/>
      </c>
      <c r="J579" s="83">
        <f>_xlfn.NORM.INV(RAND(),ASSUMPTIONS!$C$19,ASSUMPTIONS!$C$70)</f>
        <v/>
      </c>
      <c r="K579" s="83">
        <f>_xlfn.NORM.INV(RAND(),ASSUMPTIONS!$C$43,ASSUMPTIONS!$C$71)</f>
        <v/>
      </c>
      <c r="L579" s="84">
        <f>(((ASSUMPTIONS!$C$18*J579*(1-ASSUMPTIONS!$C$20)+ASSUMPTIONS!$C$18*ASSUMPTIONS!$C$21-ASSUMPTIONS!$C$18*ASSUMPTIONS!$C$22)*(1+H579)*(1-((1+H579)/(1+I579))^5)/(I579-H579))+((ASSUMPTIONS!$C$18*J579*(1-ASSUMPTIONS!$C$20)+ASSUMPTIONS!$C$18*ASSUMPTIONS!$C$21-ASSUMPTIONS!$C$18*ASSUMPTIONS!$C$22)*(1+H579)^5*(1+K579)/(I579-K579)/(1+I579)^5)-DCF!$C$12)/ASSUMPTIONS!$C$7</f>
        <v/>
      </c>
    </row>
    <row r="580">
      <c r="H580" s="83">
        <f>_xlfn.NORM.INV(RAND(),AVERAGE(ASSUMPTIONS!$C$38,ASSUMPTIONS!$C$39,ASSUMPTIONS!$C$40,ASSUMPTIONS!$C$41,ASSUMPTIONS!$C$42),ASSUMPTIONS!$C$68)</f>
        <v/>
      </c>
      <c r="I580" s="83">
        <f>MAX(_xlfn.NORM.INV(RAND(),DCF!$C$11,ASSUMPTIONS!$C$69),K580+0.005)</f>
        <v/>
      </c>
      <c r="J580" s="83">
        <f>_xlfn.NORM.INV(RAND(),ASSUMPTIONS!$C$19,ASSUMPTIONS!$C$70)</f>
        <v/>
      </c>
      <c r="K580" s="83">
        <f>_xlfn.NORM.INV(RAND(),ASSUMPTIONS!$C$43,ASSUMPTIONS!$C$71)</f>
        <v/>
      </c>
      <c r="L580" s="84">
        <f>(((ASSUMPTIONS!$C$18*J580*(1-ASSUMPTIONS!$C$20)+ASSUMPTIONS!$C$18*ASSUMPTIONS!$C$21-ASSUMPTIONS!$C$18*ASSUMPTIONS!$C$22)*(1+H580)*(1-((1+H580)/(1+I580))^5)/(I580-H580))+((ASSUMPTIONS!$C$18*J580*(1-ASSUMPTIONS!$C$20)+ASSUMPTIONS!$C$18*ASSUMPTIONS!$C$21-ASSUMPTIONS!$C$18*ASSUMPTIONS!$C$22)*(1+H580)^5*(1+K580)/(I580-K580)/(1+I580)^5)-DCF!$C$12)/ASSUMPTIONS!$C$7</f>
        <v/>
      </c>
    </row>
    <row r="581">
      <c r="H581" s="83">
        <f>_xlfn.NORM.INV(RAND(),AVERAGE(ASSUMPTIONS!$C$38,ASSUMPTIONS!$C$39,ASSUMPTIONS!$C$40,ASSUMPTIONS!$C$41,ASSUMPTIONS!$C$42),ASSUMPTIONS!$C$68)</f>
        <v/>
      </c>
      <c r="I581" s="83">
        <f>MAX(_xlfn.NORM.INV(RAND(),DCF!$C$11,ASSUMPTIONS!$C$69),K581+0.005)</f>
        <v/>
      </c>
      <c r="J581" s="83">
        <f>_xlfn.NORM.INV(RAND(),ASSUMPTIONS!$C$19,ASSUMPTIONS!$C$70)</f>
        <v/>
      </c>
      <c r="K581" s="83">
        <f>_xlfn.NORM.INV(RAND(),ASSUMPTIONS!$C$43,ASSUMPTIONS!$C$71)</f>
        <v/>
      </c>
      <c r="L581" s="84">
        <f>(((ASSUMPTIONS!$C$18*J581*(1-ASSUMPTIONS!$C$20)+ASSUMPTIONS!$C$18*ASSUMPTIONS!$C$21-ASSUMPTIONS!$C$18*ASSUMPTIONS!$C$22)*(1+H581)*(1-((1+H581)/(1+I581))^5)/(I581-H581))+((ASSUMPTIONS!$C$18*J581*(1-ASSUMPTIONS!$C$20)+ASSUMPTIONS!$C$18*ASSUMPTIONS!$C$21-ASSUMPTIONS!$C$18*ASSUMPTIONS!$C$22)*(1+H581)^5*(1+K581)/(I581-K581)/(1+I581)^5)-DCF!$C$12)/ASSUMPTIONS!$C$7</f>
        <v/>
      </c>
    </row>
    <row r="582">
      <c r="H582" s="83">
        <f>_xlfn.NORM.INV(RAND(),AVERAGE(ASSUMPTIONS!$C$38,ASSUMPTIONS!$C$39,ASSUMPTIONS!$C$40,ASSUMPTIONS!$C$41,ASSUMPTIONS!$C$42),ASSUMPTIONS!$C$68)</f>
        <v/>
      </c>
      <c r="I582" s="83">
        <f>MAX(_xlfn.NORM.INV(RAND(),DCF!$C$11,ASSUMPTIONS!$C$69),K582+0.005)</f>
        <v/>
      </c>
      <c r="J582" s="83">
        <f>_xlfn.NORM.INV(RAND(),ASSUMPTIONS!$C$19,ASSUMPTIONS!$C$70)</f>
        <v/>
      </c>
      <c r="K582" s="83">
        <f>_xlfn.NORM.INV(RAND(),ASSUMPTIONS!$C$43,ASSUMPTIONS!$C$71)</f>
        <v/>
      </c>
      <c r="L582" s="84">
        <f>(((ASSUMPTIONS!$C$18*J582*(1-ASSUMPTIONS!$C$20)+ASSUMPTIONS!$C$18*ASSUMPTIONS!$C$21-ASSUMPTIONS!$C$18*ASSUMPTIONS!$C$22)*(1+H582)*(1-((1+H582)/(1+I582))^5)/(I582-H582))+((ASSUMPTIONS!$C$18*J582*(1-ASSUMPTIONS!$C$20)+ASSUMPTIONS!$C$18*ASSUMPTIONS!$C$21-ASSUMPTIONS!$C$18*ASSUMPTIONS!$C$22)*(1+H582)^5*(1+K582)/(I582-K582)/(1+I582)^5)-DCF!$C$12)/ASSUMPTIONS!$C$7</f>
        <v/>
      </c>
    </row>
    <row r="583">
      <c r="H583" s="83">
        <f>_xlfn.NORM.INV(RAND(),AVERAGE(ASSUMPTIONS!$C$38,ASSUMPTIONS!$C$39,ASSUMPTIONS!$C$40,ASSUMPTIONS!$C$41,ASSUMPTIONS!$C$42),ASSUMPTIONS!$C$68)</f>
        <v/>
      </c>
      <c r="I583" s="83">
        <f>MAX(_xlfn.NORM.INV(RAND(),DCF!$C$11,ASSUMPTIONS!$C$69),K583+0.005)</f>
        <v/>
      </c>
      <c r="J583" s="83">
        <f>_xlfn.NORM.INV(RAND(),ASSUMPTIONS!$C$19,ASSUMPTIONS!$C$70)</f>
        <v/>
      </c>
      <c r="K583" s="83">
        <f>_xlfn.NORM.INV(RAND(),ASSUMPTIONS!$C$43,ASSUMPTIONS!$C$71)</f>
        <v/>
      </c>
      <c r="L583" s="84">
        <f>(((ASSUMPTIONS!$C$18*J583*(1-ASSUMPTIONS!$C$20)+ASSUMPTIONS!$C$18*ASSUMPTIONS!$C$21-ASSUMPTIONS!$C$18*ASSUMPTIONS!$C$22)*(1+H583)*(1-((1+H583)/(1+I583))^5)/(I583-H583))+((ASSUMPTIONS!$C$18*J583*(1-ASSUMPTIONS!$C$20)+ASSUMPTIONS!$C$18*ASSUMPTIONS!$C$21-ASSUMPTIONS!$C$18*ASSUMPTIONS!$C$22)*(1+H583)^5*(1+K583)/(I583-K583)/(1+I583)^5)-DCF!$C$12)/ASSUMPTIONS!$C$7</f>
        <v/>
      </c>
    </row>
    <row r="584">
      <c r="H584" s="83">
        <f>_xlfn.NORM.INV(RAND(),AVERAGE(ASSUMPTIONS!$C$38,ASSUMPTIONS!$C$39,ASSUMPTIONS!$C$40,ASSUMPTIONS!$C$41,ASSUMPTIONS!$C$42),ASSUMPTIONS!$C$68)</f>
        <v/>
      </c>
      <c r="I584" s="83">
        <f>MAX(_xlfn.NORM.INV(RAND(),DCF!$C$11,ASSUMPTIONS!$C$69),K584+0.005)</f>
        <v/>
      </c>
      <c r="J584" s="83">
        <f>_xlfn.NORM.INV(RAND(),ASSUMPTIONS!$C$19,ASSUMPTIONS!$C$70)</f>
        <v/>
      </c>
      <c r="K584" s="83">
        <f>_xlfn.NORM.INV(RAND(),ASSUMPTIONS!$C$43,ASSUMPTIONS!$C$71)</f>
        <v/>
      </c>
      <c r="L584" s="84">
        <f>(((ASSUMPTIONS!$C$18*J584*(1-ASSUMPTIONS!$C$20)+ASSUMPTIONS!$C$18*ASSUMPTIONS!$C$21-ASSUMPTIONS!$C$18*ASSUMPTIONS!$C$22)*(1+H584)*(1-((1+H584)/(1+I584))^5)/(I584-H584))+((ASSUMPTIONS!$C$18*J584*(1-ASSUMPTIONS!$C$20)+ASSUMPTIONS!$C$18*ASSUMPTIONS!$C$21-ASSUMPTIONS!$C$18*ASSUMPTIONS!$C$22)*(1+H584)^5*(1+K584)/(I584-K584)/(1+I584)^5)-DCF!$C$12)/ASSUMPTIONS!$C$7</f>
        <v/>
      </c>
    </row>
    <row r="585">
      <c r="H585" s="83">
        <f>_xlfn.NORM.INV(RAND(),AVERAGE(ASSUMPTIONS!$C$38,ASSUMPTIONS!$C$39,ASSUMPTIONS!$C$40,ASSUMPTIONS!$C$41,ASSUMPTIONS!$C$42),ASSUMPTIONS!$C$68)</f>
        <v/>
      </c>
      <c r="I585" s="83">
        <f>MAX(_xlfn.NORM.INV(RAND(),DCF!$C$11,ASSUMPTIONS!$C$69),K585+0.005)</f>
        <v/>
      </c>
      <c r="J585" s="83">
        <f>_xlfn.NORM.INV(RAND(),ASSUMPTIONS!$C$19,ASSUMPTIONS!$C$70)</f>
        <v/>
      </c>
      <c r="K585" s="83">
        <f>_xlfn.NORM.INV(RAND(),ASSUMPTIONS!$C$43,ASSUMPTIONS!$C$71)</f>
        <v/>
      </c>
      <c r="L585" s="84">
        <f>(((ASSUMPTIONS!$C$18*J585*(1-ASSUMPTIONS!$C$20)+ASSUMPTIONS!$C$18*ASSUMPTIONS!$C$21-ASSUMPTIONS!$C$18*ASSUMPTIONS!$C$22)*(1+H585)*(1-((1+H585)/(1+I585))^5)/(I585-H585))+((ASSUMPTIONS!$C$18*J585*(1-ASSUMPTIONS!$C$20)+ASSUMPTIONS!$C$18*ASSUMPTIONS!$C$21-ASSUMPTIONS!$C$18*ASSUMPTIONS!$C$22)*(1+H585)^5*(1+K585)/(I585-K585)/(1+I585)^5)-DCF!$C$12)/ASSUMPTIONS!$C$7</f>
        <v/>
      </c>
    </row>
    <row r="586">
      <c r="H586" s="83">
        <f>_xlfn.NORM.INV(RAND(),AVERAGE(ASSUMPTIONS!$C$38,ASSUMPTIONS!$C$39,ASSUMPTIONS!$C$40,ASSUMPTIONS!$C$41,ASSUMPTIONS!$C$42),ASSUMPTIONS!$C$68)</f>
        <v/>
      </c>
      <c r="I586" s="83">
        <f>MAX(_xlfn.NORM.INV(RAND(),DCF!$C$11,ASSUMPTIONS!$C$69),K586+0.005)</f>
        <v/>
      </c>
      <c r="J586" s="83">
        <f>_xlfn.NORM.INV(RAND(),ASSUMPTIONS!$C$19,ASSUMPTIONS!$C$70)</f>
        <v/>
      </c>
      <c r="K586" s="83">
        <f>_xlfn.NORM.INV(RAND(),ASSUMPTIONS!$C$43,ASSUMPTIONS!$C$71)</f>
        <v/>
      </c>
      <c r="L586" s="84">
        <f>(((ASSUMPTIONS!$C$18*J586*(1-ASSUMPTIONS!$C$20)+ASSUMPTIONS!$C$18*ASSUMPTIONS!$C$21-ASSUMPTIONS!$C$18*ASSUMPTIONS!$C$22)*(1+H586)*(1-((1+H586)/(1+I586))^5)/(I586-H586))+((ASSUMPTIONS!$C$18*J586*(1-ASSUMPTIONS!$C$20)+ASSUMPTIONS!$C$18*ASSUMPTIONS!$C$21-ASSUMPTIONS!$C$18*ASSUMPTIONS!$C$22)*(1+H586)^5*(1+K586)/(I586-K586)/(1+I586)^5)-DCF!$C$12)/ASSUMPTIONS!$C$7</f>
        <v/>
      </c>
    </row>
    <row r="587">
      <c r="H587" s="83">
        <f>_xlfn.NORM.INV(RAND(),AVERAGE(ASSUMPTIONS!$C$38,ASSUMPTIONS!$C$39,ASSUMPTIONS!$C$40,ASSUMPTIONS!$C$41,ASSUMPTIONS!$C$42),ASSUMPTIONS!$C$68)</f>
        <v/>
      </c>
      <c r="I587" s="83">
        <f>MAX(_xlfn.NORM.INV(RAND(),DCF!$C$11,ASSUMPTIONS!$C$69),K587+0.005)</f>
        <v/>
      </c>
      <c r="J587" s="83">
        <f>_xlfn.NORM.INV(RAND(),ASSUMPTIONS!$C$19,ASSUMPTIONS!$C$70)</f>
        <v/>
      </c>
      <c r="K587" s="83">
        <f>_xlfn.NORM.INV(RAND(),ASSUMPTIONS!$C$43,ASSUMPTIONS!$C$71)</f>
        <v/>
      </c>
      <c r="L587" s="84">
        <f>(((ASSUMPTIONS!$C$18*J587*(1-ASSUMPTIONS!$C$20)+ASSUMPTIONS!$C$18*ASSUMPTIONS!$C$21-ASSUMPTIONS!$C$18*ASSUMPTIONS!$C$22)*(1+H587)*(1-((1+H587)/(1+I587))^5)/(I587-H587))+((ASSUMPTIONS!$C$18*J587*(1-ASSUMPTIONS!$C$20)+ASSUMPTIONS!$C$18*ASSUMPTIONS!$C$21-ASSUMPTIONS!$C$18*ASSUMPTIONS!$C$22)*(1+H587)^5*(1+K587)/(I587-K587)/(1+I587)^5)-DCF!$C$12)/ASSUMPTIONS!$C$7</f>
        <v/>
      </c>
    </row>
    <row r="588">
      <c r="H588" s="83">
        <f>_xlfn.NORM.INV(RAND(),AVERAGE(ASSUMPTIONS!$C$38,ASSUMPTIONS!$C$39,ASSUMPTIONS!$C$40,ASSUMPTIONS!$C$41,ASSUMPTIONS!$C$42),ASSUMPTIONS!$C$68)</f>
        <v/>
      </c>
      <c r="I588" s="83">
        <f>MAX(_xlfn.NORM.INV(RAND(),DCF!$C$11,ASSUMPTIONS!$C$69),K588+0.005)</f>
        <v/>
      </c>
      <c r="J588" s="83">
        <f>_xlfn.NORM.INV(RAND(),ASSUMPTIONS!$C$19,ASSUMPTIONS!$C$70)</f>
        <v/>
      </c>
      <c r="K588" s="83">
        <f>_xlfn.NORM.INV(RAND(),ASSUMPTIONS!$C$43,ASSUMPTIONS!$C$71)</f>
        <v/>
      </c>
      <c r="L588" s="84">
        <f>(((ASSUMPTIONS!$C$18*J588*(1-ASSUMPTIONS!$C$20)+ASSUMPTIONS!$C$18*ASSUMPTIONS!$C$21-ASSUMPTIONS!$C$18*ASSUMPTIONS!$C$22)*(1+H588)*(1-((1+H588)/(1+I588))^5)/(I588-H588))+((ASSUMPTIONS!$C$18*J588*(1-ASSUMPTIONS!$C$20)+ASSUMPTIONS!$C$18*ASSUMPTIONS!$C$21-ASSUMPTIONS!$C$18*ASSUMPTIONS!$C$22)*(1+H588)^5*(1+K588)/(I588-K588)/(1+I588)^5)-DCF!$C$12)/ASSUMPTIONS!$C$7</f>
        <v/>
      </c>
    </row>
    <row r="589">
      <c r="H589" s="83">
        <f>_xlfn.NORM.INV(RAND(),AVERAGE(ASSUMPTIONS!$C$38,ASSUMPTIONS!$C$39,ASSUMPTIONS!$C$40,ASSUMPTIONS!$C$41,ASSUMPTIONS!$C$42),ASSUMPTIONS!$C$68)</f>
        <v/>
      </c>
      <c r="I589" s="83">
        <f>MAX(_xlfn.NORM.INV(RAND(),DCF!$C$11,ASSUMPTIONS!$C$69),K589+0.005)</f>
        <v/>
      </c>
      <c r="J589" s="83">
        <f>_xlfn.NORM.INV(RAND(),ASSUMPTIONS!$C$19,ASSUMPTIONS!$C$70)</f>
        <v/>
      </c>
      <c r="K589" s="83">
        <f>_xlfn.NORM.INV(RAND(),ASSUMPTIONS!$C$43,ASSUMPTIONS!$C$71)</f>
        <v/>
      </c>
      <c r="L589" s="84">
        <f>(((ASSUMPTIONS!$C$18*J589*(1-ASSUMPTIONS!$C$20)+ASSUMPTIONS!$C$18*ASSUMPTIONS!$C$21-ASSUMPTIONS!$C$18*ASSUMPTIONS!$C$22)*(1+H589)*(1-((1+H589)/(1+I589))^5)/(I589-H589))+((ASSUMPTIONS!$C$18*J589*(1-ASSUMPTIONS!$C$20)+ASSUMPTIONS!$C$18*ASSUMPTIONS!$C$21-ASSUMPTIONS!$C$18*ASSUMPTIONS!$C$22)*(1+H589)^5*(1+K589)/(I589-K589)/(1+I589)^5)-DCF!$C$12)/ASSUMPTIONS!$C$7</f>
        <v/>
      </c>
    </row>
    <row r="590">
      <c r="H590" s="83">
        <f>_xlfn.NORM.INV(RAND(),AVERAGE(ASSUMPTIONS!$C$38,ASSUMPTIONS!$C$39,ASSUMPTIONS!$C$40,ASSUMPTIONS!$C$41,ASSUMPTIONS!$C$42),ASSUMPTIONS!$C$68)</f>
        <v/>
      </c>
      <c r="I590" s="83">
        <f>MAX(_xlfn.NORM.INV(RAND(),DCF!$C$11,ASSUMPTIONS!$C$69),K590+0.005)</f>
        <v/>
      </c>
      <c r="J590" s="83">
        <f>_xlfn.NORM.INV(RAND(),ASSUMPTIONS!$C$19,ASSUMPTIONS!$C$70)</f>
        <v/>
      </c>
      <c r="K590" s="83">
        <f>_xlfn.NORM.INV(RAND(),ASSUMPTIONS!$C$43,ASSUMPTIONS!$C$71)</f>
        <v/>
      </c>
      <c r="L590" s="84">
        <f>(((ASSUMPTIONS!$C$18*J590*(1-ASSUMPTIONS!$C$20)+ASSUMPTIONS!$C$18*ASSUMPTIONS!$C$21-ASSUMPTIONS!$C$18*ASSUMPTIONS!$C$22)*(1+H590)*(1-((1+H590)/(1+I590))^5)/(I590-H590))+((ASSUMPTIONS!$C$18*J590*(1-ASSUMPTIONS!$C$20)+ASSUMPTIONS!$C$18*ASSUMPTIONS!$C$21-ASSUMPTIONS!$C$18*ASSUMPTIONS!$C$22)*(1+H590)^5*(1+K590)/(I590-K590)/(1+I590)^5)-DCF!$C$12)/ASSUMPTIONS!$C$7</f>
        <v/>
      </c>
    </row>
    <row r="591">
      <c r="H591" s="83">
        <f>_xlfn.NORM.INV(RAND(),AVERAGE(ASSUMPTIONS!$C$38,ASSUMPTIONS!$C$39,ASSUMPTIONS!$C$40,ASSUMPTIONS!$C$41,ASSUMPTIONS!$C$42),ASSUMPTIONS!$C$68)</f>
        <v/>
      </c>
      <c r="I591" s="83">
        <f>MAX(_xlfn.NORM.INV(RAND(),DCF!$C$11,ASSUMPTIONS!$C$69),K591+0.005)</f>
        <v/>
      </c>
      <c r="J591" s="83">
        <f>_xlfn.NORM.INV(RAND(),ASSUMPTIONS!$C$19,ASSUMPTIONS!$C$70)</f>
        <v/>
      </c>
      <c r="K591" s="83">
        <f>_xlfn.NORM.INV(RAND(),ASSUMPTIONS!$C$43,ASSUMPTIONS!$C$71)</f>
        <v/>
      </c>
      <c r="L591" s="84">
        <f>(((ASSUMPTIONS!$C$18*J591*(1-ASSUMPTIONS!$C$20)+ASSUMPTIONS!$C$18*ASSUMPTIONS!$C$21-ASSUMPTIONS!$C$18*ASSUMPTIONS!$C$22)*(1+H591)*(1-((1+H591)/(1+I591))^5)/(I591-H591))+((ASSUMPTIONS!$C$18*J591*(1-ASSUMPTIONS!$C$20)+ASSUMPTIONS!$C$18*ASSUMPTIONS!$C$21-ASSUMPTIONS!$C$18*ASSUMPTIONS!$C$22)*(1+H591)^5*(1+K591)/(I591-K591)/(1+I591)^5)-DCF!$C$12)/ASSUMPTIONS!$C$7</f>
        <v/>
      </c>
    </row>
    <row r="592">
      <c r="H592" s="83">
        <f>_xlfn.NORM.INV(RAND(),AVERAGE(ASSUMPTIONS!$C$38,ASSUMPTIONS!$C$39,ASSUMPTIONS!$C$40,ASSUMPTIONS!$C$41,ASSUMPTIONS!$C$42),ASSUMPTIONS!$C$68)</f>
        <v/>
      </c>
      <c r="I592" s="83">
        <f>MAX(_xlfn.NORM.INV(RAND(),DCF!$C$11,ASSUMPTIONS!$C$69),K592+0.005)</f>
        <v/>
      </c>
      <c r="J592" s="83">
        <f>_xlfn.NORM.INV(RAND(),ASSUMPTIONS!$C$19,ASSUMPTIONS!$C$70)</f>
        <v/>
      </c>
      <c r="K592" s="83">
        <f>_xlfn.NORM.INV(RAND(),ASSUMPTIONS!$C$43,ASSUMPTIONS!$C$71)</f>
        <v/>
      </c>
      <c r="L592" s="84">
        <f>(((ASSUMPTIONS!$C$18*J592*(1-ASSUMPTIONS!$C$20)+ASSUMPTIONS!$C$18*ASSUMPTIONS!$C$21-ASSUMPTIONS!$C$18*ASSUMPTIONS!$C$22)*(1+H592)*(1-((1+H592)/(1+I592))^5)/(I592-H592))+((ASSUMPTIONS!$C$18*J592*(1-ASSUMPTIONS!$C$20)+ASSUMPTIONS!$C$18*ASSUMPTIONS!$C$21-ASSUMPTIONS!$C$18*ASSUMPTIONS!$C$22)*(1+H592)^5*(1+K592)/(I592-K592)/(1+I592)^5)-DCF!$C$12)/ASSUMPTIONS!$C$7</f>
        <v/>
      </c>
    </row>
    <row r="593">
      <c r="H593" s="83">
        <f>_xlfn.NORM.INV(RAND(),AVERAGE(ASSUMPTIONS!$C$38,ASSUMPTIONS!$C$39,ASSUMPTIONS!$C$40,ASSUMPTIONS!$C$41,ASSUMPTIONS!$C$42),ASSUMPTIONS!$C$68)</f>
        <v/>
      </c>
      <c r="I593" s="83">
        <f>MAX(_xlfn.NORM.INV(RAND(),DCF!$C$11,ASSUMPTIONS!$C$69),K593+0.005)</f>
        <v/>
      </c>
      <c r="J593" s="83">
        <f>_xlfn.NORM.INV(RAND(),ASSUMPTIONS!$C$19,ASSUMPTIONS!$C$70)</f>
        <v/>
      </c>
      <c r="K593" s="83">
        <f>_xlfn.NORM.INV(RAND(),ASSUMPTIONS!$C$43,ASSUMPTIONS!$C$71)</f>
        <v/>
      </c>
      <c r="L593" s="84">
        <f>(((ASSUMPTIONS!$C$18*J593*(1-ASSUMPTIONS!$C$20)+ASSUMPTIONS!$C$18*ASSUMPTIONS!$C$21-ASSUMPTIONS!$C$18*ASSUMPTIONS!$C$22)*(1+H593)*(1-((1+H593)/(1+I593))^5)/(I593-H593))+((ASSUMPTIONS!$C$18*J593*(1-ASSUMPTIONS!$C$20)+ASSUMPTIONS!$C$18*ASSUMPTIONS!$C$21-ASSUMPTIONS!$C$18*ASSUMPTIONS!$C$22)*(1+H593)^5*(1+K593)/(I593-K593)/(1+I593)^5)-DCF!$C$12)/ASSUMPTIONS!$C$7</f>
        <v/>
      </c>
    </row>
    <row r="594">
      <c r="H594" s="83">
        <f>_xlfn.NORM.INV(RAND(),AVERAGE(ASSUMPTIONS!$C$38,ASSUMPTIONS!$C$39,ASSUMPTIONS!$C$40,ASSUMPTIONS!$C$41,ASSUMPTIONS!$C$42),ASSUMPTIONS!$C$68)</f>
        <v/>
      </c>
      <c r="I594" s="83">
        <f>MAX(_xlfn.NORM.INV(RAND(),DCF!$C$11,ASSUMPTIONS!$C$69),K594+0.005)</f>
        <v/>
      </c>
      <c r="J594" s="83">
        <f>_xlfn.NORM.INV(RAND(),ASSUMPTIONS!$C$19,ASSUMPTIONS!$C$70)</f>
        <v/>
      </c>
      <c r="K594" s="83">
        <f>_xlfn.NORM.INV(RAND(),ASSUMPTIONS!$C$43,ASSUMPTIONS!$C$71)</f>
        <v/>
      </c>
      <c r="L594" s="84">
        <f>(((ASSUMPTIONS!$C$18*J594*(1-ASSUMPTIONS!$C$20)+ASSUMPTIONS!$C$18*ASSUMPTIONS!$C$21-ASSUMPTIONS!$C$18*ASSUMPTIONS!$C$22)*(1+H594)*(1-((1+H594)/(1+I594))^5)/(I594-H594))+((ASSUMPTIONS!$C$18*J594*(1-ASSUMPTIONS!$C$20)+ASSUMPTIONS!$C$18*ASSUMPTIONS!$C$21-ASSUMPTIONS!$C$18*ASSUMPTIONS!$C$22)*(1+H594)^5*(1+K594)/(I594-K594)/(1+I594)^5)-DCF!$C$12)/ASSUMPTIONS!$C$7</f>
        <v/>
      </c>
    </row>
    <row r="595">
      <c r="H595" s="83">
        <f>_xlfn.NORM.INV(RAND(),AVERAGE(ASSUMPTIONS!$C$38,ASSUMPTIONS!$C$39,ASSUMPTIONS!$C$40,ASSUMPTIONS!$C$41,ASSUMPTIONS!$C$42),ASSUMPTIONS!$C$68)</f>
        <v/>
      </c>
      <c r="I595" s="83">
        <f>MAX(_xlfn.NORM.INV(RAND(),DCF!$C$11,ASSUMPTIONS!$C$69),K595+0.005)</f>
        <v/>
      </c>
      <c r="J595" s="83">
        <f>_xlfn.NORM.INV(RAND(),ASSUMPTIONS!$C$19,ASSUMPTIONS!$C$70)</f>
        <v/>
      </c>
      <c r="K595" s="83">
        <f>_xlfn.NORM.INV(RAND(),ASSUMPTIONS!$C$43,ASSUMPTIONS!$C$71)</f>
        <v/>
      </c>
      <c r="L595" s="84">
        <f>(((ASSUMPTIONS!$C$18*J595*(1-ASSUMPTIONS!$C$20)+ASSUMPTIONS!$C$18*ASSUMPTIONS!$C$21-ASSUMPTIONS!$C$18*ASSUMPTIONS!$C$22)*(1+H595)*(1-((1+H595)/(1+I595))^5)/(I595-H595))+((ASSUMPTIONS!$C$18*J595*(1-ASSUMPTIONS!$C$20)+ASSUMPTIONS!$C$18*ASSUMPTIONS!$C$21-ASSUMPTIONS!$C$18*ASSUMPTIONS!$C$22)*(1+H595)^5*(1+K595)/(I595-K595)/(1+I595)^5)-DCF!$C$12)/ASSUMPTIONS!$C$7</f>
        <v/>
      </c>
    </row>
    <row r="596">
      <c r="H596" s="83">
        <f>_xlfn.NORM.INV(RAND(),AVERAGE(ASSUMPTIONS!$C$38,ASSUMPTIONS!$C$39,ASSUMPTIONS!$C$40,ASSUMPTIONS!$C$41,ASSUMPTIONS!$C$42),ASSUMPTIONS!$C$68)</f>
        <v/>
      </c>
      <c r="I596" s="83">
        <f>MAX(_xlfn.NORM.INV(RAND(),DCF!$C$11,ASSUMPTIONS!$C$69),K596+0.005)</f>
        <v/>
      </c>
      <c r="J596" s="83">
        <f>_xlfn.NORM.INV(RAND(),ASSUMPTIONS!$C$19,ASSUMPTIONS!$C$70)</f>
        <v/>
      </c>
      <c r="K596" s="83">
        <f>_xlfn.NORM.INV(RAND(),ASSUMPTIONS!$C$43,ASSUMPTIONS!$C$71)</f>
        <v/>
      </c>
      <c r="L596" s="84">
        <f>(((ASSUMPTIONS!$C$18*J596*(1-ASSUMPTIONS!$C$20)+ASSUMPTIONS!$C$18*ASSUMPTIONS!$C$21-ASSUMPTIONS!$C$18*ASSUMPTIONS!$C$22)*(1+H596)*(1-((1+H596)/(1+I596))^5)/(I596-H596))+((ASSUMPTIONS!$C$18*J596*(1-ASSUMPTIONS!$C$20)+ASSUMPTIONS!$C$18*ASSUMPTIONS!$C$21-ASSUMPTIONS!$C$18*ASSUMPTIONS!$C$22)*(1+H596)^5*(1+K596)/(I596-K596)/(1+I596)^5)-DCF!$C$12)/ASSUMPTIONS!$C$7</f>
        <v/>
      </c>
    </row>
    <row r="597">
      <c r="H597" s="83">
        <f>_xlfn.NORM.INV(RAND(),AVERAGE(ASSUMPTIONS!$C$38,ASSUMPTIONS!$C$39,ASSUMPTIONS!$C$40,ASSUMPTIONS!$C$41,ASSUMPTIONS!$C$42),ASSUMPTIONS!$C$68)</f>
        <v/>
      </c>
      <c r="I597" s="83">
        <f>MAX(_xlfn.NORM.INV(RAND(),DCF!$C$11,ASSUMPTIONS!$C$69),K597+0.005)</f>
        <v/>
      </c>
      <c r="J597" s="83">
        <f>_xlfn.NORM.INV(RAND(),ASSUMPTIONS!$C$19,ASSUMPTIONS!$C$70)</f>
        <v/>
      </c>
      <c r="K597" s="83">
        <f>_xlfn.NORM.INV(RAND(),ASSUMPTIONS!$C$43,ASSUMPTIONS!$C$71)</f>
        <v/>
      </c>
      <c r="L597" s="84">
        <f>(((ASSUMPTIONS!$C$18*J597*(1-ASSUMPTIONS!$C$20)+ASSUMPTIONS!$C$18*ASSUMPTIONS!$C$21-ASSUMPTIONS!$C$18*ASSUMPTIONS!$C$22)*(1+H597)*(1-((1+H597)/(1+I597))^5)/(I597-H597))+((ASSUMPTIONS!$C$18*J597*(1-ASSUMPTIONS!$C$20)+ASSUMPTIONS!$C$18*ASSUMPTIONS!$C$21-ASSUMPTIONS!$C$18*ASSUMPTIONS!$C$22)*(1+H597)^5*(1+K597)/(I597-K597)/(1+I597)^5)-DCF!$C$12)/ASSUMPTIONS!$C$7</f>
        <v/>
      </c>
    </row>
    <row r="598">
      <c r="H598" s="83">
        <f>_xlfn.NORM.INV(RAND(),AVERAGE(ASSUMPTIONS!$C$38,ASSUMPTIONS!$C$39,ASSUMPTIONS!$C$40,ASSUMPTIONS!$C$41,ASSUMPTIONS!$C$42),ASSUMPTIONS!$C$68)</f>
        <v/>
      </c>
      <c r="I598" s="83">
        <f>MAX(_xlfn.NORM.INV(RAND(),DCF!$C$11,ASSUMPTIONS!$C$69),K598+0.005)</f>
        <v/>
      </c>
      <c r="J598" s="83">
        <f>_xlfn.NORM.INV(RAND(),ASSUMPTIONS!$C$19,ASSUMPTIONS!$C$70)</f>
        <v/>
      </c>
      <c r="K598" s="83">
        <f>_xlfn.NORM.INV(RAND(),ASSUMPTIONS!$C$43,ASSUMPTIONS!$C$71)</f>
        <v/>
      </c>
      <c r="L598" s="84">
        <f>(((ASSUMPTIONS!$C$18*J598*(1-ASSUMPTIONS!$C$20)+ASSUMPTIONS!$C$18*ASSUMPTIONS!$C$21-ASSUMPTIONS!$C$18*ASSUMPTIONS!$C$22)*(1+H598)*(1-((1+H598)/(1+I598))^5)/(I598-H598))+((ASSUMPTIONS!$C$18*J598*(1-ASSUMPTIONS!$C$20)+ASSUMPTIONS!$C$18*ASSUMPTIONS!$C$21-ASSUMPTIONS!$C$18*ASSUMPTIONS!$C$22)*(1+H598)^5*(1+K598)/(I598-K598)/(1+I598)^5)-DCF!$C$12)/ASSUMPTIONS!$C$7</f>
        <v/>
      </c>
    </row>
    <row r="599">
      <c r="H599" s="83">
        <f>_xlfn.NORM.INV(RAND(),AVERAGE(ASSUMPTIONS!$C$38,ASSUMPTIONS!$C$39,ASSUMPTIONS!$C$40,ASSUMPTIONS!$C$41,ASSUMPTIONS!$C$42),ASSUMPTIONS!$C$68)</f>
        <v/>
      </c>
      <c r="I599" s="83">
        <f>MAX(_xlfn.NORM.INV(RAND(),DCF!$C$11,ASSUMPTIONS!$C$69),K599+0.005)</f>
        <v/>
      </c>
      <c r="J599" s="83">
        <f>_xlfn.NORM.INV(RAND(),ASSUMPTIONS!$C$19,ASSUMPTIONS!$C$70)</f>
        <v/>
      </c>
      <c r="K599" s="83">
        <f>_xlfn.NORM.INV(RAND(),ASSUMPTIONS!$C$43,ASSUMPTIONS!$C$71)</f>
        <v/>
      </c>
      <c r="L599" s="84">
        <f>(((ASSUMPTIONS!$C$18*J599*(1-ASSUMPTIONS!$C$20)+ASSUMPTIONS!$C$18*ASSUMPTIONS!$C$21-ASSUMPTIONS!$C$18*ASSUMPTIONS!$C$22)*(1+H599)*(1-((1+H599)/(1+I599))^5)/(I599-H599))+((ASSUMPTIONS!$C$18*J599*(1-ASSUMPTIONS!$C$20)+ASSUMPTIONS!$C$18*ASSUMPTIONS!$C$21-ASSUMPTIONS!$C$18*ASSUMPTIONS!$C$22)*(1+H599)^5*(1+K599)/(I599-K599)/(1+I599)^5)-DCF!$C$12)/ASSUMPTIONS!$C$7</f>
        <v/>
      </c>
    </row>
    <row r="600">
      <c r="H600" s="83">
        <f>_xlfn.NORM.INV(RAND(),AVERAGE(ASSUMPTIONS!$C$38,ASSUMPTIONS!$C$39,ASSUMPTIONS!$C$40,ASSUMPTIONS!$C$41,ASSUMPTIONS!$C$42),ASSUMPTIONS!$C$68)</f>
        <v/>
      </c>
      <c r="I600" s="83">
        <f>MAX(_xlfn.NORM.INV(RAND(),DCF!$C$11,ASSUMPTIONS!$C$69),K600+0.005)</f>
        <v/>
      </c>
      <c r="J600" s="83">
        <f>_xlfn.NORM.INV(RAND(),ASSUMPTIONS!$C$19,ASSUMPTIONS!$C$70)</f>
        <v/>
      </c>
      <c r="K600" s="83">
        <f>_xlfn.NORM.INV(RAND(),ASSUMPTIONS!$C$43,ASSUMPTIONS!$C$71)</f>
        <v/>
      </c>
      <c r="L600" s="84">
        <f>(((ASSUMPTIONS!$C$18*J600*(1-ASSUMPTIONS!$C$20)+ASSUMPTIONS!$C$18*ASSUMPTIONS!$C$21-ASSUMPTIONS!$C$18*ASSUMPTIONS!$C$22)*(1+H600)*(1-((1+H600)/(1+I600))^5)/(I600-H600))+((ASSUMPTIONS!$C$18*J600*(1-ASSUMPTIONS!$C$20)+ASSUMPTIONS!$C$18*ASSUMPTIONS!$C$21-ASSUMPTIONS!$C$18*ASSUMPTIONS!$C$22)*(1+H600)^5*(1+K600)/(I600-K600)/(1+I600)^5)-DCF!$C$12)/ASSUMPTIONS!$C$7</f>
        <v/>
      </c>
    </row>
    <row r="601">
      <c r="H601" s="83">
        <f>_xlfn.NORM.INV(RAND(),AVERAGE(ASSUMPTIONS!$C$38,ASSUMPTIONS!$C$39,ASSUMPTIONS!$C$40,ASSUMPTIONS!$C$41,ASSUMPTIONS!$C$42),ASSUMPTIONS!$C$68)</f>
        <v/>
      </c>
      <c r="I601" s="83">
        <f>MAX(_xlfn.NORM.INV(RAND(),DCF!$C$11,ASSUMPTIONS!$C$69),K601+0.005)</f>
        <v/>
      </c>
      <c r="J601" s="83">
        <f>_xlfn.NORM.INV(RAND(),ASSUMPTIONS!$C$19,ASSUMPTIONS!$C$70)</f>
        <v/>
      </c>
      <c r="K601" s="83">
        <f>_xlfn.NORM.INV(RAND(),ASSUMPTIONS!$C$43,ASSUMPTIONS!$C$71)</f>
        <v/>
      </c>
      <c r="L601" s="84">
        <f>(((ASSUMPTIONS!$C$18*J601*(1-ASSUMPTIONS!$C$20)+ASSUMPTIONS!$C$18*ASSUMPTIONS!$C$21-ASSUMPTIONS!$C$18*ASSUMPTIONS!$C$22)*(1+H601)*(1-((1+H601)/(1+I601))^5)/(I601-H601))+((ASSUMPTIONS!$C$18*J601*(1-ASSUMPTIONS!$C$20)+ASSUMPTIONS!$C$18*ASSUMPTIONS!$C$21-ASSUMPTIONS!$C$18*ASSUMPTIONS!$C$22)*(1+H601)^5*(1+K601)/(I601-K601)/(1+I601)^5)-DCF!$C$12)/ASSUMPTIONS!$C$7</f>
        <v/>
      </c>
    </row>
    <row r="602">
      <c r="H602" s="83">
        <f>_xlfn.NORM.INV(RAND(),AVERAGE(ASSUMPTIONS!$C$38,ASSUMPTIONS!$C$39,ASSUMPTIONS!$C$40,ASSUMPTIONS!$C$41,ASSUMPTIONS!$C$42),ASSUMPTIONS!$C$68)</f>
        <v/>
      </c>
      <c r="I602" s="83">
        <f>MAX(_xlfn.NORM.INV(RAND(),DCF!$C$11,ASSUMPTIONS!$C$69),K602+0.005)</f>
        <v/>
      </c>
      <c r="J602" s="83">
        <f>_xlfn.NORM.INV(RAND(),ASSUMPTIONS!$C$19,ASSUMPTIONS!$C$70)</f>
        <v/>
      </c>
      <c r="K602" s="83">
        <f>_xlfn.NORM.INV(RAND(),ASSUMPTIONS!$C$43,ASSUMPTIONS!$C$71)</f>
        <v/>
      </c>
      <c r="L602" s="84">
        <f>(((ASSUMPTIONS!$C$18*J602*(1-ASSUMPTIONS!$C$20)+ASSUMPTIONS!$C$18*ASSUMPTIONS!$C$21-ASSUMPTIONS!$C$18*ASSUMPTIONS!$C$22)*(1+H602)*(1-((1+H602)/(1+I602))^5)/(I602-H602))+((ASSUMPTIONS!$C$18*J602*(1-ASSUMPTIONS!$C$20)+ASSUMPTIONS!$C$18*ASSUMPTIONS!$C$21-ASSUMPTIONS!$C$18*ASSUMPTIONS!$C$22)*(1+H602)^5*(1+K602)/(I602-K602)/(1+I602)^5)-DCF!$C$12)/ASSUMPTIONS!$C$7</f>
        <v/>
      </c>
    </row>
    <row r="603">
      <c r="H603" s="83">
        <f>_xlfn.NORM.INV(RAND(),AVERAGE(ASSUMPTIONS!$C$38,ASSUMPTIONS!$C$39,ASSUMPTIONS!$C$40,ASSUMPTIONS!$C$41,ASSUMPTIONS!$C$42),ASSUMPTIONS!$C$68)</f>
        <v/>
      </c>
      <c r="I603" s="83">
        <f>MAX(_xlfn.NORM.INV(RAND(),DCF!$C$11,ASSUMPTIONS!$C$69),K603+0.005)</f>
        <v/>
      </c>
      <c r="J603" s="83">
        <f>_xlfn.NORM.INV(RAND(),ASSUMPTIONS!$C$19,ASSUMPTIONS!$C$70)</f>
        <v/>
      </c>
      <c r="K603" s="83">
        <f>_xlfn.NORM.INV(RAND(),ASSUMPTIONS!$C$43,ASSUMPTIONS!$C$71)</f>
        <v/>
      </c>
      <c r="L603" s="84">
        <f>(((ASSUMPTIONS!$C$18*J603*(1-ASSUMPTIONS!$C$20)+ASSUMPTIONS!$C$18*ASSUMPTIONS!$C$21-ASSUMPTIONS!$C$18*ASSUMPTIONS!$C$22)*(1+H603)*(1-((1+H603)/(1+I603))^5)/(I603-H603))+((ASSUMPTIONS!$C$18*J603*(1-ASSUMPTIONS!$C$20)+ASSUMPTIONS!$C$18*ASSUMPTIONS!$C$21-ASSUMPTIONS!$C$18*ASSUMPTIONS!$C$22)*(1+H603)^5*(1+K603)/(I603-K603)/(1+I603)^5)-DCF!$C$12)/ASSUMPTIONS!$C$7</f>
        <v/>
      </c>
    </row>
    <row r="604">
      <c r="H604" s="83">
        <f>_xlfn.NORM.INV(RAND(),AVERAGE(ASSUMPTIONS!$C$38,ASSUMPTIONS!$C$39,ASSUMPTIONS!$C$40,ASSUMPTIONS!$C$41,ASSUMPTIONS!$C$42),ASSUMPTIONS!$C$68)</f>
        <v/>
      </c>
      <c r="I604" s="83">
        <f>MAX(_xlfn.NORM.INV(RAND(),DCF!$C$11,ASSUMPTIONS!$C$69),K604+0.005)</f>
        <v/>
      </c>
      <c r="J604" s="83">
        <f>_xlfn.NORM.INV(RAND(),ASSUMPTIONS!$C$19,ASSUMPTIONS!$C$70)</f>
        <v/>
      </c>
      <c r="K604" s="83">
        <f>_xlfn.NORM.INV(RAND(),ASSUMPTIONS!$C$43,ASSUMPTIONS!$C$71)</f>
        <v/>
      </c>
      <c r="L604" s="84">
        <f>(((ASSUMPTIONS!$C$18*J604*(1-ASSUMPTIONS!$C$20)+ASSUMPTIONS!$C$18*ASSUMPTIONS!$C$21-ASSUMPTIONS!$C$18*ASSUMPTIONS!$C$22)*(1+H604)*(1-((1+H604)/(1+I604))^5)/(I604-H604))+((ASSUMPTIONS!$C$18*J604*(1-ASSUMPTIONS!$C$20)+ASSUMPTIONS!$C$18*ASSUMPTIONS!$C$21-ASSUMPTIONS!$C$18*ASSUMPTIONS!$C$22)*(1+H604)^5*(1+K604)/(I604-K604)/(1+I604)^5)-DCF!$C$12)/ASSUMPTIONS!$C$7</f>
        <v/>
      </c>
    </row>
    <row r="605">
      <c r="H605" s="83">
        <f>_xlfn.NORM.INV(RAND(),AVERAGE(ASSUMPTIONS!$C$38,ASSUMPTIONS!$C$39,ASSUMPTIONS!$C$40,ASSUMPTIONS!$C$41,ASSUMPTIONS!$C$42),ASSUMPTIONS!$C$68)</f>
        <v/>
      </c>
      <c r="I605" s="83">
        <f>MAX(_xlfn.NORM.INV(RAND(),DCF!$C$11,ASSUMPTIONS!$C$69),K605+0.005)</f>
        <v/>
      </c>
      <c r="J605" s="83">
        <f>_xlfn.NORM.INV(RAND(),ASSUMPTIONS!$C$19,ASSUMPTIONS!$C$70)</f>
        <v/>
      </c>
      <c r="K605" s="83">
        <f>_xlfn.NORM.INV(RAND(),ASSUMPTIONS!$C$43,ASSUMPTIONS!$C$71)</f>
        <v/>
      </c>
      <c r="L605" s="84">
        <f>(((ASSUMPTIONS!$C$18*J605*(1-ASSUMPTIONS!$C$20)+ASSUMPTIONS!$C$18*ASSUMPTIONS!$C$21-ASSUMPTIONS!$C$18*ASSUMPTIONS!$C$22)*(1+H605)*(1-((1+H605)/(1+I605))^5)/(I605-H605))+((ASSUMPTIONS!$C$18*J605*(1-ASSUMPTIONS!$C$20)+ASSUMPTIONS!$C$18*ASSUMPTIONS!$C$21-ASSUMPTIONS!$C$18*ASSUMPTIONS!$C$22)*(1+H605)^5*(1+K605)/(I605-K605)/(1+I605)^5)-DCF!$C$12)/ASSUMPTIONS!$C$7</f>
        <v/>
      </c>
    </row>
    <row r="606">
      <c r="H606" s="83">
        <f>_xlfn.NORM.INV(RAND(),AVERAGE(ASSUMPTIONS!$C$38,ASSUMPTIONS!$C$39,ASSUMPTIONS!$C$40,ASSUMPTIONS!$C$41,ASSUMPTIONS!$C$42),ASSUMPTIONS!$C$68)</f>
        <v/>
      </c>
      <c r="I606" s="83">
        <f>MAX(_xlfn.NORM.INV(RAND(),DCF!$C$11,ASSUMPTIONS!$C$69),K606+0.005)</f>
        <v/>
      </c>
      <c r="J606" s="83">
        <f>_xlfn.NORM.INV(RAND(),ASSUMPTIONS!$C$19,ASSUMPTIONS!$C$70)</f>
        <v/>
      </c>
      <c r="K606" s="83">
        <f>_xlfn.NORM.INV(RAND(),ASSUMPTIONS!$C$43,ASSUMPTIONS!$C$71)</f>
        <v/>
      </c>
      <c r="L606" s="84">
        <f>(((ASSUMPTIONS!$C$18*J606*(1-ASSUMPTIONS!$C$20)+ASSUMPTIONS!$C$18*ASSUMPTIONS!$C$21-ASSUMPTIONS!$C$18*ASSUMPTIONS!$C$22)*(1+H606)*(1-((1+H606)/(1+I606))^5)/(I606-H606))+((ASSUMPTIONS!$C$18*J606*(1-ASSUMPTIONS!$C$20)+ASSUMPTIONS!$C$18*ASSUMPTIONS!$C$21-ASSUMPTIONS!$C$18*ASSUMPTIONS!$C$22)*(1+H606)^5*(1+K606)/(I606-K606)/(1+I606)^5)-DCF!$C$12)/ASSUMPTIONS!$C$7</f>
        <v/>
      </c>
    </row>
    <row r="607">
      <c r="H607" s="83">
        <f>_xlfn.NORM.INV(RAND(),AVERAGE(ASSUMPTIONS!$C$38,ASSUMPTIONS!$C$39,ASSUMPTIONS!$C$40,ASSUMPTIONS!$C$41,ASSUMPTIONS!$C$42),ASSUMPTIONS!$C$68)</f>
        <v/>
      </c>
      <c r="I607" s="83">
        <f>MAX(_xlfn.NORM.INV(RAND(),DCF!$C$11,ASSUMPTIONS!$C$69),K607+0.005)</f>
        <v/>
      </c>
      <c r="J607" s="83">
        <f>_xlfn.NORM.INV(RAND(),ASSUMPTIONS!$C$19,ASSUMPTIONS!$C$70)</f>
        <v/>
      </c>
      <c r="K607" s="83">
        <f>_xlfn.NORM.INV(RAND(),ASSUMPTIONS!$C$43,ASSUMPTIONS!$C$71)</f>
        <v/>
      </c>
      <c r="L607" s="84">
        <f>(((ASSUMPTIONS!$C$18*J607*(1-ASSUMPTIONS!$C$20)+ASSUMPTIONS!$C$18*ASSUMPTIONS!$C$21-ASSUMPTIONS!$C$18*ASSUMPTIONS!$C$22)*(1+H607)*(1-((1+H607)/(1+I607))^5)/(I607-H607))+((ASSUMPTIONS!$C$18*J607*(1-ASSUMPTIONS!$C$20)+ASSUMPTIONS!$C$18*ASSUMPTIONS!$C$21-ASSUMPTIONS!$C$18*ASSUMPTIONS!$C$22)*(1+H607)^5*(1+K607)/(I607-K607)/(1+I607)^5)-DCF!$C$12)/ASSUMPTIONS!$C$7</f>
        <v/>
      </c>
    </row>
    <row r="608">
      <c r="H608" s="83">
        <f>_xlfn.NORM.INV(RAND(),AVERAGE(ASSUMPTIONS!$C$38,ASSUMPTIONS!$C$39,ASSUMPTIONS!$C$40,ASSUMPTIONS!$C$41,ASSUMPTIONS!$C$42),ASSUMPTIONS!$C$68)</f>
        <v/>
      </c>
      <c r="I608" s="83">
        <f>MAX(_xlfn.NORM.INV(RAND(),DCF!$C$11,ASSUMPTIONS!$C$69),K608+0.005)</f>
        <v/>
      </c>
      <c r="J608" s="83">
        <f>_xlfn.NORM.INV(RAND(),ASSUMPTIONS!$C$19,ASSUMPTIONS!$C$70)</f>
        <v/>
      </c>
      <c r="K608" s="83">
        <f>_xlfn.NORM.INV(RAND(),ASSUMPTIONS!$C$43,ASSUMPTIONS!$C$71)</f>
        <v/>
      </c>
      <c r="L608" s="84">
        <f>(((ASSUMPTIONS!$C$18*J608*(1-ASSUMPTIONS!$C$20)+ASSUMPTIONS!$C$18*ASSUMPTIONS!$C$21-ASSUMPTIONS!$C$18*ASSUMPTIONS!$C$22)*(1+H608)*(1-((1+H608)/(1+I608))^5)/(I608-H608))+((ASSUMPTIONS!$C$18*J608*(1-ASSUMPTIONS!$C$20)+ASSUMPTIONS!$C$18*ASSUMPTIONS!$C$21-ASSUMPTIONS!$C$18*ASSUMPTIONS!$C$22)*(1+H608)^5*(1+K608)/(I608-K608)/(1+I608)^5)-DCF!$C$12)/ASSUMPTIONS!$C$7</f>
        <v/>
      </c>
    </row>
    <row r="609">
      <c r="H609" s="83">
        <f>_xlfn.NORM.INV(RAND(),AVERAGE(ASSUMPTIONS!$C$38,ASSUMPTIONS!$C$39,ASSUMPTIONS!$C$40,ASSUMPTIONS!$C$41,ASSUMPTIONS!$C$42),ASSUMPTIONS!$C$68)</f>
        <v/>
      </c>
      <c r="I609" s="83">
        <f>MAX(_xlfn.NORM.INV(RAND(),DCF!$C$11,ASSUMPTIONS!$C$69),K609+0.005)</f>
        <v/>
      </c>
      <c r="J609" s="83">
        <f>_xlfn.NORM.INV(RAND(),ASSUMPTIONS!$C$19,ASSUMPTIONS!$C$70)</f>
        <v/>
      </c>
      <c r="K609" s="83">
        <f>_xlfn.NORM.INV(RAND(),ASSUMPTIONS!$C$43,ASSUMPTIONS!$C$71)</f>
        <v/>
      </c>
      <c r="L609" s="84">
        <f>(((ASSUMPTIONS!$C$18*J609*(1-ASSUMPTIONS!$C$20)+ASSUMPTIONS!$C$18*ASSUMPTIONS!$C$21-ASSUMPTIONS!$C$18*ASSUMPTIONS!$C$22)*(1+H609)*(1-((1+H609)/(1+I609))^5)/(I609-H609))+((ASSUMPTIONS!$C$18*J609*(1-ASSUMPTIONS!$C$20)+ASSUMPTIONS!$C$18*ASSUMPTIONS!$C$21-ASSUMPTIONS!$C$18*ASSUMPTIONS!$C$22)*(1+H609)^5*(1+K609)/(I609-K609)/(1+I609)^5)-DCF!$C$12)/ASSUMPTIONS!$C$7</f>
        <v/>
      </c>
    </row>
    <row r="610">
      <c r="H610" s="83">
        <f>_xlfn.NORM.INV(RAND(),AVERAGE(ASSUMPTIONS!$C$38,ASSUMPTIONS!$C$39,ASSUMPTIONS!$C$40,ASSUMPTIONS!$C$41,ASSUMPTIONS!$C$42),ASSUMPTIONS!$C$68)</f>
        <v/>
      </c>
      <c r="I610" s="83">
        <f>MAX(_xlfn.NORM.INV(RAND(),DCF!$C$11,ASSUMPTIONS!$C$69),K610+0.005)</f>
        <v/>
      </c>
      <c r="J610" s="83">
        <f>_xlfn.NORM.INV(RAND(),ASSUMPTIONS!$C$19,ASSUMPTIONS!$C$70)</f>
        <v/>
      </c>
      <c r="K610" s="83">
        <f>_xlfn.NORM.INV(RAND(),ASSUMPTIONS!$C$43,ASSUMPTIONS!$C$71)</f>
        <v/>
      </c>
      <c r="L610" s="84">
        <f>(((ASSUMPTIONS!$C$18*J610*(1-ASSUMPTIONS!$C$20)+ASSUMPTIONS!$C$18*ASSUMPTIONS!$C$21-ASSUMPTIONS!$C$18*ASSUMPTIONS!$C$22)*(1+H610)*(1-((1+H610)/(1+I610))^5)/(I610-H610))+((ASSUMPTIONS!$C$18*J610*(1-ASSUMPTIONS!$C$20)+ASSUMPTIONS!$C$18*ASSUMPTIONS!$C$21-ASSUMPTIONS!$C$18*ASSUMPTIONS!$C$22)*(1+H610)^5*(1+K610)/(I610-K610)/(1+I610)^5)-DCF!$C$12)/ASSUMPTIONS!$C$7</f>
        <v/>
      </c>
    </row>
    <row r="611">
      <c r="H611" s="83">
        <f>_xlfn.NORM.INV(RAND(),AVERAGE(ASSUMPTIONS!$C$38,ASSUMPTIONS!$C$39,ASSUMPTIONS!$C$40,ASSUMPTIONS!$C$41,ASSUMPTIONS!$C$42),ASSUMPTIONS!$C$68)</f>
        <v/>
      </c>
      <c r="I611" s="83">
        <f>MAX(_xlfn.NORM.INV(RAND(),DCF!$C$11,ASSUMPTIONS!$C$69),K611+0.005)</f>
        <v/>
      </c>
      <c r="J611" s="83">
        <f>_xlfn.NORM.INV(RAND(),ASSUMPTIONS!$C$19,ASSUMPTIONS!$C$70)</f>
        <v/>
      </c>
      <c r="K611" s="83">
        <f>_xlfn.NORM.INV(RAND(),ASSUMPTIONS!$C$43,ASSUMPTIONS!$C$71)</f>
        <v/>
      </c>
      <c r="L611" s="84">
        <f>(((ASSUMPTIONS!$C$18*J611*(1-ASSUMPTIONS!$C$20)+ASSUMPTIONS!$C$18*ASSUMPTIONS!$C$21-ASSUMPTIONS!$C$18*ASSUMPTIONS!$C$22)*(1+H611)*(1-((1+H611)/(1+I611))^5)/(I611-H611))+((ASSUMPTIONS!$C$18*J611*(1-ASSUMPTIONS!$C$20)+ASSUMPTIONS!$C$18*ASSUMPTIONS!$C$21-ASSUMPTIONS!$C$18*ASSUMPTIONS!$C$22)*(1+H611)^5*(1+K611)/(I611-K611)/(1+I611)^5)-DCF!$C$12)/ASSUMPTIONS!$C$7</f>
        <v/>
      </c>
    </row>
    <row r="612">
      <c r="H612" s="83">
        <f>_xlfn.NORM.INV(RAND(),AVERAGE(ASSUMPTIONS!$C$38,ASSUMPTIONS!$C$39,ASSUMPTIONS!$C$40,ASSUMPTIONS!$C$41,ASSUMPTIONS!$C$42),ASSUMPTIONS!$C$68)</f>
        <v/>
      </c>
      <c r="I612" s="83">
        <f>MAX(_xlfn.NORM.INV(RAND(),DCF!$C$11,ASSUMPTIONS!$C$69),K612+0.005)</f>
        <v/>
      </c>
      <c r="J612" s="83">
        <f>_xlfn.NORM.INV(RAND(),ASSUMPTIONS!$C$19,ASSUMPTIONS!$C$70)</f>
        <v/>
      </c>
      <c r="K612" s="83">
        <f>_xlfn.NORM.INV(RAND(),ASSUMPTIONS!$C$43,ASSUMPTIONS!$C$71)</f>
        <v/>
      </c>
      <c r="L612" s="84">
        <f>(((ASSUMPTIONS!$C$18*J612*(1-ASSUMPTIONS!$C$20)+ASSUMPTIONS!$C$18*ASSUMPTIONS!$C$21-ASSUMPTIONS!$C$18*ASSUMPTIONS!$C$22)*(1+H612)*(1-((1+H612)/(1+I612))^5)/(I612-H612))+((ASSUMPTIONS!$C$18*J612*(1-ASSUMPTIONS!$C$20)+ASSUMPTIONS!$C$18*ASSUMPTIONS!$C$21-ASSUMPTIONS!$C$18*ASSUMPTIONS!$C$22)*(1+H612)^5*(1+K612)/(I612-K612)/(1+I612)^5)-DCF!$C$12)/ASSUMPTIONS!$C$7</f>
        <v/>
      </c>
    </row>
    <row r="613">
      <c r="H613" s="83">
        <f>_xlfn.NORM.INV(RAND(),AVERAGE(ASSUMPTIONS!$C$38,ASSUMPTIONS!$C$39,ASSUMPTIONS!$C$40,ASSUMPTIONS!$C$41,ASSUMPTIONS!$C$42),ASSUMPTIONS!$C$68)</f>
        <v/>
      </c>
      <c r="I613" s="83">
        <f>MAX(_xlfn.NORM.INV(RAND(),DCF!$C$11,ASSUMPTIONS!$C$69),K613+0.005)</f>
        <v/>
      </c>
      <c r="J613" s="83">
        <f>_xlfn.NORM.INV(RAND(),ASSUMPTIONS!$C$19,ASSUMPTIONS!$C$70)</f>
        <v/>
      </c>
      <c r="K613" s="83">
        <f>_xlfn.NORM.INV(RAND(),ASSUMPTIONS!$C$43,ASSUMPTIONS!$C$71)</f>
        <v/>
      </c>
      <c r="L613" s="84">
        <f>(((ASSUMPTIONS!$C$18*J613*(1-ASSUMPTIONS!$C$20)+ASSUMPTIONS!$C$18*ASSUMPTIONS!$C$21-ASSUMPTIONS!$C$18*ASSUMPTIONS!$C$22)*(1+H613)*(1-((1+H613)/(1+I613))^5)/(I613-H613))+((ASSUMPTIONS!$C$18*J613*(1-ASSUMPTIONS!$C$20)+ASSUMPTIONS!$C$18*ASSUMPTIONS!$C$21-ASSUMPTIONS!$C$18*ASSUMPTIONS!$C$22)*(1+H613)^5*(1+K613)/(I613-K613)/(1+I613)^5)-DCF!$C$12)/ASSUMPTIONS!$C$7</f>
        <v/>
      </c>
    </row>
    <row r="614">
      <c r="H614" s="83">
        <f>_xlfn.NORM.INV(RAND(),AVERAGE(ASSUMPTIONS!$C$38,ASSUMPTIONS!$C$39,ASSUMPTIONS!$C$40,ASSUMPTIONS!$C$41,ASSUMPTIONS!$C$42),ASSUMPTIONS!$C$68)</f>
        <v/>
      </c>
      <c r="I614" s="83">
        <f>MAX(_xlfn.NORM.INV(RAND(),DCF!$C$11,ASSUMPTIONS!$C$69),K614+0.005)</f>
        <v/>
      </c>
      <c r="J614" s="83">
        <f>_xlfn.NORM.INV(RAND(),ASSUMPTIONS!$C$19,ASSUMPTIONS!$C$70)</f>
        <v/>
      </c>
      <c r="K614" s="83">
        <f>_xlfn.NORM.INV(RAND(),ASSUMPTIONS!$C$43,ASSUMPTIONS!$C$71)</f>
        <v/>
      </c>
      <c r="L614" s="84">
        <f>(((ASSUMPTIONS!$C$18*J614*(1-ASSUMPTIONS!$C$20)+ASSUMPTIONS!$C$18*ASSUMPTIONS!$C$21-ASSUMPTIONS!$C$18*ASSUMPTIONS!$C$22)*(1+H614)*(1-((1+H614)/(1+I614))^5)/(I614-H614))+((ASSUMPTIONS!$C$18*J614*(1-ASSUMPTIONS!$C$20)+ASSUMPTIONS!$C$18*ASSUMPTIONS!$C$21-ASSUMPTIONS!$C$18*ASSUMPTIONS!$C$22)*(1+H614)^5*(1+K614)/(I614-K614)/(1+I614)^5)-DCF!$C$12)/ASSUMPTIONS!$C$7</f>
        <v/>
      </c>
    </row>
    <row r="615">
      <c r="H615" s="83">
        <f>_xlfn.NORM.INV(RAND(),AVERAGE(ASSUMPTIONS!$C$38,ASSUMPTIONS!$C$39,ASSUMPTIONS!$C$40,ASSUMPTIONS!$C$41,ASSUMPTIONS!$C$42),ASSUMPTIONS!$C$68)</f>
        <v/>
      </c>
      <c r="I615" s="83">
        <f>MAX(_xlfn.NORM.INV(RAND(),DCF!$C$11,ASSUMPTIONS!$C$69),K615+0.005)</f>
        <v/>
      </c>
      <c r="J615" s="83">
        <f>_xlfn.NORM.INV(RAND(),ASSUMPTIONS!$C$19,ASSUMPTIONS!$C$70)</f>
        <v/>
      </c>
      <c r="K615" s="83">
        <f>_xlfn.NORM.INV(RAND(),ASSUMPTIONS!$C$43,ASSUMPTIONS!$C$71)</f>
        <v/>
      </c>
      <c r="L615" s="84">
        <f>(((ASSUMPTIONS!$C$18*J615*(1-ASSUMPTIONS!$C$20)+ASSUMPTIONS!$C$18*ASSUMPTIONS!$C$21-ASSUMPTIONS!$C$18*ASSUMPTIONS!$C$22)*(1+H615)*(1-((1+H615)/(1+I615))^5)/(I615-H615))+((ASSUMPTIONS!$C$18*J615*(1-ASSUMPTIONS!$C$20)+ASSUMPTIONS!$C$18*ASSUMPTIONS!$C$21-ASSUMPTIONS!$C$18*ASSUMPTIONS!$C$22)*(1+H615)^5*(1+K615)/(I615-K615)/(1+I615)^5)-DCF!$C$12)/ASSUMPTIONS!$C$7</f>
        <v/>
      </c>
    </row>
    <row r="616">
      <c r="H616" s="83">
        <f>_xlfn.NORM.INV(RAND(),AVERAGE(ASSUMPTIONS!$C$38,ASSUMPTIONS!$C$39,ASSUMPTIONS!$C$40,ASSUMPTIONS!$C$41,ASSUMPTIONS!$C$42),ASSUMPTIONS!$C$68)</f>
        <v/>
      </c>
      <c r="I616" s="83">
        <f>MAX(_xlfn.NORM.INV(RAND(),DCF!$C$11,ASSUMPTIONS!$C$69),K616+0.005)</f>
        <v/>
      </c>
      <c r="J616" s="83">
        <f>_xlfn.NORM.INV(RAND(),ASSUMPTIONS!$C$19,ASSUMPTIONS!$C$70)</f>
        <v/>
      </c>
      <c r="K616" s="83">
        <f>_xlfn.NORM.INV(RAND(),ASSUMPTIONS!$C$43,ASSUMPTIONS!$C$71)</f>
        <v/>
      </c>
      <c r="L616" s="84">
        <f>(((ASSUMPTIONS!$C$18*J616*(1-ASSUMPTIONS!$C$20)+ASSUMPTIONS!$C$18*ASSUMPTIONS!$C$21-ASSUMPTIONS!$C$18*ASSUMPTIONS!$C$22)*(1+H616)*(1-((1+H616)/(1+I616))^5)/(I616-H616))+((ASSUMPTIONS!$C$18*J616*(1-ASSUMPTIONS!$C$20)+ASSUMPTIONS!$C$18*ASSUMPTIONS!$C$21-ASSUMPTIONS!$C$18*ASSUMPTIONS!$C$22)*(1+H616)^5*(1+K616)/(I616-K616)/(1+I616)^5)-DCF!$C$12)/ASSUMPTIONS!$C$7</f>
        <v/>
      </c>
    </row>
    <row r="617">
      <c r="H617" s="83">
        <f>_xlfn.NORM.INV(RAND(),AVERAGE(ASSUMPTIONS!$C$38,ASSUMPTIONS!$C$39,ASSUMPTIONS!$C$40,ASSUMPTIONS!$C$41,ASSUMPTIONS!$C$42),ASSUMPTIONS!$C$68)</f>
        <v/>
      </c>
      <c r="I617" s="83">
        <f>MAX(_xlfn.NORM.INV(RAND(),DCF!$C$11,ASSUMPTIONS!$C$69),K617+0.005)</f>
        <v/>
      </c>
      <c r="J617" s="83">
        <f>_xlfn.NORM.INV(RAND(),ASSUMPTIONS!$C$19,ASSUMPTIONS!$C$70)</f>
        <v/>
      </c>
      <c r="K617" s="83">
        <f>_xlfn.NORM.INV(RAND(),ASSUMPTIONS!$C$43,ASSUMPTIONS!$C$71)</f>
        <v/>
      </c>
      <c r="L617" s="84">
        <f>(((ASSUMPTIONS!$C$18*J617*(1-ASSUMPTIONS!$C$20)+ASSUMPTIONS!$C$18*ASSUMPTIONS!$C$21-ASSUMPTIONS!$C$18*ASSUMPTIONS!$C$22)*(1+H617)*(1-((1+H617)/(1+I617))^5)/(I617-H617))+((ASSUMPTIONS!$C$18*J617*(1-ASSUMPTIONS!$C$20)+ASSUMPTIONS!$C$18*ASSUMPTIONS!$C$21-ASSUMPTIONS!$C$18*ASSUMPTIONS!$C$22)*(1+H617)^5*(1+K617)/(I617-K617)/(1+I617)^5)-DCF!$C$12)/ASSUMPTIONS!$C$7</f>
        <v/>
      </c>
    </row>
    <row r="618">
      <c r="H618" s="83">
        <f>_xlfn.NORM.INV(RAND(),AVERAGE(ASSUMPTIONS!$C$38,ASSUMPTIONS!$C$39,ASSUMPTIONS!$C$40,ASSUMPTIONS!$C$41,ASSUMPTIONS!$C$42),ASSUMPTIONS!$C$68)</f>
        <v/>
      </c>
      <c r="I618" s="83">
        <f>MAX(_xlfn.NORM.INV(RAND(),DCF!$C$11,ASSUMPTIONS!$C$69),K618+0.005)</f>
        <v/>
      </c>
      <c r="J618" s="83">
        <f>_xlfn.NORM.INV(RAND(),ASSUMPTIONS!$C$19,ASSUMPTIONS!$C$70)</f>
        <v/>
      </c>
      <c r="K618" s="83">
        <f>_xlfn.NORM.INV(RAND(),ASSUMPTIONS!$C$43,ASSUMPTIONS!$C$71)</f>
        <v/>
      </c>
      <c r="L618" s="84">
        <f>(((ASSUMPTIONS!$C$18*J618*(1-ASSUMPTIONS!$C$20)+ASSUMPTIONS!$C$18*ASSUMPTIONS!$C$21-ASSUMPTIONS!$C$18*ASSUMPTIONS!$C$22)*(1+H618)*(1-((1+H618)/(1+I618))^5)/(I618-H618))+((ASSUMPTIONS!$C$18*J618*(1-ASSUMPTIONS!$C$20)+ASSUMPTIONS!$C$18*ASSUMPTIONS!$C$21-ASSUMPTIONS!$C$18*ASSUMPTIONS!$C$22)*(1+H618)^5*(1+K618)/(I618-K618)/(1+I618)^5)-DCF!$C$12)/ASSUMPTIONS!$C$7</f>
        <v/>
      </c>
    </row>
    <row r="619">
      <c r="H619" s="83">
        <f>_xlfn.NORM.INV(RAND(),AVERAGE(ASSUMPTIONS!$C$38,ASSUMPTIONS!$C$39,ASSUMPTIONS!$C$40,ASSUMPTIONS!$C$41,ASSUMPTIONS!$C$42),ASSUMPTIONS!$C$68)</f>
        <v/>
      </c>
      <c r="I619" s="83">
        <f>MAX(_xlfn.NORM.INV(RAND(),DCF!$C$11,ASSUMPTIONS!$C$69),K619+0.005)</f>
        <v/>
      </c>
      <c r="J619" s="83">
        <f>_xlfn.NORM.INV(RAND(),ASSUMPTIONS!$C$19,ASSUMPTIONS!$C$70)</f>
        <v/>
      </c>
      <c r="K619" s="83">
        <f>_xlfn.NORM.INV(RAND(),ASSUMPTIONS!$C$43,ASSUMPTIONS!$C$71)</f>
        <v/>
      </c>
      <c r="L619" s="84">
        <f>(((ASSUMPTIONS!$C$18*J619*(1-ASSUMPTIONS!$C$20)+ASSUMPTIONS!$C$18*ASSUMPTIONS!$C$21-ASSUMPTIONS!$C$18*ASSUMPTIONS!$C$22)*(1+H619)*(1-((1+H619)/(1+I619))^5)/(I619-H619))+((ASSUMPTIONS!$C$18*J619*(1-ASSUMPTIONS!$C$20)+ASSUMPTIONS!$C$18*ASSUMPTIONS!$C$21-ASSUMPTIONS!$C$18*ASSUMPTIONS!$C$22)*(1+H619)^5*(1+K619)/(I619-K619)/(1+I619)^5)-DCF!$C$12)/ASSUMPTIONS!$C$7</f>
        <v/>
      </c>
    </row>
    <row r="620">
      <c r="H620" s="83">
        <f>_xlfn.NORM.INV(RAND(),AVERAGE(ASSUMPTIONS!$C$38,ASSUMPTIONS!$C$39,ASSUMPTIONS!$C$40,ASSUMPTIONS!$C$41,ASSUMPTIONS!$C$42),ASSUMPTIONS!$C$68)</f>
        <v/>
      </c>
      <c r="I620" s="83">
        <f>MAX(_xlfn.NORM.INV(RAND(),DCF!$C$11,ASSUMPTIONS!$C$69),K620+0.005)</f>
        <v/>
      </c>
      <c r="J620" s="83">
        <f>_xlfn.NORM.INV(RAND(),ASSUMPTIONS!$C$19,ASSUMPTIONS!$C$70)</f>
        <v/>
      </c>
      <c r="K620" s="83">
        <f>_xlfn.NORM.INV(RAND(),ASSUMPTIONS!$C$43,ASSUMPTIONS!$C$71)</f>
        <v/>
      </c>
      <c r="L620" s="84">
        <f>(((ASSUMPTIONS!$C$18*J620*(1-ASSUMPTIONS!$C$20)+ASSUMPTIONS!$C$18*ASSUMPTIONS!$C$21-ASSUMPTIONS!$C$18*ASSUMPTIONS!$C$22)*(1+H620)*(1-((1+H620)/(1+I620))^5)/(I620-H620))+((ASSUMPTIONS!$C$18*J620*(1-ASSUMPTIONS!$C$20)+ASSUMPTIONS!$C$18*ASSUMPTIONS!$C$21-ASSUMPTIONS!$C$18*ASSUMPTIONS!$C$22)*(1+H620)^5*(1+K620)/(I620-K620)/(1+I620)^5)-DCF!$C$12)/ASSUMPTIONS!$C$7</f>
        <v/>
      </c>
    </row>
    <row r="621">
      <c r="H621" s="83">
        <f>_xlfn.NORM.INV(RAND(),AVERAGE(ASSUMPTIONS!$C$38,ASSUMPTIONS!$C$39,ASSUMPTIONS!$C$40,ASSUMPTIONS!$C$41,ASSUMPTIONS!$C$42),ASSUMPTIONS!$C$68)</f>
        <v/>
      </c>
      <c r="I621" s="83">
        <f>MAX(_xlfn.NORM.INV(RAND(),DCF!$C$11,ASSUMPTIONS!$C$69),K621+0.005)</f>
        <v/>
      </c>
      <c r="J621" s="83">
        <f>_xlfn.NORM.INV(RAND(),ASSUMPTIONS!$C$19,ASSUMPTIONS!$C$70)</f>
        <v/>
      </c>
      <c r="K621" s="83">
        <f>_xlfn.NORM.INV(RAND(),ASSUMPTIONS!$C$43,ASSUMPTIONS!$C$71)</f>
        <v/>
      </c>
      <c r="L621" s="84">
        <f>(((ASSUMPTIONS!$C$18*J621*(1-ASSUMPTIONS!$C$20)+ASSUMPTIONS!$C$18*ASSUMPTIONS!$C$21-ASSUMPTIONS!$C$18*ASSUMPTIONS!$C$22)*(1+H621)*(1-((1+H621)/(1+I621))^5)/(I621-H621))+((ASSUMPTIONS!$C$18*J621*(1-ASSUMPTIONS!$C$20)+ASSUMPTIONS!$C$18*ASSUMPTIONS!$C$21-ASSUMPTIONS!$C$18*ASSUMPTIONS!$C$22)*(1+H621)^5*(1+K621)/(I621-K621)/(1+I621)^5)-DCF!$C$12)/ASSUMPTIONS!$C$7</f>
        <v/>
      </c>
    </row>
    <row r="622">
      <c r="H622" s="83">
        <f>_xlfn.NORM.INV(RAND(),AVERAGE(ASSUMPTIONS!$C$38,ASSUMPTIONS!$C$39,ASSUMPTIONS!$C$40,ASSUMPTIONS!$C$41,ASSUMPTIONS!$C$42),ASSUMPTIONS!$C$68)</f>
        <v/>
      </c>
      <c r="I622" s="83">
        <f>MAX(_xlfn.NORM.INV(RAND(),DCF!$C$11,ASSUMPTIONS!$C$69),K622+0.005)</f>
        <v/>
      </c>
      <c r="J622" s="83">
        <f>_xlfn.NORM.INV(RAND(),ASSUMPTIONS!$C$19,ASSUMPTIONS!$C$70)</f>
        <v/>
      </c>
      <c r="K622" s="83">
        <f>_xlfn.NORM.INV(RAND(),ASSUMPTIONS!$C$43,ASSUMPTIONS!$C$71)</f>
        <v/>
      </c>
      <c r="L622" s="84">
        <f>(((ASSUMPTIONS!$C$18*J622*(1-ASSUMPTIONS!$C$20)+ASSUMPTIONS!$C$18*ASSUMPTIONS!$C$21-ASSUMPTIONS!$C$18*ASSUMPTIONS!$C$22)*(1+H622)*(1-((1+H622)/(1+I622))^5)/(I622-H622))+((ASSUMPTIONS!$C$18*J622*(1-ASSUMPTIONS!$C$20)+ASSUMPTIONS!$C$18*ASSUMPTIONS!$C$21-ASSUMPTIONS!$C$18*ASSUMPTIONS!$C$22)*(1+H622)^5*(1+K622)/(I622-K622)/(1+I622)^5)-DCF!$C$12)/ASSUMPTIONS!$C$7</f>
        <v/>
      </c>
    </row>
    <row r="623">
      <c r="H623" s="83">
        <f>_xlfn.NORM.INV(RAND(),AVERAGE(ASSUMPTIONS!$C$38,ASSUMPTIONS!$C$39,ASSUMPTIONS!$C$40,ASSUMPTIONS!$C$41,ASSUMPTIONS!$C$42),ASSUMPTIONS!$C$68)</f>
        <v/>
      </c>
      <c r="I623" s="83">
        <f>MAX(_xlfn.NORM.INV(RAND(),DCF!$C$11,ASSUMPTIONS!$C$69),K623+0.005)</f>
        <v/>
      </c>
      <c r="J623" s="83">
        <f>_xlfn.NORM.INV(RAND(),ASSUMPTIONS!$C$19,ASSUMPTIONS!$C$70)</f>
        <v/>
      </c>
      <c r="K623" s="83">
        <f>_xlfn.NORM.INV(RAND(),ASSUMPTIONS!$C$43,ASSUMPTIONS!$C$71)</f>
        <v/>
      </c>
      <c r="L623" s="84">
        <f>(((ASSUMPTIONS!$C$18*J623*(1-ASSUMPTIONS!$C$20)+ASSUMPTIONS!$C$18*ASSUMPTIONS!$C$21-ASSUMPTIONS!$C$18*ASSUMPTIONS!$C$22)*(1+H623)*(1-((1+H623)/(1+I623))^5)/(I623-H623))+((ASSUMPTIONS!$C$18*J623*(1-ASSUMPTIONS!$C$20)+ASSUMPTIONS!$C$18*ASSUMPTIONS!$C$21-ASSUMPTIONS!$C$18*ASSUMPTIONS!$C$22)*(1+H623)^5*(1+K623)/(I623-K623)/(1+I623)^5)-DCF!$C$12)/ASSUMPTIONS!$C$7</f>
        <v/>
      </c>
    </row>
    <row r="624">
      <c r="H624" s="83">
        <f>_xlfn.NORM.INV(RAND(),AVERAGE(ASSUMPTIONS!$C$38,ASSUMPTIONS!$C$39,ASSUMPTIONS!$C$40,ASSUMPTIONS!$C$41,ASSUMPTIONS!$C$42),ASSUMPTIONS!$C$68)</f>
        <v/>
      </c>
      <c r="I624" s="83">
        <f>MAX(_xlfn.NORM.INV(RAND(),DCF!$C$11,ASSUMPTIONS!$C$69),K624+0.005)</f>
        <v/>
      </c>
      <c r="J624" s="83">
        <f>_xlfn.NORM.INV(RAND(),ASSUMPTIONS!$C$19,ASSUMPTIONS!$C$70)</f>
        <v/>
      </c>
      <c r="K624" s="83">
        <f>_xlfn.NORM.INV(RAND(),ASSUMPTIONS!$C$43,ASSUMPTIONS!$C$71)</f>
        <v/>
      </c>
      <c r="L624" s="84">
        <f>(((ASSUMPTIONS!$C$18*J624*(1-ASSUMPTIONS!$C$20)+ASSUMPTIONS!$C$18*ASSUMPTIONS!$C$21-ASSUMPTIONS!$C$18*ASSUMPTIONS!$C$22)*(1+H624)*(1-((1+H624)/(1+I624))^5)/(I624-H624))+((ASSUMPTIONS!$C$18*J624*(1-ASSUMPTIONS!$C$20)+ASSUMPTIONS!$C$18*ASSUMPTIONS!$C$21-ASSUMPTIONS!$C$18*ASSUMPTIONS!$C$22)*(1+H624)^5*(1+K624)/(I624-K624)/(1+I624)^5)-DCF!$C$12)/ASSUMPTIONS!$C$7</f>
        <v/>
      </c>
    </row>
    <row r="625">
      <c r="H625" s="83">
        <f>_xlfn.NORM.INV(RAND(),AVERAGE(ASSUMPTIONS!$C$38,ASSUMPTIONS!$C$39,ASSUMPTIONS!$C$40,ASSUMPTIONS!$C$41,ASSUMPTIONS!$C$42),ASSUMPTIONS!$C$68)</f>
        <v/>
      </c>
      <c r="I625" s="83">
        <f>MAX(_xlfn.NORM.INV(RAND(),DCF!$C$11,ASSUMPTIONS!$C$69),K625+0.005)</f>
        <v/>
      </c>
      <c r="J625" s="83">
        <f>_xlfn.NORM.INV(RAND(),ASSUMPTIONS!$C$19,ASSUMPTIONS!$C$70)</f>
        <v/>
      </c>
      <c r="K625" s="83">
        <f>_xlfn.NORM.INV(RAND(),ASSUMPTIONS!$C$43,ASSUMPTIONS!$C$71)</f>
        <v/>
      </c>
      <c r="L625" s="84">
        <f>(((ASSUMPTIONS!$C$18*J625*(1-ASSUMPTIONS!$C$20)+ASSUMPTIONS!$C$18*ASSUMPTIONS!$C$21-ASSUMPTIONS!$C$18*ASSUMPTIONS!$C$22)*(1+H625)*(1-((1+H625)/(1+I625))^5)/(I625-H625))+((ASSUMPTIONS!$C$18*J625*(1-ASSUMPTIONS!$C$20)+ASSUMPTIONS!$C$18*ASSUMPTIONS!$C$21-ASSUMPTIONS!$C$18*ASSUMPTIONS!$C$22)*(1+H625)^5*(1+K625)/(I625-K625)/(1+I625)^5)-DCF!$C$12)/ASSUMPTIONS!$C$7</f>
        <v/>
      </c>
    </row>
    <row r="626">
      <c r="H626" s="83">
        <f>_xlfn.NORM.INV(RAND(),AVERAGE(ASSUMPTIONS!$C$38,ASSUMPTIONS!$C$39,ASSUMPTIONS!$C$40,ASSUMPTIONS!$C$41,ASSUMPTIONS!$C$42),ASSUMPTIONS!$C$68)</f>
        <v/>
      </c>
      <c r="I626" s="83">
        <f>MAX(_xlfn.NORM.INV(RAND(),DCF!$C$11,ASSUMPTIONS!$C$69),K626+0.005)</f>
        <v/>
      </c>
      <c r="J626" s="83">
        <f>_xlfn.NORM.INV(RAND(),ASSUMPTIONS!$C$19,ASSUMPTIONS!$C$70)</f>
        <v/>
      </c>
      <c r="K626" s="83">
        <f>_xlfn.NORM.INV(RAND(),ASSUMPTIONS!$C$43,ASSUMPTIONS!$C$71)</f>
        <v/>
      </c>
      <c r="L626" s="84">
        <f>(((ASSUMPTIONS!$C$18*J626*(1-ASSUMPTIONS!$C$20)+ASSUMPTIONS!$C$18*ASSUMPTIONS!$C$21-ASSUMPTIONS!$C$18*ASSUMPTIONS!$C$22)*(1+H626)*(1-((1+H626)/(1+I626))^5)/(I626-H626))+((ASSUMPTIONS!$C$18*J626*(1-ASSUMPTIONS!$C$20)+ASSUMPTIONS!$C$18*ASSUMPTIONS!$C$21-ASSUMPTIONS!$C$18*ASSUMPTIONS!$C$22)*(1+H626)^5*(1+K626)/(I626-K626)/(1+I626)^5)-DCF!$C$12)/ASSUMPTIONS!$C$7</f>
        <v/>
      </c>
    </row>
    <row r="627">
      <c r="H627" s="83">
        <f>_xlfn.NORM.INV(RAND(),AVERAGE(ASSUMPTIONS!$C$38,ASSUMPTIONS!$C$39,ASSUMPTIONS!$C$40,ASSUMPTIONS!$C$41,ASSUMPTIONS!$C$42),ASSUMPTIONS!$C$68)</f>
        <v/>
      </c>
      <c r="I627" s="83">
        <f>MAX(_xlfn.NORM.INV(RAND(),DCF!$C$11,ASSUMPTIONS!$C$69),K627+0.005)</f>
        <v/>
      </c>
      <c r="J627" s="83">
        <f>_xlfn.NORM.INV(RAND(),ASSUMPTIONS!$C$19,ASSUMPTIONS!$C$70)</f>
        <v/>
      </c>
      <c r="K627" s="83">
        <f>_xlfn.NORM.INV(RAND(),ASSUMPTIONS!$C$43,ASSUMPTIONS!$C$71)</f>
        <v/>
      </c>
      <c r="L627" s="84">
        <f>(((ASSUMPTIONS!$C$18*J627*(1-ASSUMPTIONS!$C$20)+ASSUMPTIONS!$C$18*ASSUMPTIONS!$C$21-ASSUMPTIONS!$C$18*ASSUMPTIONS!$C$22)*(1+H627)*(1-((1+H627)/(1+I627))^5)/(I627-H627))+((ASSUMPTIONS!$C$18*J627*(1-ASSUMPTIONS!$C$20)+ASSUMPTIONS!$C$18*ASSUMPTIONS!$C$21-ASSUMPTIONS!$C$18*ASSUMPTIONS!$C$22)*(1+H627)^5*(1+K627)/(I627-K627)/(1+I627)^5)-DCF!$C$12)/ASSUMPTIONS!$C$7</f>
        <v/>
      </c>
    </row>
    <row r="628">
      <c r="H628" s="83">
        <f>_xlfn.NORM.INV(RAND(),AVERAGE(ASSUMPTIONS!$C$38,ASSUMPTIONS!$C$39,ASSUMPTIONS!$C$40,ASSUMPTIONS!$C$41,ASSUMPTIONS!$C$42),ASSUMPTIONS!$C$68)</f>
        <v/>
      </c>
      <c r="I628" s="83">
        <f>MAX(_xlfn.NORM.INV(RAND(),DCF!$C$11,ASSUMPTIONS!$C$69),K628+0.005)</f>
        <v/>
      </c>
      <c r="J628" s="83">
        <f>_xlfn.NORM.INV(RAND(),ASSUMPTIONS!$C$19,ASSUMPTIONS!$C$70)</f>
        <v/>
      </c>
      <c r="K628" s="83">
        <f>_xlfn.NORM.INV(RAND(),ASSUMPTIONS!$C$43,ASSUMPTIONS!$C$71)</f>
        <v/>
      </c>
      <c r="L628" s="84">
        <f>(((ASSUMPTIONS!$C$18*J628*(1-ASSUMPTIONS!$C$20)+ASSUMPTIONS!$C$18*ASSUMPTIONS!$C$21-ASSUMPTIONS!$C$18*ASSUMPTIONS!$C$22)*(1+H628)*(1-((1+H628)/(1+I628))^5)/(I628-H628))+((ASSUMPTIONS!$C$18*J628*(1-ASSUMPTIONS!$C$20)+ASSUMPTIONS!$C$18*ASSUMPTIONS!$C$21-ASSUMPTIONS!$C$18*ASSUMPTIONS!$C$22)*(1+H628)^5*(1+K628)/(I628-K628)/(1+I628)^5)-DCF!$C$12)/ASSUMPTIONS!$C$7</f>
        <v/>
      </c>
    </row>
    <row r="629">
      <c r="H629" s="83">
        <f>_xlfn.NORM.INV(RAND(),AVERAGE(ASSUMPTIONS!$C$38,ASSUMPTIONS!$C$39,ASSUMPTIONS!$C$40,ASSUMPTIONS!$C$41,ASSUMPTIONS!$C$42),ASSUMPTIONS!$C$68)</f>
        <v/>
      </c>
      <c r="I629" s="83">
        <f>MAX(_xlfn.NORM.INV(RAND(),DCF!$C$11,ASSUMPTIONS!$C$69),K629+0.005)</f>
        <v/>
      </c>
      <c r="J629" s="83">
        <f>_xlfn.NORM.INV(RAND(),ASSUMPTIONS!$C$19,ASSUMPTIONS!$C$70)</f>
        <v/>
      </c>
      <c r="K629" s="83">
        <f>_xlfn.NORM.INV(RAND(),ASSUMPTIONS!$C$43,ASSUMPTIONS!$C$71)</f>
        <v/>
      </c>
      <c r="L629" s="84">
        <f>(((ASSUMPTIONS!$C$18*J629*(1-ASSUMPTIONS!$C$20)+ASSUMPTIONS!$C$18*ASSUMPTIONS!$C$21-ASSUMPTIONS!$C$18*ASSUMPTIONS!$C$22)*(1+H629)*(1-((1+H629)/(1+I629))^5)/(I629-H629))+((ASSUMPTIONS!$C$18*J629*(1-ASSUMPTIONS!$C$20)+ASSUMPTIONS!$C$18*ASSUMPTIONS!$C$21-ASSUMPTIONS!$C$18*ASSUMPTIONS!$C$22)*(1+H629)^5*(1+K629)/(I629-K629)/(1+I629)^5)-DCF!$C$12)/ASSUMPTIONS!$C$7</f>
        <v/>
      </c>
    </row>
    <row r="630">
      <c r="H630" s="83">
        <f>_xlfn.NORM.INV(RAND(),AVERAGE(ASSUMPTIONS!$C$38,ASSUMPTIONS!$C$39,ASSUMPTIONS!$C$40,ASSUMPTIONS!$C$41,ASSUMPTIONS!$C$42),ASSUMPTIONS!$C$68)</f>
        <v/>
      </c>
      <c r="I630" s="83">
        <f>MAX(_xlfn.NORM.INV(RAND(),DCF!$C$11,ASSUMPTIONS!$C$69),K630+0.005)</f>
        <v/>
      </c>
      <c r="J630" s="83">
        <f>_xlfn.NORM.INV(RAND(),ASSUMPTIONS!$C$19,ASSUMPTIONS!$C$70)</f>
        <v/>
      </c>
      <c r="K630" s="83">
        <f>_xlfn.NORM.INV(RAND(),ASSUMPTIONS!$C$43,ASSUMPTIONS!$C$71)</f>
        <v/>
      </c>
      <c r="L630" s="84">
        <f>(((ASSUMPTIONS!$C$18*J630*(1-ASSUMPTIONS!$C$20)+ASSUMPTIONS!$C$18*ASSUMPTIONS!$C$21-ASSUMPTIONS!$C$18*ASSUMPTIONS!$C$22)*(1+H630)*(1-((1+H630)/(1+I630))^5)/(I630-H630))+((ASSUMPTIONS!$C$18*J630*(1-ASSUMPTIONS!$C$20)+ASSUMPTIONS!$C$18*ASSUMPTIONS!$C$21-ASSUMPTIONS!$C$18*ASSUMPTIONS!$C$22)*(1+H630)^5*(1+K630)/(I630-K630)/(1+I630)^5)-DCF!$C$12)/ASSUMPTIONS!$C$7</f>
        <v/>
      </c>
    </row>
    <row r="631">
      <c r="H631" s="83">
        <f>_xlfn.NORM.INV(RAND(),AVERAGE(ASSUMPTIONS!$C$38,ASSUMPTIONS!$C$39,ASSUMPTIONS!$C$40,ASSUMPTIONS!$C$41,ASSUMPTIONS!$C$42),ASSUMPTIONS!$C$68)</f>
        <v/>
      </c>
      <c r="I631" s="83">
        <f>MAX(_xlfn.NORM.INV(RAND(),DCF!$C$11,ASSUMPTIONS!$C$69),K631+0.005)</f>
        <v/>
      </c>
      <c r="J631" s="83">
        <f>_xlfn.NORM.INV(RAND(),ASSUMPTIONS!$C$19,ASSUMPTIONS!$C$70)</f>
        <v/>
      </c>
      <c r="K631" s="83">
        <f>_xlfn.NORM.INV(RAND(),ASSUMPTIONS!$C$43,ASSUMPTIONS!$C$71)</f>
        <v/>
      </c>
      <c r="L631" s="84">
        <f>(((ASSUMPTIONS!$C$18*J631*(1-ASSUMPTIONS!$C$20)+ASSUMPTIONS!$C$18*ASSUMPTIONS!$C$21-ASSUMPTIONS!$C$18*ASSUMPTIONS!$C$22)*(1+H631)*(1-((1+H631)/(1+I631))^5)/(I631-H631))+((ASSUMPTIONS!$C$18*J631*(1-ASSUMPTIONS!$C$20)+ASSUMPTIONS!$C$18*ASSUMPTIONS!$C$21-ASSUMPTIONS!$C$18*ASSUMPTIONS!$C$22)*(1+H631)^5*(1+K631)/(I631-K631)/(1+I631)^5)-DCF!$C$12)/ASSUMPTIONS!$C$7</f>
        <v/>
      </c>
    </row>
    <row r="632">
      <c r="H632" s="83">
        <f>_xlfn.NORM.INV(RAND(),AVERAGE(ASSUMPTIONS!$C$38,ASSUMPTIONS!$C$39,ASSUMPTIONS!$C$40,ASSUMPTIONS!$C$41,ASSUMPTIONS!$C$42),ASSUMPTIONS!$C$68)</f>
        <v/>
      </c>
      <c r="I632" s="83">
        <f>MAX(_xlfn.NORM.INV(RAND(),DCF!$C$11,ASSUMPTIONS!$C$69),K632+0.005)</f>
        <v/>
      </c>
      <c r="J632" s="83">
        <f>_xlfn.NORM.INV(RAND(),ASSUMPTIONS!$C$19,ASSUMPTIONS!$C$70)</f>
        <v/>
      </c>
      <c r="K632" s="83">
        <f>_xlfn.NORM.INV(RAND(),ASSUMPTIONS!$C$43,ASSUMPTIONS!$C$71)</f>
        <v/>
      </c>
      <c r="L632" s="84">
        <f>(((ASSUMPTIONS!$C$18*J632*(1-ASSUMPTIONS!$C$20)+ASSUMPTIONS!$C$18*ASSUMPTIONS!$C$21-ASSUMPTIONS!$C$18*ASSUMPTIONS!$C$22)*(1+H632)*(1-((1+H632)/(1+I632))^5)/(I632-H632))+((ASSUMPTIONS!$C$18*J632*(1-ASSUMPTIONS!$C$20)+ASSUMPTIONS!$C$18*ASSUMPTIONS!$C$21-ASSUMPTIONS!$C$18*ASSUMPTIONS!$C$22)*(1+H632)^5*(1+K632)/(I632-K632)/(1+I632)^5)-DCF!$C$12)/ASSUMPTIONS!$C$7</f>
        <v/>
      </c>
    </row>
    <row r="633">
      <c r="H633" s="83">
        <f>_xlfn.NORM.INV(RAND(),AVERAGE(ASSUMPTIONS!$C$38,ASSUMPTIONS!$C$39,ASSUMPTIONS!$C$40,ASSUMPTIONS!$C$41,ASSUMPTIONS!$C$42),ASSUMPTIONS!$C$68)</f>
        <v/>
      </c>
      <c r="I633" s="83">
        <f>MAX(_xlfn.NORM.INV(RAND(),DCF!$C$11,ASSUMPTIONS!$C$69),K633+0.005)</f>
        <v/>
      </c>
      <c r="J633" s="83">
        <f>_xlfn.NORM.INV(RAND(),ASSUMPTIONS!$C$19,ASSUMPTIONS!$C$70)</f>
        <v/>
      </c>
      <c r="K633" s="83">
        <f>_xlfn.NORM.INV(RAND(),ASSUMPTIONS!$C$43,ASSUMPTIONS!$C$71)</f>
        <v/>
      </c>
      <c r="L633" s="84">
        <f>(((ASSUMPTIONS!$C$18*J633*(1-ASSUMPTIONS!$C$20)+ASSUMPTIONS!$C$18*ASSUMPTIONS!$C$21-ASSUMPTIONS!$C$18*ASSUMPTIONS!$C$22)*(1+H633)*(1-((1+H633)/(1+I633))^5)/(I633-H633))+((ASSUMPTIONS!$C$18*J633*(1-ASSUMPTIONS!$C$20)+ASSUMPTIONS!$C$18*ASSUMPTIONS!$C$21-ASSUMPTIONS!$C$18*ASSUMPTIONS!$C$22)*(1+H633)^5*(1+K633)/(I633-K633)/(1+I633)^5)-DCF!$C$12)/ASSUMPTIONS!$C$7</f>
        <v/>
      </c>
    </row>
    <row r="634">
      <c r="H634" s="83">
        <f>_xlfn.NORM.INV(RAND(),AVERAGE(ASSUMPTIONS!$C$38,ASSUMPTIONS!$C$39,ASSUMPTIONS!$C$40,ASSUMPTIONS!$C$41,ASSUMPTIONS!$C$42),ASSUMPTIONS!$C$68)</f>
        <v/>
      </c>
      <c r="I634" s="83">
        <f>MAX(_xlfn.NORM.INV(RAND(),DCF!$C$11,ASSUMPTIONS!$C$69),K634+0.005)</f>
        <v/>
      </c>
      <c r="J634" s="83">
        <f>_xlfn.NORM.INV(RAND(),ASSUMPTIONS!$C$19,ASSUMPTIONS!$C$70)</f>
        <v/>
      </c>
      <c r="K634" s="83">
        <f>_xlfn.NORM.INV(RAND(),ASSUMPTIONS!$C$43,ASSUMPTIONS!$C$71)</f>
        <v/>
      </c>
      <c r="L634" s="84">
        <f>(((ASSUMPTIONS!$C$18*J634*(1-ASSUMPTIONS!$C$20)+ASSUMPTIONS!$C$18*ASSUMPTIONS!$C$21-ASSUMPTIONS!$C$18*ASSUMPTIONS!$C$22)*(1+H634)*(1-((1+H634)/(1+I634))^5)/(I634-H634))+((ASSUMPTIONS!$C$18*J634*(1-ASSUMPTIONS!$C$20)+ASSUMPTIONS!$C$18*ASSUMPTIONS!$C$21-ASSUMPTIONS!$C$18*ASSUMPTIONS!$C$22)*(1+H634)^5*(1+K634)/(I634-K634)/(1+I634)^5)-DCF!$C$12)/ASSUMPTIONS!$C$7</f>
        <v/>
      </c>
    </row>
    <row r="635">
      <c r="H635" s="83">
        <f>_xlfn.NORM.INV(RAND(),AVERAGE(ASSUMPTIONS!$C$38,ASSUMPTIONS!$C$39,ASSUMPTIONS!$C$40,ASSUMPTIONS!$C$41,ASSUMPTIONS!$C$42),ASSUMPTIONS!$C$68)</f>
        <v/>
      </c>
      <c r="I635" s="83">
        <f>MAX(_xlfn.NORM.INV(RAND(),DCF!$C$11,ASSUMPTIONS!$C$69),K635+0.005)</f>
        <v/>
      </c>
      <c r="J635" s="83">
        <f>_xlfn.NORM.INV(RAND(),ASSUMPTIONS!$C$19,ASSUMPTIONS!$C$70)</f>
        <v/>
      </c>
      <c r="K635" s="83">
        <f>_xlfn.NORM.INV(RAND(),ASSUMPTIONS!$C$43,ASSUMPTIONS!$C$71)</f>
        <v/>
      </c>
      <c r="L635" s="84">
        <f>(((ASSUMPTIONS!$C$18*J635*(1-ASSUMPTIONS!$C$20)+ASSUMPTIONS!$C$18*ASSUMPTIONS!$C$21-ASSUMPTIONS!$C$18*ASSUMPTIONS!$C$22)*(1+H635)*(1-((1+H635)/(1+I635))^5)/(I635-H635))+((ASSUMPTIONS!$C$18*J635*(1-ASSUMPTIONS!$C$20)+ASSUMPTIONS!$C$18*ASSUMPTIONS!$C$21-ASSUMPTIONS!$C$18*ASSUMPTIONS!$C$22)*(1+H635)^5*(1+K635)/(I635-K635)/(1+I635)^5)-DCF!$C$12)/ASSUMPTIONS!$C$7</f>
        <v/>
      </c>
    </row>
    <row r="636">
      <c r="H636" s="83">
        <f>_xlfn.NORM.INV(RAND(),AVERAGE(ASSUMPTIONS!$C$38,ASSUMPTIONS!$C$39,ASSUMPTIONS!$C$40,ASSUMPTIONS!$C$41,ASSUMPTIONS!$C$42),ASSUMPTIONS!$C$68)</f>
        <v/>
      </c>
      <c r="I636" s="83">
        <f>MAX(_xlfn.NORM.INV(RAND(),DCF!$C$11,ASSUMPTIONS!$C$69),K636+0.005)</f>
        <v/>
      </c>
      <c r="J636" s="83">
        <f>_xlfn.NORM.INV(RAND(),ASSUMPTIONS!$C$19,ASSUMPTIONS!$C$70)</f>
        <v/>
      </c>
      <c r="K636" s="83">
        <f>_xlfn.NORM.INV(RAND(),ASSUMPTIONS!$C$43,ASSUMPTIONS!$C$71)</f>
        <v/>
      </c>
      <c r="L636" s="84">
        <f>(((ASSUMPTIONS!$C$18*J636*(1-ASSUMPTIONS!$C$20)+ASSUMPTIONS!$C$18*ASSUMPTIONS!$C$21-ASSUMPTIONS!$C$18*ASSUMPTIONS!$C$22)*(1+H636)*(1-((1+H636)/(1+I636))^5)/(I636-H636))+((ASSUMPTIONS!$C$18*J636*(1-ASSUMPTIONS!$C$20)+ASSUMPTIONS!$C$18*ASSUMPTIONS!$C$21-ASSUMPTIONS!$C$18*ASSUMPTIONS!$C$22)*(1+H636)^5*(1+K636)/(I636-K636)/(1+I636)^5)-DCF!$C$12)/ASSUMPTIONS!$C$7</f>
        <v/>
      </c>
    </row>
    <row r="637">
      <c r="H637" s="83">
        <f>_xlfn.NORM.INV(RAND(),AVERAGE(ASSUMPTIONS!$C$38,ASSUMPTIONS!$C$39,ASSUMPTIONS!$C$40,ASSUMPTIONS!$C$41,ASSUMPTIONS!$C$42),ASSUMPTIONS!$C$68)</f>
        <v/>
      </c>
      <c r="I637" s="83">
        <f>MAX(_xlfn.NORM.INV(RAND(),DCF!$C$11,ASSUMPTIONS!$C$69),K637+0.005)</f>
        <v/>
      </c>
      <c r="J637" s="83">
        <f>_xlfn.NORM.INV(RAND(),ASSUMPTIONS!$C$19,ASSUMPTIONS!$C$70)</f>
        <v/>
      </c>
      <c r="K637" s="83">
        <f>_xlfn.NORM.INV(RAND(),ASSUMPTIONS!$C$43,ASSUMPTIONS!$C$71)</f>
        <v/>
      </c>
      <c r="L637" s="84">
        <f>(((ASSUMPTIONS!$C$18*J637*(1-ASSUMPTIONS!$C$20)+ASSUMPTIONS!$C$18*ASSUMPTIONS!$C$21-ASSUMPTIONS!$C$18*ASSUMPTIONS!$C$22)*(1+H637)*(1-((1+H637)/(1+I637))^5)/(I637-H637))+((ASSUMPTIONS!$C$18*J637*(1-ASSUMPTIONS!$C$20)+ASSUMPTIONS!$C$18*ASSUMPTIONS!$C$21-ASSUMPTIONS!$C$18*ASSUMPTIONS!$C$22)*(1+H637)^5*(1+K637)/(I637-K637)/(1+I637)^5)-DCF!$C$12)/ASSUMPTIONS!$C$7</f>
        <v/>
      </c>
    </row>
    <row r="638">
      <c r="H638" s="83">
        <f>_xlfn.NORM.INV(RAND(),AVERAGE(ASSUMPTIONS!$C$38,ASSUMPTIONS!$C$39,ASSUMPTIONS!$C$40,ASSUMPTIONS!$C$41,ASSUMPTIONS!$C$42),ASSUMPTIONS!$C$68)</f>
        <v/>
      </c>
      <c r="I638" s="83">
        <f>MAX(_xlfn.NORM.INV(RAND(),DCF!$C$11,ASSUMPTIONS!$C$69),K638+0.005)</f>
        <v/>
      </c>
      <c r="J638" s="83">
        <f>_xlfn.NORM.INV(RAND(),ASSUMPTIONS!$C$19,ASSUMPTIONS!$C$70)</f>
        <v/>
      </c>
      <c r="K638" s="83">
        <f>_xlfn.NORM.INV(RAND(),ASSUMPTIONS!$C$43,ASSUMPTIONS!$C$71)</f>
        <v/>
      </c>
      <c r="L638" s="84">
        <f>(((ASSUMPTIONS!$C$18*J638*(1-ASSUMPTIONS!$C$20)+ASSUMPTIONS!$C$18*ASSUMPTIONS!$C$21-ASSUMPTIONS!$C$18*ASSUMPTIONS!$C$22)*(1+H638)*(1-((1+H638)/(1+I638))^5)/(I638-H638))+((ASSUMPTIONS!$C$18*J638*(1-ASSUMPTIONS!$C$20)+ASSUMPTIONS!$C$18*ASSUMPTIONS!$C$21-ASSUMPTIONS!$C$18*ASSUMPTIONS!$C$22)*(1+H638)^5*(1+K638)/(I638-K638)/(1+I638)^5)-DCF!$C$12)/ASSUMPTIONS!$C$7</f>
        <v/>
      </c>
    </row>
    <row r="639">
      <c r="H639" s="83">
        <f>_xlfn.NORM.INV(RAND(),AVERAGE(ASSUMPTIONS!$C$38,ASSUMPTIONS!$C$39,ASSUMPTIONS!$C$40,ASSUMPTIONS!$C$41,ASSUMPTIONS!$C$42),ASSUMPTIONS!$C$68)</f>
        <v/>
      </c>
      <c r="I639" s="83">
        <f>MAX(_xlfn.NORM.INV(RAND(),DCF!$C$11,ASSUMPTIONS!$C$69),K639+0.005)</f>
        <v/>
      </c>
      <c r="J639" s="83">
        <f>_xlfn.NORM.INV(RAND(),ASSUMPTIONS!$C$19,ASSUMPTIONS!$C$70)</f>
        <v/>
      </c>
      <c r="K639" s="83">
        <f>_xlfn.NORM.INV(RAND(),ASSUMPTIONS!$C$43,ASSUMPTIONS!$C$71)</f>
        <v/>
      </c>
      <c r="L639" s="84">
        <f>(((ASSUMPTIONS!$C$18*J639*(1-ASSUMPTIONS!$C$20)+ASSUMPTIONS!$C$18*ASSUMPTIONS!$C$21-ASSUMPTIONS!$C$18*ASSUMPTIONS!$C$22)*(1+H639)*(1-((1+H639)/(1+I639))^5)/(I639-H639))+((ASSUMPTIONS!$C$18*J639*(1-ASSUMPTIONS!$C$20)+ASSUMPTIONS!$C$18*ASSUMPTIONS!$C$21-ASSUMPTIONS!$C$18*ASSUMPTIONS!$C$22)*(1+H639)^5*(1+K639)/(I639-K639)/(1+I639)^5)-DCF!$C$12)/ASSUMPTIONS!$C$7</f>
        <v/>
      </c>
    </row>
    <row r="640">
      <c r="H640" s="83">
        <f>_xlfn.NORM.INV(RAND(),AVERAGE(ASSUMPTIONS!$C$38,ASSUMPTIONS!$C$39,ASSUMPTIONS!$C$40,ASSUMPTIONS!$C$41,ASSUMPTIONS!$C$42),ASSUMPTIONS!$C$68)</f>
        <v/>
      </c>
      <c r="I640" s="83">
        <f>MAX(_xlfn.NORM.INV(RAND(),DCF!$C$11,ASSUMPTIONS!$C$69),K640+0.005)</f>
        <v/>
      </c>
      <c r="J640" s="83">
        <f>_xlfn.NORM.INV(RAND(),ASSUMPTIONS!$C$19,ASSUMPTIONS!$C$70)</f>
        <v/>
      </c>
      <c r="K640" s="83">
        <f>_xlfn.NORM.INV(RAND(),ASSUMPTIONS!$C$43,ASSUMPTIONS!$C$71)</f>
        <v/>
      </c>
      <c r="L640" s="84">
        <f>(((ASSUMPTIONS!$C$18*J640*(1-ASSUMPTIONS!$C$20)+ASSUMPTIONS!$C$18*ASSUMPTIONS!$C$21-ASSUMPTIONS!$C$18*ASSUMPTIONS!$C$22)*(1+H640)*(1-((1+H640)/(1+I640))^5)/(I640-H640))+((ASSUMPTIONS!$C$18*J640*(1-ASSUMPTIONS!$C$20)+ASSUMPTIONS!$C$18*ASSUMPTIONS!$C$21-ASSUMPTIONS!$C$18*ASSUMPTIONS!$C$22)*(1+H640)^5*(1+K640)/(I640-K640)/(1+I640)^5)-DCF!$C$12)/ASSUMPTIONS!$C$7</f>
        <v/>
      </c>
    </row>
    <row r="641">
      <c r="H641" s="83">
        <f>_xlfn.NORM.INV(RAND(),AVERAGE(ASSUMPTIONS!$C$38,ASSUMPTIONS!$C$39,ASSUMPTIONS!$C$40,ASSUMPTIONS!$C$41,ASSUMPTIONS!$C$42),ASSUMPTIONS!$C$68)</f>
        <v/>
      </c>
      <c r="I641" s="83">
        <f>MAX(_xlfn.NORM.INV(RAND(),DCF!$C$11,ASSUMPTIONS!$C$69),K641+0.005)</f>
        <v/>
      </c>
      <c r="J641" s="83">
        <f>_xlfn.NORM.INV(RAND(),ASSUMPTIONS!$C$19,ASSUMPTIONS!$C$70)</f>
        <v/>
      </c>
      <c r="K641" s="83">
        <f>_xlfn.NORM.INV(RAND(),ASSUMPTIONS!$C$43,ASSUMPTIONS!$C$71)</f>
        <v/>
      </c>
      <c r="L641" s="84">
        <f>(((ASSUMPTIONS!$C$18*J641*(1-ASSUMPTIONS!$C$20)+ASSUMPTIONS!$C$18*ASSUMPTIONS!$C$21-ASSUMPTIONS!$C$18*ASSUMPTIONS!$C$22)*(1+H641)*(1-((1+H641)/(1+I641))^5)/(I641-H641))+((ASSUMPTIONS!$C$18*J641*(1-ASSUMPTIONS!$C$20)+ASSUMPTIONS!$C$18*ASSUMPTIONS!$C$21-ASSUMPTIONS!$C$18*ASSUMPTIONS!$C$22)*(1+H641)^5*(1+K641)/(I641-K641)/(1+I641)^5)-DCF!$C$12)/ASSUMPTIONS!$C$7</f>
        <v/>
      </c>
    </row>
    <row r="642">
      <c r="H642" s="83">
        <f>_xlfn.NORM.INV(RAND(),AVERAGE(ASSUMPTIONS!$C$38,ASSUMPTIONS!$C$39,ASSUMPTIONS!$C$40,ASSUMPTIONS!$C$41,ASSUMPTIONS!$C$42),ASSUMPTIONS!$C$68)</f>
        <v/>
      </c>
      <c r="I642" s="83">
        <f>MAX(_xlfn.NORM.INV(RAND(),DCF!$C$11,ASSUMPTIONS!$C$69),K642+0.005)</f>
        <v/>
      </c>
      <c r="J642" s="83">
        <f>_xlfn.NORM.INV(RAND(),ASSUMPTIONS!$C$19,ASSUMPTIONS!$C$70)</f>
        <v/>
      </c>
      <c r="K642" s="83">
        <f>_xlfn.NORM.INV(RAND(),ASSUMPTIONS!$C$43,ASSUMPTIONS!$C$71)</f>
        <v/>
      </c>
      <c r="L642" s="84">
        <f>(((ASSUMPTIONS!$C$18*J642*(1-ASSUMPTIONS!$C$20)+ASSUMPTIONS!$C$18*ASSUMPTIONS!$C$21-ASSUMPTIONS!$C$18*ASSUMPTIONS!$C$22)*(1+H642)*(1-((1+H642)/(1+I642))^5)/(I642-H642))+((ASSUMPTIONS!$C$18*J642*(1-ASSUMPTIONS!$C$20)+ASSUMPTIONS!$C$18*ASSUMPTIONS!$C$21-ASSUMPTIONS!$C$18*ASSUMPTIONS!$C$22)*(1+H642)^5*(1+K642)/(I642-K642)/(1+I642)^5)-DCF!$C$12)/ASSUMPTIONS!$C$7</f>
        <v/>
      </c>
    </row>
    <row r="643">
      <c r="H643" s="83">
        <f>_xlfn.NORM.INV(RAND(),AVERAGE(ASSUMPTIONS!$C$38,ASSUMPTIONS!$C$39,ASSUMPTIONS!$C$40,ASSUMPTIONS!$C$41,ASSUMPTIONS!$C$42),ASSUMPTIONS!$C$68)</f>
        <v/>
      </c>
      <c r="I643" s="83">
        <f>MAX(_xlfn.NORM.INV(RAND(),DCF!$C$11,ASSUMPTIONS!$C$69),K643+0.005)</f>
        <v/>
      </c>
      <c r="J643" s="83">
        <f>_xlfn.NORM.INV(RAND(),ASSUMPTIONS!$C$19,ASSUMPTIONS!$C$70)</f>
        <v/>
      </c>
      <c r="K643" s="83">
        <f>_xlfn.NORM.INV(RAND(),ASSUMPTIONS!$C$43,ASSUMPTIONS!$C$71)</f>
        <v/>
      </c>
      <c r="L643" s="84">
        <f>(((ASSUMPTIONS!$C$18*J643*(1-ASSUMPTIONS!$C$20)+ASSUMPTIONS!$C$18*ASSUMPTIONS!$C$21-ASSUMPTIONS!$C$18*ASSUMPTIONS!$C$22)*(1+H643)*(1-((1+H643)/(1+I643))^5)/(I643-H643))+((ASSUMPTIONS!$C$18*J643*(1-ASSUMPTIONS!$C$20)+ASSUMPTIONS!$C$18*ASSUMPTIONS!$C$21-ASSUMPTIONS!$C$18*ASSUMPTIONS!$C$22)*(1+H643)^5*(1+K643)/(I643-K643)/(1+I643)^5)-DCF!$C$12)/ASSUMPTIONS!$C$7</f>
        <v/>
      </c>
    </row>
    <row r="644">
      <c r="H644" s="83">
        <f>_xlfn.NORM.INV(RAND(),AVERAGE(ASSUMPTIONS!$C$38,ASSUMPTIONS!$C$39,ASSUMPTIONS!$C$40,ASSUMPTIONS!$C$41,ASSUMPTIONS!$C$42),ASSUMPTIONS!$C$68)</f>
        <v/>
      </c>
      <c r="I644" s="83">
        <f>MAX(_xlfn.NORM.INV(RAND(),DCF!$C$11,ASSUMPTIONS!$C$69),K644+0.005)</f>
        <v/>
      </c>
      <c r="J644" s="83">
        <f>_xlfn.NORM.INV(RAND(),ASSUMPTIONS!$C$19,ASSUMPTIONS!$C$70)</f>
        <v/>
      </c>
      <c r="K644" s="83">
        <f>_xlfn.NORM.INV(RAND(),ASSUMPTIONS!$C$43,ASSUMPTIONS!$C$71)</f>
        <v/>
      </c>
      <c r="L644" s="84">
        <f>(((ASSUMPTIONS!$C$18*J644*(1-ASSUMPTIONS!$C$20)+ASSUMPTIONS!$C$18*ASSUMPTIONS!$C$21-ASSUMPTIONS!$C$18*ASSUMPTIONS!$C$22)*(1+H644)*(1-((1+H644)/(1+I644))^5)/(I644-H644))+((ASSUMPTIONS!$C$18*J644*(1-ASSUMPTIONS!$C$20)+ASSUMPTIONS!$C$18*ASSUMPTIONS!$C$21-ASSUMPTIONS!$C$18*ASSUMPTIONS!$C$22)*(1+H644)^5*(1+K644)/(I644-K644)/(1+I644)^5)-DCF!$C$12)/ASSUMPTIONS!$C$7</f>
        <v/>
      </c>
    </row>
    <row r="645">
      <c r="H645" s="83">
        <f>_xlfn.NORM.INV(RAND(),AVERAGE(ASSUMPTIONS!$C$38,ASSUMPTIONS!$C$39,ASSUMPTIONS!$C$40,ASSUMPTIONS!$C$41,ASSUMPTIONS!$C$42),ASSUMPTIONS!$C$68)</f>
        <v/>
      </c>
      <c r="I645" s="83">
        <f>MAX(_xlfn.NORM.INV(RAND(),DCF!$C$11,ASSUMPTIONS!$C$69),K645+0.005)</f>
        <v/>
      </c>
      <c r="J645" s="83">
        <f>_xlfn.NORM.INV(RAND(),ASSUMPTIONS!$C$19,ASSUMPTIONS!$C$70)</f>
        <v/>
      </c>
      <c r="K645" s="83">
        <f>_xlfn.NORM.INV(RAND(),ASSUMPTIONS!$C$43,ASSUMPTIONS!$C$71)</f>
        <v/>
      </c>
      <c r="L645" s="84">
        <f>(((ASSUMPTIONS!$C$18*J645*(1-ASSUMPTIONS!$C$20)+ASSUMPTIONS!$C$18*ASSUMPTIONS!$C$21-ASSUMPTIONS!$C$18*ASSUMPTIONS!$C$22)*(1+H645)*(1-((1+H645)/(1+I645))^5)/(I645-H645))+((ASSUMPTIONS!$C$18*J645*(1-ASSUMPTIONS!$C$20)+ASSUMPTIONS!$C$18*ASSUMPTIONS!$C$21-ASSUMPTIONS!$C$18*ASSUMPTIONS!$C$22)*(1+H645)^5*(1+K645)/(I645-K645)/(1+I645)^5)-DCF!$C$12)/ASSUMPTIONS!$C$7</f>
        <v/>
      </c>
    </row>
    <row r="646">
      <c r="H646" s="83">
        <f>_xlfn.NORM.INV(RAND(),AVERAGE(ASSUMPTIONS!$C$38,ASSUMPTIONS!$C$39,ASSUMPTIONS!$C$40,ASSUMPTIONS!$C$41,ASSUMPTIONS!$C$42),ASSUMPTIONS!$C$68)</f>
        <v/>
      </c>
      <c r="I646" s="83">
        <f>MAX(_xlfn.NORM.INV(RAND(),DCF!$C$11,ASSUMPTIONS!$C$69),K646+0.005)</f>
        <v/>
      </c>
      <c r="J646" s="83">
        <f>_xlfn.NORM.INV(RAND(),ASSUMPTIONS!$C$19,ASSUMPTIONS!$C$70)</f>
        <v/>
      </c>
      <c r="K646" s="83">
        <f>_xlfn.NORM.INV(RAND(),ASSUMPTIONS!$C$43,ASSUMPTIONS!$C$71)</f>
        <v/>
      </c>
      <c r="L646" s="84">
        <f>(((ASSUMPTIONS!$C$18*J646*(1-ASSUMPTIONS!$C$20)+ASSUMPTIONS!$C$18*ASSUMPTIONS!$C$21-ASSUMPTIONS!$C$18*ASSUMPTIONS!$C$22)*(1+H646)*(1-((1+H646)/(1+I646))^5)/(I646-H646))+((ASSUMPTIONS!$C$18*J646*(1-ASSUMPTIONS!$C$20)+ASSUMPTIONS!$C$18*ASSUMPTIONS!$C$21-ASSUMPTIONS!$C$18*ASSUMPTIONS!$C$22)*(1+H646)^5*(1+K646)/(I646-K646)/(1+I646)^5)-DCF!$C$12)/ASSUMPTIONS!$C$7</f>
        <v/>
      </c>
    </row>
    <row r="647">
      <c r="H647" s="83">
        <f>_xlfn.NORM.INV(RAND(),AVERAGE(ASSUMPTIONS!$C$38,ASSUMPTIONS!$C$39,ASSUMPTIONS!$C$40,ASSUMPTIONS!$C$41,ASSUMPTIONS!$C$42),ASSUMPTIONS!$C$68)</f>
        <v/>
      </c>
      <c r="I647" s="83">
        <f>MAX(_xlfn.NORM.INV(RAND(),DCF!$C$11,ASSUMPTIONS!$C$69),K647+0.005)</f>
        <v/>
      </c>
      <c r="J647" s="83">
        <f>_xlfn.NORM.INV(RAND(),ASSUMPTIONS!$C$19,ASSUMPTIONS!$C$70)</f>
        <v/>
      </c>
      <c r="K647" s="83">
        <f>_xlfn.NORM.INV(RAND(),ASSUMPTIONS!$C$43,ASSUMPTIONS!$C$71)</f>
        <v/>
      </c>
      <c r="L647" s="84">
        <f>(((ASSUMPTIONS!$C$18*J647*(1-ASSUMPTIONS!$C$20)+ASSUMPTIONS!$C$18*ASSUMPTIONS!$C$21-ASSUMPTIONS!$C$18*ASSUMPTIONS!$C$22)*(1+H647)*(1-((1+H647)/(1+I647))^5)/(I647-H647))+((ASSUMPTIONS!$C$18*J647*(1-ASSUMPTIONS!$C$20)+ASSUMPTIONS!$C$18*ASSUMPTIONS!$C$21-ASSUMPTIONS!$C$18*ASSUMPTIONS!$C$22)*(1+H647)^5*(1+K647)/(I647-K647)/(1+I647)^5)-DCF!$C$12)/ASSUMPTIONS!$C$7</f>
        <v/>
      </c>
    </row>
    <row r="648">
      <c r="H648" s="83">
        <f>_xlfn.NORM.INV(RAND(),AVERAGE(ASSUMPTIONS!$C$38,ASSUMPTIONS!$C$39,ASSUMPTIONS!$C$40,ASSUMPTIONS!$C$41,ASSUMPTIONS!$C$42),ASSUMPTIONS!$C$68)</f>
        <v/>
      </c>
      <c r="I648" s="83">
        <f>MAX(_xlfn.NORM.INV(RAND(),DCF!$C$11,ASSUMPTIONS!$C$69),K648+0.005)</f>
        <v/>
      </c>
      <c r="J648" s="83">
        <f>_xlfn.NORM.INV(RAND(),ASSUMPTIONS!$C$19,ASSUMPTIONS!$C$70)</f>
        <v/>
      </c>
      <c r="K648" s="83">
        <f>_xlfn.NORM.INV(RAND(),ASSUMPTIONS!$C$43,ASSUMPTIONS!$C$71)</f>
        <v/>
      </c>
      <c r="L648" s="84">
        <f>(((ASSUMPTIONS!$C$18*J648*(1-ASSUMPTIONS!$C$20)+ASSUMPTIONS!$C$18*ASSUMPTIONS!$C$21-ASSUMPTIONS!$C$18*ASSUMPTIONS!$C$22)*(1+H648)*(1-((1+H648)/(1+I648))^5)/(I648-H648))+((ASSUMPTIONS!$C$18*J648*(1-ASSUMPTIONS!$C$20)+ASSUMPTIONS!$C$18*ASSUMPTIONS!$C$21-ASSUMPTIONS!$C$18*ASSUMPTIONS!$C$22)*(1+H648)^5*(1+K648)/(I648-K648)/(1+I648)^5)-DCF!$C$12)/ASSUMPTIONS!$C$7</f>
        <v/>
      </c>
    </row>
    <row r="649">
      <c r="H649" s="83">
        <f>_xlfn.NORM.INV(RAND(),AVERAGE(ASSUMPTIONS!$C$38,ASSUMPTIONS!$C$39,ASSUMPTIONS!$C$40,ASSUMPTIONS!$C$41,ASSUMPTIONS!$C$42),ASSUMPTIONS!$C$68)</f>
        <v/>
      </c>
      <c r="I649" s="83">
        <f>MAX(_xlfn.NORM.INV(RAND(),DCF!$C$11,ASSUMPTIONS!$C$69),K649+0.005)</f>
        <v/>
      </c>
      <c r="J649" s="83">
        <f>_xlfn.NORM.INV(RAND(),ASSUMPTIONS!$C$19,ASSUMPTIONS!$C$70)</f>
        <v/>
      </c>
      <c r="K649" s="83">
        <f>_xlfn.NORM.INV(RAND(),ASSUMPTIONS!$C$43,ASSUMPTIONS!$C$71)</f>
        <v/>
      </c>
      <c r="L649" s="84">
        <f>(((ASSUMPTIONS!$C$18*J649*(1-ASSUMPTIONS!$C$20)+ASSUMPTIONS!$C$18*ASSUMPTIONS!$C$21-ASSUMPTIONS!$C$18*ASSUMPTIONS!$C$22)*(1+H649)*(1-((1+H649)/(1+I649))^5)/(I649-H649))+((ASSUMPTIONS!$C$18*J649*(1-ASSUMPTIONS!$C$20)+ASSUMPTIONS!$C$18*ASSUMPTIONS!$C$21-ASSUMPTIONS!$C$18*ASSUMPTIONS!$C$22)*(1+H649)^5*(1+K649)/(I649-K649)/(1+I649)^5)-DCF!$C$12)/ASSUMPTIONS!$C$7</f>
        <v/>
      </c>
    </row>
    <row r="650">
      <c r="H650" s="83">
        <f>_xlfn.NORM.INV(RAND(),AVERAGE(ASSUMPTIONS!$C$38,ASSUMPTIONS!$C$39,ASSUMPTIONS!$C$40,ASSUMPTIONS!$C$41,ASSUMPTIONS!$C$42),ASSUMPTIONS!$C$68)</f>
        <v/>
      </c>
      <c r="I650" s="83">
        <f>MAX(_xlfn.NORM.INV(RAND(),DCF!$C$11,ASSUMPTIONS!$C$69),K650+0.005)</f>
        <v/>
      </c>
      <c r="J650" s="83">
        <f>_xlfn.NORM.INV(RAND(),ASSUMPTIONS!$C$19,ASSUMPTIONS!$C$70)</f>
        <v/>
      </c>
      <c r="K650" s="83">
        <f>_xlfn.NORM.INV(RAND(),ASSUMPTIONS!$C$43,ASSUMPTIONS!$C$71)</f>
        <v/>
      </c>
      <c r="L650" s="84">
        <f>(((ASSUMPTIONS!$C$18*J650*(1-ASSUMPTIONS!$C$20)+ASSUMPTIONS!$C$18*ASSUMPTIONS!$C$21-ASSUMPTIONS!$C$18*ASSUMPTIONS!$C$22)*(1+H650)*(1-((1+H650)/(1+I650))^5)/(I650-H650))+((ASSUMPTIONS!$C$18*J650*(1-ASSUMPTIONS!$C$20)+ASSUMPTIONS!$C$18*ASSUMPTIONS!$C$21-ASSUMPTIONS!$C$18*ASSUMPTIONS!$C$22)*(1+H650)^5*(1+K650)/(I650-K650)/(1+I650)^5)-DCF!$C$12)/ASSUMPTIONS!$C$7</f>
        <v/>
      </c>
    </row>
    <row r="651">
      <c r="H651" s="83">
        <f>_xlfn.NORM.INV(RAND(),AVERAGE(ASSUMPTIONS!$C$38,ASSUMPTIONS!$C$39,ASSUMPTIONS!$C$40,ASSUMPTIONS!$C$41,ASSUMPTIONS!$C$42),ASSUMPTIONS!$C$68)</f>
        <v/>
      </c>
      <c r="I651" s="83">
        <f>MAX(_xlfn.NORM.INV(RAND(),DCF!$C$11,ASSUMPTIONS!$C$69),K651+0.005)</f>
        <v/>
      </c>
      <c r="J651" s="83">
        <f>_xlfn.NORM.INV(RAND(),ASSUMPTIONS!$C$19,ASSUMPTIONS!$C$70)</f>
        <v/>
      </c>
      <c r="K651" s="83">
        <f>_xlfn.NORM.INV(RAND(),ASSUMPTIONS!$C$43,ASSUMPTIONS!$C$71)</f>
        <v/>
      </c>
      <c r="L651" s="84">
        <f>(((ASSUMPTIONS!$C$18*J651*(1-ASSUMPTIONS!$C$20)+ASSUMPTIONS!$C$18*ASSUMPTIONS!$C$21-ASSUMPTIONS!$C$18*ASSUMPTIONS!$C$22)*(1+H651)*(1-((1+H651)/(1+I651))^5)/(I651-H651))+((ASSUMPTIONS!$C$18*J651*(1-ASSUMPTIONS!$C$20)+ASSUMPTIONS!$C$18*ASSUMPTIONS!$C$21-ASSUMPTIONS!$C$18*ASSUMPTIONS!$C$22)*(1+H651)^5*(1+K651)/(I651-K651)/(1+I651)^5)-DCF!$C$12)/ASSUMPTIONS!$C$7</f>
        <v/>
      </c>
    </row>
    <row r="652">
      <c r="H652" s="83">
        <f>_xlfn.NORM.INV(RAND(),AVERAGE(ASSUMPTIONS!$C$38,ASSUMPTIONS!$C$39,ASSUMPTIONS!$C$40,ASSUMPTIONS!$C$41,ASSUMPTIONS!$C$42),ASSUMPTIONS!$C$68)</f>
        <v/>
      </c>
      <c r="I652" s="83">
        <f>MAX(_xlfn.NORM.INV(RAND(),DCF!$C$11,ASSUMPTIONS!$C$69),K652+0.005)</f>
        <v/>
      </c>
      <c r="J652" s="83">
        <f>_xlfn.NORM.INV(RAND(),ASSUMPTIONS!$C$19,ASSUMPTIONS!$C$70)</f>
        <v/>
      </c>
      <c r="K652" s="83">
        <f>_xlfn.NORM.INV(RAND(),ASSUMPTIONS!$C$43,ASSUMPTIONS!$C$71)</f>
        <v/>
      </c>
      <c r="L652" s="84">
        <f>(((ASSUMPTIONS!$C$18*J652*(1-ASSUMPTIONS!$C$20)+ASSUMPTIONS!$C$18*ASSUMPTIONS!$C$21-ASSUMPTIONS!$C$18*ASSUMPTIONS!$C$22)*(1+H652)*(1-((1+H652)/(1+I652))^5)/(I652-H652))+((ASSUMPTIONS!$C$18*J652*(1-ASSUMPTIONS!$C$20)+ASSUMPTIONS!$C$18*ASSUMPTIONS!$C$21-ASSUMPTIONS!$C$18*ASSUMPTIONS!$C$22)*(1+H652)^5*(1+K652)/(I652-K652)/(1+I652)^5)-DCF!$C$12)/ASSUMPTIONS!$C$7</f>
        <v/>
      </c>
    </row>
    <row r="653">
      <c r="H653" s="83">
        <f>_xlfn.NORM.INV(RAND(),AVERAGE(ASSUMPTIONS!$C$38,ASSUMPTIONS!$C$39,ASSUMPTIONS!$C$40,ASSUMPTIONS!$C$41,ASSUMPTIONS!$C$42),ASSUMPTIONS!$C$68)</f>
        <v/>
      </c>
      <c r="I653" s="83">
        <f>MAX(_xlfn.NORM.INV(RAND(),DCF!$C$11,ASSUMPTIONS!$C$69),K653+0.005)</f>
        <v/>
      </c>
      <c r="J653" s="83">
        <f>_xlfn.NORM.INV(RAND(),ASSUMPTIONS!$C$19,ASSUMPTIONS!$C$70)</f>
        <v/>
      </c>
      <c r="K653" s="83">
        <f>_xlfn.NORM.INV(RAND(),ASSUMPTIONS!$C$43,ASSUMPTIONS!$C$71)</f>
        <v/>
      </c>
      <c r="L653" s="84">
        <f>(((ASSUMPTIONS!$C$18*J653*(1-ASSUMPTIONS!$C$20)+ASSUMPTIONS!$C$18*ASSUMPTIONS!$C$21-ASSUMPTIONS!$C$18*ASSUMPTIONS!$C$22)*(1+H653)*(1-((1+H653)/(1+I653))^5)/(I653-H653))+((ASSUMPTIONS!$C$18*J653*(1-ASSUMPTIONS!$C$20)+ASSUMPTIONS!$C$18*ASSUMPTIONS!$C$21-ASSUMPTIONS!$C$18*ASSUMPTIONS!$C$22)*(1+H653)^5*(1+K653)/(I653-K653)/(1+I653)^5)-DCF!$C$12)/ASSUMPTIONS!$C$7</f>
        <v/>
      </c>
    </row>
    <row r="654">
      <c r="H654" s="83">
        <f>_xlfn.NORM.INV(RAND(),AVERAGE(ASSUMPTIONS!$C$38,ASSUMPTIONS!$C$39,ASSUMPTIONS!$C$40,ASSUMPTIONS!$C$41,ASSUMPTIONS!$C$42),ASSUMPTIONS!$C$68)</f>
        <v/>
      </c>
      <c r="I654" s="83">
        <f>MAX(_xlfn.NORM.INV(RAND(),DCF!$C$11,ASSUMPTIONS!$C$69),K654+0.005)</f>
        <v/>
      </c>
      <c r="J654" s="83">
        <f>_xlfn.NORM.INV(RAND(),ASSUMPTIONS!$C$19,ASSUMPTIONS!$C$70)</f>
        <v/>
      </c>
      <c r="K654" s="83">
        <f>_xlfn.NORM.INV(RAND(),ASSUMPTIONS!$C$43,ASSUMPTIONS!$C$71)</f>
        <v/>
      </c>
      <c r="L654" s="84">
        <f>(((ASSUMPTIONS!$C$18*J654*(1-ASSUMPTIONS!$C$20)+ASSUMPTIONS!$C$18*ASSUMPTIONS!$C$21-ASSUMPTIONS!$C$18*ASSUMPTIONS!$C$22)*(1+H654)*(1-((1+H654)/(1+I654))^5)/(I654-H654))+((ASSUMPTIONS!$C$18*J654*(1-ASSUMPTIONS!$C$20)+ASSUMPTIONS!$C$18*ASSUMPTIONS!$C$21-ASSUMPTIONS!$C$18*ASSUMPTIONS!$C$22)*(1+H654)^5*(1+K654)/(I654-K654)/(1+I654)^5)-DCF!$C$12)/ASSUMPTIONS!$C$7</f>
        <v/>
      </c>
    </row>
    <row r="655">
      <c r="H655" s="83">
        <f>_xlfn.NORM.INV(RAND(),AVERAGE(ASSUMPTIONS!$C$38,ASSUMPTIONS!$C$39,ASSUMPTIONS!$C$40,ASSUMPTIONS!$C$41,ASSUMPTIONS!$C$42),ASSUMPTIONS!$C$68)</f>
        <v/>
      </c>
      <c r="I655" s="83">
        <f>MAX(_xlfn.NORM.INV(RAND(),DCF!$C$11,ASSUMPTIONS!$C$69),K655+0.005)</f>
        <v/>
      </c>
      <c r="J655" s="83">
        <f>_xlfn.NORM.INV(RAND(),ASSUMPTIONS!$C$19,ASSUMPTIONS!$C$70)</f>
        <v/>
      </c>
      <c r="K655" s="83">
        <f>_xlfn.NORM.INV(RAND(),ASSUMPTIONS!$C$43,ASSUMPTIONS!$C$71)</f>
        <v/>
      </c>
      <c r="L655" s="84">
        <f>(((ASSUMPTIONS!$C$18*J655*(1-ASSUMPTIONS!$C$20)+ASSUMPTIONS!$C$18*ASSUMPTIONS!$C$21-ASSUMPTIONS!$C$18*ASSUMPTIONS!$C$22)*(1+H655)*(1-((1+H655)/(1+I655))^5)/(I655-H655))+((ASSUMPTIONS!$C$18*J655*(1-ASSUMPTIONS!$C$20)+ASSUMPTIONS!$C$18*ASSUMPTIONS!$C$21-ASSUMPTIONS!$C$18*ASSUMPTIONS!$C$22)*(1+H655)^5*(1+K655)/(I655-K655)/(1+I655)^5)-DCF!$C$12)/ASSUMPTIONS!$C$7</f>
        <v/>
      </c>
    </row>
    <row r="656">
      <c r="H656" s="83">
        <f>_xlfn.NORM.INV(RAND(),AVERAGE(ASSUMPTIONS!$C$38,ASSUMPTIONS!$C$39,ASSUMPTIONS!$C$40,ASSUMPTIONS!$C$41,ASSUMPTIONS!$C$42),ASSUMPTIONS!$C$68)</f>
        <v/>
      </c>
      <c r="I656" s="83">
        <f>MAX(_xlfn.NORM.INV(RAND(),DCF!$C$11,ASSUMPTIONS!$C$69),K656+0.005)</f>
        <v/>
      </c>
      <c r="J656" s="83">
        <f>_xlfn.NORM.INV(RAND(),ASSUMPTIONS!$C$19,ASSUMPTIONS!$C$70)</f>
        <v/>
      </c>
      <c r="K656" s="83">
        <f>_xlfn.NORM.INV(RAND(),ASSUMPTIONS!$C$43,ASSUMPTIONS!$C$71)</f>
        <v/>
      </c>
      <c r="L656" s="84">
        <f>(((ASSUMPTIONS!$C$18*J656*(1-ASSUMPTIONS!$C$20)+ASSUMPTIONS!$C$18*ASSUMPTIONS!$C$21-ASSUMPTIONS!$C$18*ASSUMPTIONS!$C$22)*(1+H656)*(1-((1+H656)/(1+I656))^5)/(I656-H656))+((ASSUMPTIONS!$C$18*J656*(1-ASSUMPTIONS!$C$20)+ASSUMPTIONS!$C$18*ASSUMPTIONS!$C$21-ASSUMPTIONS!$C$18*ASSUMPTIONS!$C$22)*(1+H656)^5*(1+K656)/(I656-K656)/(1+I656)^5)-DCF!$C$12)/ASSUMPTIONS!$C$7</f>
        <v/>
      </c>
    </row>
    <row r="657">
      <c r="H657" s="83">
        <f>_xlfn.NORM.INV(RAND(),AVERAGE(ASSUMPTIONS!$C$38,ASSUMPTIONS!$C$39,ASSUMPTIONS!$C$40,ASSUMPTIONS!$C$41,ASSUMPTIONS!$C$42),ASSUMPTIONS!$C$68)</f>
        <v/>
      </c>
      <c r="I657" s="83">
        <f>MAX(_xlfn.NORM.INV(RAND(),DCF!$C$11,ASSUMPTIONS!$C$69),K657+0.005)</f>
        <v/>
      </c>
      <c r="J657" s="83">
        <f>_xlfn.NORM.INV(RAND(),ASSUMPTIONS!$C$19,ASSUMPTIONS!$C$70)</f>
        <v/>
      </c>
      <c r="K657" s="83">
        <f>_xlfn.NORM.INV(RAND(),ASSUMPTIONS!$C$43,ASSUMPTIONS!$C$71)</f>
        <v/>
      </c>
      <c r="L657" s="84">
        <f>(((ASSUMPTIONS!$C$18*J657*(1-ASSUMPTIONS!$C$20)+ASSUMPTIONS!$C$18*ASSUMPTIONS!$C$21-ASSUMPTIONS!$C$18*ASSUMPTIONS!$C$22)*(1+H657)*(1-((1+H657)/(1+I657))^5)/(I657-H657))+((ASSUMPTIONS!$C$18*J657*(1-ASSUMPTIONS!$C$20)+ASSUMPTIONS!$C$18*ASSUMPTIONS!$C$21-ASSUMPTIONS!$C$18*ASSUMPTIONS!$C$22)*(1+H657)^5*(1+K657)/(I657-K657)/(1+I657)^5)-DCF!$C$12)/ASSUMPTIONS!$C$7</f>
        <v/>
      </c>
    </row>
    <row r="658">
      <c r="H658" s="83">
        <f>_xlfn.NORM.INV(RAND(),AVERAGE(ASSUMPTIONS!$C$38,ASSUMPTIONS!$C$39,ASSUMPTIONS!$C$40,ASSUMPTIONS!$C$41,ASSUMPTIONS!$C$42),ASSUMPTIONS!$C$68)</f>
        <v/>
      </c>
      <c r="I658" s="83">
        <f>MAX(_xlfn.NORM.INV(RAND(),DCF!$C$11,ASSUMPTIONS!$C$69),K658+0.005)</f>
        <v/>
      </c>
      <c r="J658" s="83">
        <f>_xlfn.NORM.INV(RAND(),ASSUMPTIONS!$C$19,ASSUMPTIONS!$C$70)</f>
        <v/>
      </c>
      <c r="K658" s="83">
        <f>_xlfn.NORM.INV(RAND(),ASSUMPTIONS!$C$43,ASSUMPTIONS!$C$71)</f>
        <v/>
      </c>
      <c r="L658" s="84">
        <f>(((ASSUMPTIONS!$C$18*J658*(1-ASSUMPTIONS!$C$20)+ASSUMPTIONS!$C$18*ASSUMPTIONS!$C$21-ASSUMPTIONS!$C$18*ASSUMPTIONS!$C$22)*(1+H658)*(1-((1+H658)/(1+I658))^5)/(I658-H658))+((ASSUMPTIONS!$C$18*J658*(1-ASSUMPTIONS!$C$20)+ASSUMPTIONS!$C$18*ASSUMPTIONS!$C$21-ASSUMPTIONS!$C$18*ASSUMPTIONS!$C$22)*(1+H658)^5*(1+K658)/(I658-K658)/(1+I658)^5)-DCF!$C$12)/ASSUMPTIONS!$C$7</f>
        <v/>
      </c>
    </row>
    <row r="659">
      <c r="H659" s="83">
        <f>_xlfn.NORM.INV(RAND(),AVERAGE(ASSUMPTIONS!$C$38,ASSUMPTIONS!$C$39,ASSUMPTIONS!$C$40,ASSUMPTIONS!$C$41,ASSUMPTIONS!$C$42),ASSUMPTIONS!$C$68)</f>
        <v/>
      </c>
      <c r="I659" s="83">
        <f>MAX(_xlfn.NORM.INV(RAND(),DCF!$C$11,ASSUMPTIONS!$C$69),K659+0.005)</f>
        <v/>
      </c>
      <c r="J659" s="83">
        <f>_xlfn.NORM.INV(RAND(),ASSUMPTIONS!$C$19,ASSUMPTIONS!$C$70)</f>
        <v/>
      </c>
      <c r="K659" s="83">
        <f>_xlfn.NORM.INV(RAND(),ASSUMPTIONS!$C$43,ASSUMPTIONS!$C$71)</f>
        <v/>
      </c>
      <c r="L659" s="84">
        <f>(((ASSUMPTIONS!$C$18*J659*(1-ASSUMPTIONS!$C$20)+ASSUMPTIONS!$C$18*ASSUMPTIONS!$C$21-ASSUMPTIONS!$C$18*ASSUMPTIONS!$C$22)*(1+H659)*(1-((1+H659)/(1+I659))^5)/(I659-H659))+((ASSUMPTIONS!$C$18*J659*(1-ASSUMPTIONS!$C$20)+ASSUMPTIONS!$C$18*ASSUMPTIONS!$C$21-ASSUMPTIONS!$C$18*ASSUMPTIONS!$C$22)*(1+H659)^5*(1+K659)/(I659-K659)/(1+I659)^5)-DCF!$C$12)/ASSUMPTIONS!$C$7</f>
        <v/>
      </c>
    </row>
    <row r="660">
      <c r="H660" s="83">
        <f>_xlfn.NORM.INV(RAND(),AVERAGE(ASSUMPTIONS!$C$38,ASSUMPTIONS!$C$39,ASSUMPTIONS!$C$40,ASSUMPTIONS!$C$41,ASSUMPTIONS!$C$42),ASSUMPTIONS!$C$68)</f>
        <v/>
      </c>
      <c r="I660" s="83">
        <f>MAX(_xlfn.NORM.INV(RAND(),DCF!$C$11,ASSUMPTIONS!$C$69),K660+0.005)</f>
        <v/>
      </c>
      <c r="J660" s="83">
        <f>_xlfn.NORM.INV(RAND(),ASSUMPTIONS!$C$19,ASSUMPTIONS!$C$70)</f>
        <v/>
      </c>
      <c r="K660" s="83">
        <f>_xlfn.NORM.INV(RAND(),ASSUMPTIONS!$C$43,ASSUMPTIONS!$C$71)</f>
        <v/>
      </c>
      <c r="L660" s="84">
        <f>(((ASSUMPTIONS!$C$18*J660*(1-ASSUMPTIONS!$C$20)+ASSUMPTIONS!$C$18*ASSUMPTIONS!$C$21-ASSUMPTIONS!$C$18*ASSUMPTIONS!$C$22)*(1+H660)*(1-((1+H660)/(1+I660))^5)/(I660-H660))+((ASSUMPTIONS!$C$18*J660*(1-ASSUMPTIONS!$C$20)+ASSUMPTIONS!$C$18*ASSUMPTIONS!$C$21-ASSUMPTIONS!$C$18*ASSUMPTIONS!$C$22)*(1+H660)^5*(1+K660)/(I660-K660)/(1+I660)^5)-DCF!$C$12)/ASSUMPTIONS!$C$7</f>
        <v/>
      </c>
    </row>
    <row r="661">
      <c r="H661" s="83">
        <f>_xlfn.NORM.INV(RAND(),AVERAGE(ASSUMPTIONS!$C$38,ASSUMPTIONS!$C$39,ASSUMPTIONS!$C$40,ASSUMPTIONS!$C$41,ASSUMPTIONS!$C$42),ASSUMPTIONS!$C$68)</f>
        <v/>
      </c>
      <c r="I661" s="83">
        <f>MAX(_xlfn.NORM.INV(RAND(),DCF!$C$11,ASSUMPTIONS!$C$69),K661+0.005)</f>
        <v/>
      </c>
      <c r="J661" s="83">
        <f>_xlfn.NORM.INV(RAND(),ASSUMPTIONS!$C$19,ASSUMPTIONS!$C$70)</f>
        <v/>
      </c>
      <c r="K661" s="83">
        <f>_xlfn.NORM.INV(RAND(),ASSUMPTIONS!$C$43,ASSUMPTIONS!$C$71)</f>
        <v/>
      </c>
      <c r="L661" s="84">
        <f>(((ASSUMPTIONS!$C$18*J661*(1-ASSUMPTIONS!$C$20)+ASSUMPTIONS!$C$18*ASSUMPTIONS!$C$21-ASSUMPTIONS!$C$18*ASSUMPTIONS!$C$22)*(1+H661)*(1-((1+H661)/(1+I661))^5)/(I661-H661))+((ASSUMPTIONS!$C$18*J661*(1-ASSUMPTIONS!$C$20)+ASSUMPTIONS!$C$18*ASSUMPTIONS!$C$21-ASSUMPTIONS!$C$18*ASSUMPTIONS!$C$22)*(1+H661)^5*(1+K661)/(I661-K661)/(1+I661)^5)-DCF!$C$12)/ASSUMPTIONS!$C$7</f>
        <v/>
      </c>
    </row>
    <row r="662">
      <c r="H662" s="83">
        <f>_xlfn.NORM.INV(RAND(),AVERAGE(ASSUMPTIONS!$C$38,ASSUMPTIONS!$C$39,ASSUMPTIONS!$C$40,ASSUMPTIONS!$C$41,ASSUMPTIONS!$C$42),ASSUMPTIONS!$C$68)</f>
        <v/>
      </c>
      <c r="I662" s="83">
        <f>MAX(_xlfn.NORM.INV(RAND(),DCF!$C$11,ASSUMPTIONS!$C$69),K662+0.005)</f>
        <v/>
      </c>
      <c r="J662" s="83">
        <f>_xlfn.NORM.INV(RAND(),ASSUMPTIONS!$C$19,ASSUMPTIONS!$C$70)</f>
        <v/>
      </c>
      <c r="K662" s="83">
        <f>_xlfn.NORM.INV(RAND(),ASSUMPTIONS!$C$43,ASSUMPTIONS!$C$71)</f>
        <v/>
      </c>
      <c r="L662" s="84">
        <f>(((ASSUMPTIONS!$C$18*J662*(1-ASSUMPTIONS!$C$20)+ASSUMPTIONS!$C$18*ASSUMPTIONS!$C$21-ASSUMPTIONS!$C$18*ASSUMPTIONS!$C$22)*(1+H662)*(1-((1+H662)/(1+I662))^5)/(I662-H662))+((ASSUMPTIONS!$C$18*J662*(1-ASSUMPTIONS!$C$20)+ASSUMPTIONS!$C$18*ASSUMPTIONS!$C$21-ASSUMPTIONS!$C$18*ASSUMPTIONS!$C$22)*(1+H662)^5*(1+K662)/(I662-K662)/(1+I662)^5)-DCF!$C$12)/ASSUMPTIONS!$C$7</f>
        <v/>
      </c>
    </row>
    <row r="663">
      <c r="H663" s="83">
        <f>_xlfn.NORM.INV(RAND(),AVERAGE(ASSUMPTIONS!$C$38,ASSUMPTIONS!$C$39,ASSUMPTIONS!$C$40,ASSUMPTIONS!$C$41,ASSUMPTIONS!$C$42),ASSUMPTIONS!$C$68)</f>
        <v/>
      </c>
      <c r="I663" s="83">
        <f>MAX(_xlfn.NORM.INV(RAND(),DCF!$C$11,ASSUMPTIONS!$C$69),K663+0.005)</f>
        <v/>
      </c>
      <c r="J663" s="83">
        <f>_xlfn.NORM.INV(RAND(),ASSUMPTIONS!$C$19,ASSUMPTIONS!$C$70)</f>
        <v/>
      </c>
      <c r="K663" s="83">
        <f>_xlfn.NORM.INV(RAND(),ASSUMPTIONS!$C$43,ASSUMPTIONS!$C$71)</f>
        <v/>
      </c>
      <c r="L663" s="84">
        <f>(((ASSUMPTIONS!$C$18*J663*(1-ASSUMPTIONS!$C$20)+ASSUMPTIONS!$C$18*ASSUMPTIONS!$C$21-ASSUMPTIONS!$C$18*ASSUMPTIONS!$C$22)*(1+H663)*(1-((1+H663)/(1+I663))^5)/(I663-H663))+((ASSUMPTIONS!$C$18*J663*(1-ASSUMPTIONS!$C$20)+ASSUMPTIONS!$C$18*ASSUMPTIONS!$C$21-ASSUMPTIONS!$C$18*ASSUMPTIONS!$C$22)*(1+H663)^5*(1+K663)/(I663-K663)/(1+I663)^5)-DCF!$C$12)/ASSUMPTIONS!$C$7</f>
        <v/>
      </c>
    </row>
    <row r="664">
      <c r="H664" s="83">
        <f>_xlfn.NORM.INV(RAND(),AVERAGE(ASSUMPTIONS!$C$38,ASSUMPTIONS!$C$39,ASSUMPTIONS!$C$40,ASSUMPTIONS!$C$41,ASSUMPTIONS!$C$42),ASSUMPTIONS!$C$68)</f>
        <v/>
      </c>
      <c r="I664" s="83">
        <f>MAX(_xlfn.NORM.INV(RAND(),DCF!$C$11,ASSUMPTIONS!$C$69),K664+0.005)</f>
        <v/>
      </c>
      <c r="J664" s="83">
        <f>_xlfn.NORM.INV(RAND(),ASSUMPTIONS!$C$19,ASSUMPTIONS!$C$70)</f>
        <v/>
      </c>
      <c r="K664" s="83">
        <f>_xlfn.NORM.INV(RAND(),ASSUMPTIONS!$C$43,ASSUMPTIONS!$C$71)</f>
        <v/>
      </c>
      <c r="L664" s="84">
        <f>(((ASSUMPTIONS!$C$18*J664*(1-ASSUMPTIONS!$C$20)+ASSUMPTIONS!$C$18*ASSUMPTIONS!$C$21-ASSUMPTIONS!$C$18*ASSUMPTIONS!$C$22)*(1+H664)*(1-((1+H664)/(1+I664))^5)/(I664-H664))+((ASSUMPTIONS!$C$18*J664*(1-ASSUMPTIONS!$C$20)+ASSUMPTIONS!$C$18*ASSUMPTIONS!$C$21-ASSUMPTIONS!$C$18*ASSUMPTIONS!$C$22)*(1+H664)^5*(1+K664)/(I664-K664)/(1+I664)^5)-DCF!$C$12)/ASSUMPTIONS!$C$7</f>
        <v/>
      </c>
    </row>
    <row r="665">
      <c r="H665" s="83">
        <f>_xlfn.NORM.INV(RAND(),AVERAGE(ASSUMPTIONS!$C$38,ASSUMPTIONS!$C$39,ASSUMPTIONS!$C$40,ASSUMPTIONS!$C$41,ASSUMPTIONS!$C$42),ASSUMPTIONS!$C$68)</f>
        <v/>
      </c>
      <c r="I665" s="83">
        <f>MAX(_xlfn.NORM.INV(RAND(),DCF!$C$11,ASSUMPTIONS!$C$69),K665+0.005)</f>
        <v/>
      </c>
      <c r="J665" s="83">
        <f>_xlfn.NORM.INV(RAND(),ASSUMPTIONS!$C$19,ASSUMPTIONS!$C$70)</f>
        <v/>
      </c>
      <c r="K665" s="83">
        <f>_xlfn.NORM.INV(RAND(),ASSUMPTIONS!$C$43,ASSUMPTIONS!$C$71)</f>
        <v/>
      </c>
      <c r="L665" s="84">
        <f>(((ASSUMPTIONS!$C$18*J665*(1-ASSUMPTIONS!$C$20)+ASSUMPTIONS!$C$18*ASSUMPTIONS!$C$21-ASSUMPTIONS!$C$18*ASSUMPTIONS!$C$22)*(1+H665)*(1-((1+H665)/(1+I665))^5)/(I665-H665))+((ASSUMPTIONS!$C$18*J665*(1-ASSUMPTIONS!$C$20)+ASSUMPTIONS!$C$18*ASSUMPTIONS!$C$21-ASSUMPTIONS!$C$18*ASSUMPTIONS!$C$22)*(1+H665)^5*(1+K665)/(I665-K665)/(1+I665)^5)-DCF!$C$12)/ASSUMPTIONS!$C$7</f>
        <v/>
      </c>
    </row>
    <row r="666">
      <c r="H666" s="83">
        <f>_xlfn.NORM.INV(RAND(),AVERAGE(ASSUMPTIONS!$C$38,ASSUMPTIONS!$C$39,ASSUMPTIONS!$C$40,ASSUMPTIONS!$C$41,ASSUMPTIONS!$C$42),ASSUMPTIONS!$C$68)</f>
        <v/>
      </c>
      <c r="I666" s="83">
        <f>MAX(_xlfn.NORM.INV(RAND(),DCF!$C$11,ASSUMPTIONS!$C$69),K666+0.005)</f>
        <v/>
      </c>
      <c r="J666" s="83">
        <f>_xlfn.NORM.INV(RAND(),ASSUMPTIONS!$C$19,ASSUMPTIONS!$C$70)</f>
        <v/>
      </c>
      <c r="K666" s="83">
        <f>_xlfn.NORM.INV(RAND(),ASSUMPTIONS!$C$43,ASSUMPTIONS!$C$71)</f>
        <v/>
      </c>
      <c r="L666" s="84">
        <f>(((ASSUMPTIONS!$C$18*J666*(1-ASSUMPTIONS!$C$20)+ASSUMPTIONS!$C$18*ASSUMPTIONS!$C$21-ASSUMPTIONS!$C$18*ASSUMPTIONS!$C$22)*(1+H666)*(1-((1+H666)/(1+I666))^5)/(I666-H666))+((ASSUMPTIONS!$C$18*J666*(1-ASSUMPTIONS!$C$20)+ASSUMPTIONS!$C$18*ASSUMPTIONS!$C$21-ASSUMPTIONS!$C$18*ASSUMPTIONS!$C$22)*(1+H666)^5*(1+K666)/(I666-K666)/(1+I666)^5)-DCF!$C$12)/ASSUMPTIONS!$C$7</f>
        <v/>
      </c>
    </row>
    <row r="667">
      <c r="H667" s="83">
        <f>_xlfn.NORM.INV(RAND(),AVERAGE(ASSUMPTIONS!$C$38,ASSUMPTIONS!$C$39,ASSUMPTIONS!$C$40,ASSUMPTIONS!$C$41,ASSUMPTIONS!$C$42),ASSUMPTIONS!$C$68)</f>
        <v/>
      </c>
      <c r="I667" s="83">
        <f>MAX(_xlfn.NORM.INV(RAND(),DCF!$C$11,ASSUMPTIONS!$C$69),K667+0.005)</f>
        <v/>
      </c>
      <c r="J667" s="83">
        <f>_xlfn.NORM.INV(RAND(),ASSUMPTIONS!$C$19,ASSUMPTIONS!$C$70)</f>
        <v/>
      </c>
      <c r="K667" s="83">
        <f>_xlfn.NORM.INV(RAND(),ASSUMPTIONS!$C$43,ASSUMPTIONS!$C$71)</f>
        <v/>
      </c>
      <c r="L667" s="84">
        <f>(((ASSUMPTIONS!$C$18*J667*(1-ASSUMPTIONS!$C$20)+ASSUMPTIONS!$C$18*ASSUMPTIONS!$C$21-ASSUMPTIONS!$C$18*ASSUMPTIONS!$C$22)*(1+H667)*(1-((1+H667)/(1+I667))^5)/(I667-H667))+((ASSUMPTIONS!$C$18*J667*(1-ASSUMPTIONS!$C$20)+ASSUMPTIONS!$C$18*ASSUMPTIONS!$C$21-ASSUMPTIONS!$C$18*ASSUMPTIONS!$C$22)*(1+H667)^5*(1+K667)/(I667-K667)/(1+I667)^5)-DCF!$C$12)/ASSUMPTIONS!$C$7</f>
        <v/>
      </c>
    </row>
    <row r="668">
      <c r="H668" s="83">
        <f>_xlfn.NORM.INV(RAND(),AVERAGE(ASSUMPTIONS!$C$38,ASSUMPTIONS!$C$39,ASSUMPTIONS!$C$40,ASSUMPTIONS!$C$41,ASSUMPTIONS!$C$42),ASSUMPTIONS!$C$68)</f>
        <v/>
      </c>
      <c r="I668" s="83">
        <f>MAX(_xlfn.NORM.INV(RAND(),DCF!$C$11,ASSUMPTIONS!$C$69),K668+0.005)</f>
        <v/>
      </c>
      <c r="J668" s="83">
        <f>_xlfn.NORM.INV(RAND(),ASSUMPTIONS!$C$19,ASSUMPTIONS!$C$70)</f>
        <v/>
      </c>
      <c r="K668" s="83">
        <f>_xlfn.NORM.INV(RAND(),ASSUMPTIONS!$C$43,ASSUMPTIONS!$C$71)</f>
        <v/>
      </c>
      <c r="L668" s="84">
        <f>(((ASSUMPTIONS!$C$18*J668*(1-ASSUMPTIONS!$C$20)+ASSUMPTIONS!$C$18*ASSUMPTIONS!$C$21-ASSUMPTIONS!$C$18*ASSUMPTIONS!$C$22)*(1+H668)*(1-((1+H668)/(1+I668))^5)/(I668-H668))+((ASSUMPTIONS!$C$18*J668*(1-ASSUMPTIONS!$C$20)+ASSUMPTIONS!$C$18*ASSUMPTIONS!$C$21-ASSUMPTIONS!$C$18*ASSUMPTIONS!$C$22)*(1+H668)^5*(1+K668)/(I668-K668)/(1+I668)^5)-DCF!$C$12)/ASSUMPTIONS!$C$7</f>
        <v/>
      </c>
    </row>
    <row r="669">
      <c r="H669" s="83">
        <f>_xlfn.NORM.INV(RAND(),AVERAGE(ASSUMPTIONS!$C$38,ASSUMPTIONS!$C$39,ASSUMPTIONS!$C$40,ASSUMPTIONS!$C$41,ASSUMPTIONS!$C$42),ASSUMPTIONS!$C$68)</f>
        <v/>
      </c>
      <c r="I669" s="83">
        <f>MAX(_xlfn.NORM.INV(RAND(),DCF!$C$11,ASSUMPTIONS!$C$69),K669+0.005)</f>
        <v/>
      </c>
      <c r="J669" s="83">
        <f>_xlfn.NORM.INV(RAND(),ASSUMPTIONS!$C$19,ASSUMPTIONS!$C$70)</f>
        <v/>
      </c>
      <c r="K669" s="83">
        <f>_xlfn.NORM.INV(RAND(),ASSUMPTIONS!$C$43,ASSUMPTIONS!$C$71)</f>
        <v/>
      </c>
      <c r="L669" s="84">
        <f>(((ASSUMPTIONS!$C$18*J669*(1-ASSUMPTIONS!$C$20)+ASSUMPTIONS!$C$18*ASSUMPTIONS!$C$21-ASSUMPTIONS!$C$18*ASSUMPTIONS!$C$22)*(1+H669)*(1-((1+H669)/(1+I669))^5)/(I669-H669))+((ASSUMPTIONS!$C$18*J669*(1-ASSUMPTIONS!$C$20)+ASSUMPTIONS!$C$18*ASSUMPTIONS!$C$21-ASSUMPTIONS!$C$18*ASSUMPTIONS!$C$22)*(1+H669)^5*(1+K669)/(I669-K669)/(1+I669)^5)-DCF!$C$12)/ASSUMPTIONS!$C$7</f>
        <v/>
      </c>
    </row>
    <row r="670">
      <c r="H670" s="83">
        <f>_xlfn.NORM.INV(RAND(),AVERAGE(ASSUMPTIONS!$C$38,ASSUMPTIONS!$C$39,ASSUMPTIONS!$C$40,ASSUMPTIONS!$C$41,ASSUMPTIONS!$C$42),ASSUMPTIONS!$C$68)</f>
        <v/>
      </c>
      <c r="I670" s="83">
        <f>MAX(_xlfn.NORM.INV(RAND(),DCF!$C$11,ASSUMPTIONS!$C$69),K670+0.005)</f>
        <v/>
      </c>
      <c r="J670" s="83">
        <f>_xlfn.NORM.INV(RAND(),ASSUMPTIONS!$C$19,ASSUMPTIONS!$C$70)</f>
        <v/>
      </c>
      <c r="K670" s="83">
        <f>_xlfn.NORM.INV(RAND(),ASSUMPTIONS!$C$43,ASSUMPTIONS!$C$71)</f>
        <v/>
      </c>
      <c r="L670" s="84">
        <f>(((ASSUMPTIONS!$C$18*J670*(1-ASSUMPTIONS!$C$20)+ASSUMPTIONS!$C$18*ASSUMPTIONS!$C$21-ASSUMPTIONS!$C$18*ASSUMPTIONS!$C$22)*(1+H670)*(1-((1+H670)/(1+I670))^5)/(I670-H670))+((ASSUMPTIONS!$C$18*J670*(1-ASSUMPTIONS!$C$20)+ASSUMPTIONS!$C$18*ASSUMPTIONS!$C$21-ASSUMPTIONS!$C$18*ASSUMPTIONS!$C$22)*(1+H670)^5*(1+K670)/(I670-K670)/(1+I670)^5)-DCF!$C$12)/ASSUMPTIONS!$C$7</f>
        <v/>
      </c>
    </row>
    <row r="671">
      <c r="H671" s="83">
        <f>_xlfn.NORM.INV(RAND(),AVERAGE(ASSUMPTIONS!$C$38,ASSUMPTIONS!$C$39,ASSUMPTIONS!$C$40,ASSUMPTIONS!$C$41,ASSUMPTIONS!$C$42),ASSUMPTIONS!$C$68)</f>
        <v/>
      </c>
      <c r="I671" s="83">
        <f>MAX(_xlfn.NORM.INV(RAND(),DCF!$C$11,ASSUMPTIONS!$C$69),K671+0.005)</f>
        <v/>
      </c>
      <c r="J671" s="83">
        <f>_xlfn.NORM.INV(RAND(),ASSUMPTIONS!$C$19,ASSUMPTIONS!$C$70)</f>
        <v/>
      </c>
      <c r="K671" s="83">
        <f>_xlfn.NORM.INV(RAND(),ASSUMPTIONS!$C$43,ASSUMPTIONS!$C$71)</f>
        <v/>
      </c>
      <c r="L671" s="84">
        <f>(((ASSUMPTIONS!$C$18*J671*(1-ASSUMPTIONS!$C$20)+ASSUMPTIONS!$C$18*ASSUMPTIONS!$C$21-ASSUMPTIONS!$C$18*ASSUMPTIONS!$C$22)*(1+H671)*(1-((1+H671)/(1+I671))^5)/(I671-H671))+((ASSUMPTIONS!$C$18*J671*(1-ASSUMPTIONS!$C$20)+ASSUMPTIONS!$C$18*ASSUMPTIONS!$C$21-ASSUMPTIONS!$C$18*ASSUMPTIONS!$C$22)*(1+H671)^5*(1+K671)/(I671-K671)/(1+I671)^5)-DCF!$C$12)/ASSUMPTIONS!$C$7</f>
        <v/>
      </c>
    </row>
    <row r="672">
      <c r="H672" s="83">
        <f>_xlfn.NORM.INV(RAND(),AVERAGE(ASSUMPTIONS!$C$38,ASSUMPTIONS!$C$39,ASSUMPTIONS!$C$40,ASSUMPTIONS!$C$41,ASSUMPTIONS!$C$42),ASSUMPTIONS!$C$68)</f>
        <v/>
      </c>
      <c r="I672" s="83">
        <f>MAX(_xlfn.NORM.INV(RAND(),DCF!$C$11,ASSUMPTIONS!$C$69),K672+0.005)</f>
        <v/>
      </c>
      <c r="J672" s="83">
        <f>_xlfn.NORM.INV(RAND(),ASSUMPTIONS!$C$19,ASSUMPTIONS!$C$70)</f>
        <v/>
      </c>
      <c r="K672" s="83">
        <f>_xlfn.NORM.INV(RAND(),ASSUMPTIONS!$C$43,ASSUMPTIONS!$C$71)</f>
        <v/>
      </c>
      <c r="L672" s="84">
        <f>(((ASSUMPTIONS!$C$18*J672*(1-ASSUMPTIONS!$C$20)+ASSUMPTIONS!$C$18*ASSUMPTIONS!$C$21-ASSUMPTIONS!$C$18*ASSUMPTIONS!$C$22)*(1+H672)*(1-((1+H672)/(1+I672))^5)/(I672-H672))+((ASSUMPTIONS!$C$18*J672*(1-ASSUMPTIONS!$C$20)+ASSUMPTIONS!$C$18*ASSUMPTIONS!$C$21-ASSUMPTIONS!$C$18*ASSUMPTIONS!$C$22)*(1+H672)^5*(1+K672)/(I672-K672)/(1+I672)^5)-DCF!$C$12)/ASSUMPTIONS!$C$7</f>
        <v/>
      </c>
    </row>
    <row r="673">
      <c r="H673" s="83">
        <f>_xlfn.NORM.INV(RAND(),AVERAGE(ASSUMPTIONS!$C$38,ASSUMPTIONS!$C$39,ASSUMPTIONS!$C$40,ASSUMPTIONS!$C$41,ASSUMPTIONS!$C$42),ASSUMPTIONS!$C$68)</f>
        <v/>
      </c>
      <c r="I673" s="83">
        <f>MAX(_xlfn.NORM.INV(RAND(),DCF!$C$11,ASSUMPTIONS!$C$69),K673+0.005)</f>
        <v/>
      </c>
      <c r="J673" s="83">
        <f>_xlfn.NORM.INV(RAND(),ASSUMPTIONS!$C$19,ASSUMPTIONS!$C$70)</f>
        <v/>
      </c>
      <c r="K673" s="83">
        <f>_xlfn.NORM.INV(RAND(),ASSUMPTIONS!$C$43,ASSUMPTIONS!$C$71)</f>
        <v/>
      </c>
      <c r="L673" s="84">
        <f>(((ASSUMPTIONS!$C$18*J673*(1-ASSUMPTIONS!$C$20)+ASSUMPTIONS!$C$18*ASSUMPTIONS!$C$21-ASSUMPTIONS!$C$18*ASSUMPTIONS!$C$22)*(1+H673)*(1-((1+H673)/(1+I673))^5)/(I673-H673))+((ASSUMPTIONS!$C$18*J673*(1-ASSUMPTIONS!$C$20)+ASSUMPTIONS!$C$18*ASSUMPTIONS!$C$21-ASSUMPTIONS!$C$18*ASSUMPTIONS!$C$22)*(1+H673)^5*(1+K673)/(I673-K673)/(1+I673)^5)-DCF!$C$12)/ASSUMPTIONS!$C$7</f>
        <v/>
      </c>
    </row>
    <row r="674">
      <c r="H674" s="83">
        <f>_xlfn.NORM.INV(RAND(),AVERAGE(ASSUMPTIONS!$C$38,ASSUMPTIONS!$C$39,ASSUMPTIONS!$C$40,ASSUMPTIONS!$C$41,ASSUMPTIONS!$C$42),ASSUMPTIONS!$C$68)</f>
        <v/>
      </c>
      <c r="I674" s="83">
        <f>MAX(_xlfn.NORM.INV(RAND(),DCF!$C$11,ASSUMPTIONS!$C$69),K674+0.005)</f>
        <v/>
      </c>
      <c r="J674" s="83">
        <f>_xlfn.NORM.INV(RAND(),ASSUMPTIONS!$C$19,ASSUMPTIONS!$C$70)</f>
        <v/>
      </c>
      <c r="K674" s="83">
        <f>_xlfn.NORM.INV(RAND(),ASSUMPTIONS!$C$43,ASSUMPTIONS!$C$71)</f>
        <v/>
      </c>
      <c r="L674" s="84">
        <f>(((ASSUMPTIONS!$C$18*J674*(1-ASSUMPTIONS!$C$20)+ASSUMPTIONS!$C$18*ASSUMPTIONS!$C$21-ASSUMPTIONS!$C$18*ASSUMPTIONS!$C$22)*(1+H674)*(1-((1+H674)/(1+I674))^5)/(I674-H674))+((ASSUMPTIONS!$C$18*J674*(1-ASSUMPTIONS!$C$20)+ASSUMPTIONS!$C$18*ASSUMPTIONS!$C$21-ASSUMPTIONS!$C$18*ASSUMPTIONS!$C$22)*(1+H674)^5*(1+K674)/(I674-K674)/(1+I674)^5)-DCF!$C$12)/ASSUMPTIONS!$C$7</f>
        <v/>
      </c>
    </row>
    <row r="675">
      <c r="H675" s="83">
        <f>_xlfn.NORM.INV(RAND(),AVERAGE(ASSUMPTIONS!$C$38,ASSUMPTIONS!$C$39,ASSUMPTIONS!$C$40,ASSUMPTIONS!$C$41,ASSUMPTIONS!$C$42),ASSUMPTIONS!$C$68)</f>
        <v/>
      </c>
      <c r="I675" s="83">
        <f>MAX(_xlfn.NORM.INV(RAND(),DCF!$C$11,ASSUMPTIONS!$C$69),K675+0.005)</f>
        <v/>
      </c>
      <c r="J675" s="83">
        <f>_xlfn.NORM.INV(RAND(),ASSUMPTIONS!$C$19,ASSUMPTIONS!$C$70)</f>
        <v/>
      </c>
      <c r="K675" s="83">
        <f>_xlfn.NORM.INV(RAND(),ASSUMPTIONS!$C$43,ASSUMPTIONS!$C$71)</f>
        <v/>
      </c>
      <c r="L675" s="84">
        <f>(((ASSUMPTIONS!$C$18*J675*(1-ASSUMPTIONS!$C$20)+ASSUMPTIONS!$C$18*ASSUMPTIONS!$C$21-ASSUMPTIONS!$C$18*ASSUMPTIONS!$C$22)*(1+H675)*(1-((1+H675)/(1+I675))^5)/(I675-H675))+((ASSUMPTIONS!$C$18*J675*(1-ASSUMPTIONS!$C$20)+ASSUMPTIONS!$C$18*ASSUMPTIONS!$C$21-ASSUMPTIONS!$C$18*ASSUMPTIONS!$C$22)*(1+H675)^5*(1+K675)/(I675-K675)/(1+I675)^5)-DCF!$C$12)/ASSUMPTIONS!$C$7</f>
        <v/>
      </c>
    </row>
    <row r="676">
      <c r="H676" s="83">
        <f>_xlfn.NORM.INV(RAND(),AVERAGE(ASSUMPTIONS!$C$38,ASSUMPTIONS!$C$39,ASSUMPTIONS!$C$40,ASSUMPTIONS!$C$41,ASSUMPTIONS!$C$42),ASSUMPTIONS!$C$68)</f>
        <v/>
      </c>
      <c r="I676" s="83">
        <f>MAX(_xlfn.NORM.INV(RAND(),DCF!$C$11,ASSUMPTIONS!$C$69),K676+0.005)</f>
        <v/>
      </c>
      <c r="J676" s="83">
        <f>_xlfn.NORM.INV(RAND(),ASSUMPTIONS!$C$19,ASSUMPTIONS!$C$70)</f>
        <v/>
      </c>
      <c r="K676" s="83">
        <f>_xlfn.NORM.INV(RAND(),ASSUMPTIONS!$C$43,ASSUMPTIONS!$C$71)</f>
        <v/>
      </c>
      <c r="L676" s="84">
        <f>(((ASSUMPTIONS!$C$18*J676*(1-ASSUMPTIONS!$C$20)+ASSUMPTIONS!$C$18*ASSUMPTIONS!$C$21-ASSUMPTIONS!$C$18*ASSUMPTIONS!$C$22)*(1+H676)*(1-((1+H676)/(1+I676))^5)/(I676-H676))+((ASSUMPTIONS!$C$18*J676*(1-ASSUMPTIONS!$C$20)+ASSUMPTIONS!$C$18*ASSUMPTIONS!$C$21-ASSUMPTIONS!$C$18*ASSUMPTIONS!$C$22)*(1+H676)^5*(1+K676)/(I676-K676)/(1+I676)^5)-DCF!$C$12)/ASSUMPTIONS!$C$7</f>
        <v/>
      </c>
    </row>
    <row r="677">
      <c r="H677" s="83">
        <f>_xlfn.NORM.INV(RAND(),AVERAGE(ASSUMPTIONS!$C$38,ASSUMPTIONS!$C$39,ASSUMPTIONS!$C$40,ASSUMPTIONS!$C$41,ASSUMPTIONS!$C$42),ASSUMPTIONS!$C$68)</f>
        <v/>
      </c>
      <c r="I677" s="83">
        <f>MAX(_xlfn.NORM.INV(RAND(),DCF!$C$11,ASSUMPTIONS!$C$69),K677+0.005)</f>
        <v/>
      </c>
      <c r="J677" s="83">
        <f>_xlfn.NORM.INV(RAND(),ASSUMPTIONS!$C$19,ASSUMPTIONS!$C$70)</f>
        <v/>
      </c>
      <c r="K677" s="83">
        <f>_xlfn.NORM.INV(RAND(),ASSUMPTIONS!$C$43,ASSUMPTIONS!$C$71)</f>
        <v/>
      </c>
      <c r="L677" s="84">
        <f>(((ASSUMPTIONS!$C$18*J677*(1-ASSUMPTIONS!$C$20)+ASSUMPTIONS!$C$18*ASSUMPTIONS!$C$21-ASSUMPTIONS!$C$18*ASSUMPTIONS!$C$22)*(1+H677)*(1-((1+H677)/(1+I677))^5)/(I677-H677))+((ASSUMPTIONS!$C$18*J677*(1-ASSUMPTIONS!$C$20)+ASSUMPTIONS!$C$18*ASSUMPTIONS!$C$21-ASSUMPTIONS!$C$18*ASSUMPTIONS!$C$22)*(1+H677)^5*(1+K677)/(I677-K677)/(1+I677)^5)-DCF!$C$12)/ASSUMPTIONS!$C$7</f>
        <v/>
      </c>
    </row>
    <row r="678">
      <c r="H678" s="83">
        <f>_xlfn.NORM.INV(RAND(),AVERAGE(ASSUMPTIONS!$C$38,ASSUMPTIONS!$C$39,ASSUMPTIONS!$C$40,ASSUMPTIONS!$C$41,ASSUMPTIONS!$C$42),ASSUMPTIONS!$C$68)</f>
        <v/>
      </c>
      <c r="I678" s="83">
        <f>MAX(_xlfn.NORM.INV(RAND(),DCF!$C$11,ASSUMPTIONS!$C$69),K678+0.005)</f>
        <v/>
      </c>
      <c r="J678" s="83">
        <f>_xlfn.NORM.INV(RAND(),ASSUMPTIONS!$C$19,ASSUMPTIONS!$C$70)</f>
        <v/>
      </c>
      <c r="K678" s="83">
        <f>_xlfn.NORM.INV(RAND(),ASSUMPTIONS!$C$43,ASSUMPTIONS!$C$71)</f>
        <v/>
      </c>
      <c r="L678" s="84">
        <f>(((ASSUMPTIONS!$C$18*J678*(1-ASSUMPTIONS!$C$20)+ASSUMPTIONS!$C$18*ASSUMPTIONS!$C$21-ASSUMPTIONS!$C$18*ASSUMPTIONS!$C$22)*(1+H678)*(1-((1+H678)/(1+I678))^5)/(I678-H678))+((ASSUMPTIONS!$C$18*J678*(1-ASSUMPTIONS!$C$20)+ASSUMPTIONS!$C$18*ASSUMPTIONS!$C$21-ASSUMPTIONS!$C$18*ASSUMPTIONS!$C$22)*(1+H678)^5*(1+K678)/(I678-K678)/(1+I678)^5)-DCF!$C$12)/ASSUMPTIONS!$C$7</f>
        <v/>
      </c>
    </row>
    <row r="679">
      <c r="H679" s="83">
        <f>_xlfn.NORM.INV(RAND(),AVERAGE(ASSUMPTIONS!$C$38,ASSUMPTIONS!$C$39,ASSUMPTIONS!$C$40,ASSUMPTIONS!$C$41,ASSUMPTIONS!$C$42),ASSUMPTIONS!$C$68)</f>
        <v/>
      </c>
      <c r="I679" s="83">
        <f>MAX(_xlfn.NORM.INV(RAND(),DCF!$C$11,ASSUMPTIONS!$C$69),K679+0.005)</f>
        <v/>
      </c>
      <c r="J679" s="83">
        <f>_xlfn.NORM.INV(RAND(),ASSUMPTIONS!$C$19,ASSUMPTIONS!$C$70)</f>
        <v/>
      </c>
      <c r="K679" s="83">
        <f>_xlfn.NORM.INV(RAND(),ASSUMPTIONS!$C$43,ASSUMPTIONS!$C$71)</f>
        <v/>
      </c>
      <c r="L679" s="84">
        <f>(((ASSUMPTIONS!$C$18*J679*(1-ASSUMPTIONS!$C$20)+ASSUMPTIONS!$C$18*ASSUMPTIONS!$C$21-ASSUMPTIONS!$C$18*ASSUMPTIONS!$C$22)*(1+H679)*(1-((1+H679)/(1+I679))^5)/(I679-H679))+((ASSUMPTIONS!$C$18*J679*(1-ASSUMPTIONS!$C$20)+ASSUMPTIONS!$C$18*ASSUMPTIONS!$C$21-ASSUMPTIONS!$C$18*ASSUMPTIONS!$C$22)*(1+H679)^5*(1+K679)/(I679-K679)/(1+I679)^5)-DCF!$C$12)/ASSUMPTIONS!$C$7</f>
        <v/>
      </c>
    </row>
    <row r="680">
      <c r="H680" s="83">
        <f>_xlfn.NORM.INV(RAND(),AVERAGE(ASSUMPTIONS!$C$38,ASSUMPTIONS!$C$39,ASSUMPTIONS!$C$40,ASSUMPTIONS!$C$41,ASSUMPTIONS!$C$42),ASSUMPTIONS!$C$68)</f>
        <v/>
      </c>
      <c r="I680" s="83">
        <f>MAX(_xlfn.NORM.INV(RAND(),DCF!$C$11,ASSUMPTIONS!$C$69),K680+0.005)</f>
        <v/>
      </c>
      <c r="J680" s="83">
        <f>_xlfn.NORM.INV(RAND(),ASSUMPTIONS!$C$19,ASSUMPTIONS!$C$70)</f>
        <v/>
      </c>
      <c r="K680" s="83">
        <f>_xlfn.NORM.INV(RAND(),ASSUMPTIONS!$C$43,ASSUMPTIONS!$C$71)</f>
        <v/>
      </c>
      <c r="L680" s="84">
        <f>(((ASSUMPTIONS!$C$18*J680*(1-ASSUMPTIONS!$C$20)+ASSUMPTIONS!$C$18*ASSUMPTIONS!$C$21-ASSUMPTIONS!$C$18*ASSUMPTIONS!$C$22)*(1+H680)*(1-((1+H680)/(1+I680))^5)/(I680-H680))+((ASSUMPTIONS!$C$18*J680*(1-ASSUMPTIONS!$C$20)+ASSUMPTIONS!$C$18*ASSUMPTIONS!$C$21-ASSUMPTIONS!$C$18*ASSUMPTIONS!$C$22)*(1+H680)^5*(1+K680)/(I680-K680)/(1+I680)^5)-DCF!$C$12)/ASSUMPTIONS!$C$7</f>
        <v/>
      </c>
    </row>
    <row r="681">
      <c r="H681" s="83">
        <f>_xlfn.NORM.INV(RAND(),AVERAGE(ASSUMPTIONS!$C$38,ASSUMPTIONS!$C$39,ASSUMPTIONS!$C$40,ASSUMPTIONS!$C$41,ASSUMPTIONS!$C$42),ASSUMPTIONS!$C$68)</f>
        <v/>
      </c>
      <c r="I681" s="83">
        <f>MAX(_xlfn.NORM.INV(RAND(),DCF!$C$11,ASSUMPTIONS!$C$69),K681+0.005)</f>
        <v/>
      </c>
      <c r="J681" s="83">
        <f>_xlfn.NORM.INV(RAND(),ASSUMPTIONS!$C$19,ASSUMPTIONS!$C$70)</f>
        <v/>
      </c>
      <c r="K681" s="83">
        <f>_xlfn.NORM.INV(RAND(),ASSUMPTIONS!$C$43,ASSUMPTIONS!$C$71)</f>
        <v/>
      </c>
      <c r="L681" s="84">
        <f>(((ASSUMPTIONS!$C$18*J681*(1-ASSUMPTIONS!$C$20)+ASSUMPTIONS!$C$18*ASSUMPTIONS!$C$21-ASSUMPTIONS!$C$18*ASSUMPTIONS!$C$22)*(1+H681)*(1-((1+H681)/(1+I681))^5)/(I681-H681))+((ASSUMPTIONS!$C$18*J681*(1-ASSUMPTIONS!$C$20)+ASSUMPTIONS!$C$18*ASSUMPTIONS!$C$21-ASSUMPTIONS!$C$18*ASSUMPTIONS!$C$22)*(1+H681)^5*(1+K681)/(I681-K681)/(1+I681)^5)-DCF!$C$12)/ASSUMPTIONS!$C$7</f>
        <v/>
      </c>
    </row>
    <row r="682">
      <c r="H682" s="83">
        <f>_xlfn.NORM.INV(RAND(),AVERAGE(ASSUMPTIONS!$C$38,ASSUMPTIONS!$C$39,ASSUMPTIONS!$C$40,ASSUMPTIONS!$C$41,ASSUMPTIONS!$C$42),ASSUMPTIONS!$C$68)</f>
        <v/>
      </c>
      <c r="I682" s="83">
        <f>MAX(_xlfn.NORM.INV(RAND(),DCF!$C$11,ASSUMPTIONS!$C$69),K682+0.005)</f>
        <v/>
      </c>
      <c r="J682" s="83">
        <f>_xlfn.NORM.INV(RAND(),ASSUMPTIONS!$C$19,ASSUMPTIONS!$C$70)</f>
        <v/>
      </c>
      <c r="K682" s="83">
        <f>_xlfn.NORM.INV(RAND(),ASSUMPTIONS!$C$43,ASSUMPTIONS!$C$71)</f>
        <v/>
      </c>
      <c r="L682" s="84">
        <f>(((ASSUMPTIONS!$C$18*J682*(1-ASSUMPTIONS!$C$20)+ASSUMPTIONS!$C$18*ASSUMPTIONS!$C$21-ASSUMPTIONS!$C$18*ASSUMPTIONS!$C$22)*(1+H682)*(1-((1+H682)/(1+I682))^5)/(I682-H682))+((ASSUMPTIONS!$C$18*J682*(1-ASSUMPTIONS!$C$20)+ASSUMPTIONS!$C$18*ASSUMPTIONS!$C$21-ASSUMPTIONS!$C$18*ASSUMPTIONS!$C$22)*(1+H682)^5*(1+K682)/(I682-K682)/(1+I682)^5)-DCF!$C$12)/ASSUMPTIONS!$C$7</f>
        <v/>
      </c>
    </row>
    <row r="683">
      <c r="H683" s="83">
        <f>_xlfn.NORM.INV(RAND(),AVERAGE(ASSUMPTIONS!$C$38,ASSUMPTIONS!$C$39,ASSUMPTIONS!$C$40,ASSUMPTIONS!$C$41,ASSUMPTIONS!$C$42),ASSUMPTIONS!$C$68)</f>
        <v/>
      </c>
      <c r="I683" s="83">
        <f>MAX(_xlfn.NORM.INV(RAND(),DCF!$C$11,ASSUMPTIONS!$C$69),K683+0.005)</f>
        <v/>
      </c>
      <c r="J683" s="83">
        <f>_xlfn.NORM.INV(RAND(),ASSUMPTIONS!$C$19,ASSUMPTIONS!$C$70)</f>
        <v/>
      </c>
      <c r="K683" s="83">
        <f>_xlfn.NORM.INV(RAND(),ASSUMPTIONS!$C$43,ASSUMPTIONS!$C$71)</f>
        <v/>
      </c>
      <c r="L683" s="84">
        <f>(((ASSUMPTIONS!$C$18*J683*(1-ASSUMPTIONS!$C$20)+ASSUMPTIONS!$C$18*ASSUMPTIONS!$C$21-ASSUMPTIONS!$C$18*ASSUMPTIONS!$C$22)*(1+H683)*(1-((1+H683)/(1+I683))^5)/(I683-H683))+((ASSUMPTIONS!$C$18*J683*(1-ASSUMPTIONS!$C$20)+ASSUMPTIONS!$C$18*ASSUMPTIONS!$C$21-ASSUMPTIONS!$C$18*ASSUMPTIONS!$C$22)*(1+H683)^5*(1+K683)/(I683-K683)/(1+I683)^5)-DCF!$C$12)/ASSUMPTIONS!$C$7</f>
        <v/>
      </c>
    </row>
    <row r="684">
      <c r="H684" s="83">
        <f>_xlfn.NORM.INV(RAND(),AVERAGE(ASSUMPTIONS!$C$38,ASSUMPTIONS!$C$39,ASSUMPTIONS!$C$40,ASSUMPTIONS!$C$41,ASSUMPTIONS!$C$42),ASSUMPTIONS!$C$68)</f>
        <v/>
      </c>
      <c r="I684" s="83">
        <f>MAX(_xlfn.NORM.INV(RAND(),DCF!$C$11,ASSUMPTIONS!$C$69),K684+0.005)</f>
        <v/>
      </c>
      <c r="J684" s="83">
        <f>_xlfn.NORM.INV(RAND(),ASSUMPTIONS!$C$19,ASSUMPTIONS!$C$70)</f>
        <v/>
      </c>
      <c r="K684" s="83">
        <f>_xlfn.NORM.INV(RAND(),ASSUMPTIONS!$C$43,ASSUMPTIONS!$C$71)</f>
        <v/>
      </c>
      <c r="L684" s="84">
        <f>(((ASSUMPTIONS!$C$18*J684*(1-ASSUMPTIONS!$C$20)+ASSUMPTIONS!$C$18*ASSUMPTIONS!$C$21-ASSUMPTIONS!$C$18*ASSUMPTIONS!$C$22)*(1+H684)*(1-((1+H684)/(1+I684))^5)/(I684-H684))+((ASSUMPTIONS!$C$18*J684*(1-ASSUMPTIONS!$C$20)+ASSUMPTIONS!$C$18*ASSUMPTIONS!$C$21-ASSUMPTIONS!$C$18*ASSUMPTIONS!$C$22)*(1+H684)^5*(1+K684)/(I684-K684)/(1+I684)^5)-DCF!$C$12)/ASSUMPTIONS!$C$7</f>
        <v/>
      </c>
    </row>
    <row r="685">
      <c r="H685" s="83">
        <f>_xlfn.NORM.INV(RAND(),AVERAGE(ASSUMPTIONS!$C$38,ASSUMPTIONS!$C$39,ASSUMPTIONS!$C$40,ASSUMPTIONS!$C$41,ASSUMPTIONS!$C$42),ASSUMPTIONS!$C$68)</f>
        <v/>
      </c>
      <c r="I685" s="83">
        <f>MAX(_xlfn.NORM.INV(RAND(),DCF!$C$11,ASSUMPTIONS!$C$69),K685+0.005)</f>
        <v/>
      </c>
      <c r="J685" s="83">
        <f>_xlfn.NORM.INV(RAND(),ASSUMPTIONS!$C$19,ASSUMPTIONS!$C$70)</f>
        <v/>
      </c>
      <c r="K685" s="83">
        <f>_xlfn.NORM.INV(RAND(),ASSUMPTIONS!$C$43,ASSUMPTIONS!$C$71)</f>
        <v/>
      </c>
      <c r="L685" s="84">
        <f>(((ASSUMPTIONS!$C$18*J685*(1-ASSUMPTIONS!$C$20)+ASSUMPTIONS!$C$18*ASSUMPTIONS!$C$21-ASSUMPTIONS!$C$18*ASSUMPTIONS!$C$22)*(1+H685)*(1-((1+H685)/(1+I685))^5)/(I685-H685))+((ASSUMPTIONS!$C$18*J685*(1-ASSUMPTIONS!$C$20)+ASSUMPTIONS!$C$18*ASSUMPTIONS!$C$21-ASSUMPTIONS!$C$18*ASSUMPTIONS!$C$22)*(1+H685)^5*(1+K685)/(I685-K685)/(1+I685)^5)-DCF!$C$12)/ASSUMPTIONS!$C$7</f>
        <v/>
      </c>
    </row>
    <row r="686">
      <c r="H686" s="83">
        <f>_xlfn.NORM.INV(RAND(),AVERAGE(ASSUMPTIONS!$C$38,ASSUMPTIONS!$C$39,ASSUMPTIONS!$C$40,ASSUMPTIONS!$C$41,ASSUMPTIONS!$C$42),ASSUMPTIONS!$C$68)</f>
        <v/>
      </c>
      <c r="I686" s="83">
        <f>MAX(_xlfn.NORM.INV(RAND(),DCF!$C$11,ASSUMPTIONS!$C$69),K686+0.005)</f>
        <v/>
      </c>
      <c r="J686" s="83">
        <f>_xlfn.NORM.INV(RAND(),ASSUMPTIONS!$C$19,ASSUMPTIONS!$C$70)</f>
        <v/>
      </c>
      <c r="K686" s="83">
        <f>_xlfn.NORM.INV(RAND(),ASSUMPTIONS!$C$43,ASSUMPTIONS!$C$71)</f>
        <v/>
      </c>
      <c r="L686" s="84">
        <f>(((ASSUMPTIONS!$C$18*J686*(1-ASSUMPTIONS!$C$20)+ASSUMPTIONS!$C$18*ASSUMPTIONS!$C$21-ASSUMPTIONS!$C$18*ASSUMPTIONS!$C$22)*(1+H686)*(1-((1+H686)/(1+I686))^5)/(I686-H686))+((ASSUMPTIONS!$C$18*J686*(1-ASSUMPTIONS!$C$20)+ASSUMPTIONS!$C$18*ASSUMPTIONS!$C$21-ASSUMPTIONS!$C$18*ASSUMPTIONS!$C$22)*(1+H686)^5*(1+K686)/(I686-K686)/(1+I686)^5)-DCF!$C$12)/ASSUMPTIONS!$C$7</f>
        <v/>
      </c>
    </row>
    <row r="687">
      <c r="H687" s="83">
        <f>_xlfn.NORM.INV(RAND(),AVERAGE(ASSUMPTIONS!$C$38,ASSUMPTIONS!$C$39,ASSUMPTIONS!$C$40,ASSUMPTIONS!$C$41,ASSUMPTIONS!$C$42),ASSUMPTIONS!$C$68)</f>
        <v/>
      </c>
      <c r="I687" s="83">
        <f>MAX(_xlfn.NORM.INV(RAND(),DCF!$C$11,ASSUMPTIONS!$C$69),K687+0.005)</f>
        <v/>
      </c>
      <c r="J687" s="83">
        <f>_xlfn.NORM.INV(RAND(),ASSUMPTIONS!$C$19,ASSUMPTIONS!$C$70)</f>
        <v/>
      </c>
      <c r="K687" s="83">
        <f>_xlfn.NORM.INV(RAND(),ASSUMPTIONS!$C$43,ASSUMPTIONS!$C$71)</f>
        <v/>
      </c>
      <c r="L687" s="84">
        <f>(((ASSUMPTIONS!$C$18*J687*(1-ASSUMPTIONS!$C$20)+ASSUMPTIONS!$C$18*ASSUMPTIONS!$C$21-ASSUMPTIONS!$C$18*ASSUMPTIONS!$C$22)*(1+H687)*(1-((1+H687)/(1+I687))^5)/(I687-H687))+((ASSUMPTIONS!$C$18*J687*(1-ASSUMPTIONS!$C$20)+ASSUMPTIONS!$C$18*ASSUMPTIONS!$C$21-ASSUMPTIONS!$C$18*ASSUMPTIONS!$C$22)*(1+H687)^5*(1+K687)/(I687-K687)/(1+I687)^5)-DCF!$C$12)/ASSUMPTIONS!$C$7</f>
        <v/>
      </c>
    </row>
    <row r="688">
      <c r="H688" s="83">
        <f>_xlfn.NORM.INV(RAND(),AVERAGE(ASSUMPTIONS!$C$38,ASSUMPTIONS!$C$39,ASSUMPTIONS!$C$40,ASSUMPTIONS!$C$41,ASSUMPTIONS!$C$42),ASSUMPTIONS!$C$68)</f>
        <v/>
      </c>
      <c r="I688" s="83">
        <f>MAX(_xlfn.NORM.INV(RAND(),DCF!$C$11,ASSUMPTIONS!$C$69),K688+0.005)</f>
        <v/>
      </c>
      <c r="J688" s="83">
        <f>_xlfn.NORM.INV(RAND(),ASSUMPTIONS!$C$19,ASSUMPTIONS!$C$70)</f>
        <v/>
      </c>
      <c r="K688" s="83">
        <f>_xlfn.NORM.INV(RAND(),ASSUMPTIONS!$C$43,ASSUMPTIONS!$C$71)</f>
        <v/>
      </c>
      <c r="L688" s="84">
        <f>(((ASSUMPTIONS!$C$18*J688*(1-ASSUMPTIONS!$C$20)+ASSUMPTIONS!$C$18*ASSUMPTIONS!$C$21-ASSUMPTIONS!$C$18*ASSUMPTIONS!$C$22)*(1+H688)*(1-((1+H688)/(1+I688))^5)/(I688-H688))+((ASSUMPTIONS!$C$18*J688*(1-ASSUMPTIONS!$C$20)+ASSUMPTIONS!$C$18*ASSUMPTIONS!$C$21-ASSUMPTIONS!$C$18*ASSUMPTIONS!$C$22)*(1+H688)^5*(1+K688)/(I688-K688)/(1+I688)^5)-DCF!$C$12)/ASSUMPTIONS!$C$7</f>
        <v/>
      </c>
    </row>
    <row r="689">
      <c r="H689" s="83">
        <f>_xlfn.NORM.INV(RAND(),AVERAGE(ASSUMPTIONS!$C$38,ASSUMPTIONS!$C$39,ASSUMPTIONS!$C$40,ASSUMPTIONS!$C$41,ASSUMPTIONS!$C$42),ASSUMPTIONS!$C$68)</f>
        <v/>
      </c>
      <c r="I689" s="83">
        <f>MAX(_xlfn.NORM.INV(RAND(),DCF!$C$11,ASSUMPTIONS!$C$69),K689+0.005)</f>
        <v/>
      </c>
      <c r="J689" s="83">
        <f>_xlfn.NORM.INV(RAND(),ASSUMPTIONS!$C$19,ASSUMPTIONS!$C$70)</f>
        <v/>
      </c>
      <c r="K689" s="83">
        <f>_xlfn.NORM.INV(RAND(),ASSUMPTIONS!$C$43,ASSUMPTIONS!$C$71)</f>
        <v/>
      </c>
      <c r="L689" s="84">
        <f>(((ASSUMPTIONS!$C$18*J689*(1-ASSUMPTIONS!$C$20)+ASSUMPTIONS!$C$18*ASSUMPTIONS!$C$21-ASSUMPTIONS!$C$18*ASSUMPTIONS!$C$22)*(1+H689)*(1-((1+H689)/(1+I689))^5)/(I689-H689))+((ASSUMPTIONS!$C$18*J689*(1-ASSUMPTIONS!$C$20)+ASSUMPTIONS!$C$18*ASSUMPTIONS!$C$21-ASSUMPTIONS!$C$18*ASSUMPTIONS!$C$22)*(1+H689)^5*(1+K689)/(I689-K689)/(1+I689)^5)-DCF!$C$12)/ASSUMPTIONS!$C$7</f>
        <v/>
      </c>
    </row>
    <row r="690">
      <c r="H690" s="83">
        <f>_xlfn.NORM.INV(RAND(),AVERAGE(ASSUMPTIONS!$C$38,ASSUMPTIONS!$C$39,ASSUMPTIONS!$C$40,ASSUMPTIONS!$C$41,ASSUMPTIONS!$C$42),ASSUMPTIONS!$C$68)</f>
        <v/>
      </c>
      <c r="I690" s="83">
        <f>MAX(_xlfn.NORM.INV(RAND(),DCF!$C$11,ASSUMPTIONS!$C$69),K690+0.005)</f>
        <v/>
      </c>
      <c r="J690" s="83">
        <f>_xlfn.NORM.INV(RAND(),ASSUMPTIONS!$C$19,ASSUMPTIONS!$C$70)</f>
        <v/>
      </c>
      <c r="K690" s="83">
        <f>_xlfn.NORM.INV(RAND(),ASSUMPTIONS!$C$43,ASSUMPTIONS!$C$71)</f>
        <v/>
      </c>
      <c r="L690" s="84">
        <f>(((ASSUMPTIONS!$C$18*J690*(1-ASSUMPTIONS!$C$20)+ASSUMPTIONS!$C$18*ASSUMPTIONS!$C$21-ASSUMPTIONS!$C$18*ASSUMPTIONS!$C$22)*(1+H690)*(1-((1+H690)/(1+I690))^5)/(I690-H690))+((ASSUMPTIONS!$C$18*J690*(1-ASSUMPTIONS!$C$20)+ASSUMPTIONS!$C$18*ASSUMPTIONS!$C$21-ASSUMPTIONS!$C$18*ASSUMPTIONS!$C$22)*(1+H690)^5*(1+K690)/(I690-K690)/(1+I690)^5)-DCF!$C$12)/ASSUMPTIONS!$C$7</f>
        <v/>
      </c>
    </row>
    <row r="691">
      <c r="H691" s="83">
        <f>_xlfn.NORM.INV(RAND(),AVERAGE(ASSUMPTIONS!$C$38,ASSUMPTIONS!$C$39,ASSUMPTIONS!$C$40,ASSUMPTIONS!$C$41,ASSUMPTIONS!$C$42),ASSUMPTIONS!$C$68)</f>
        <v/>
      </c>
      <c r="I691" s="83">
        <f>MAX(_xlfn.NORM.INV(RAND(),DCF!$C$11,ASSUMPTIONS!$C$69),K691+0.005)</f>
        <v/>
      </c>
      <c r="J691" s="83">
        <f>_xlfn.NORM.INV(RAND(),ASSUMPTIONS!$C$19,ASSUMPTIONS!$C$70)</f>
        <v/>
      </c>
      <c r="K691" s="83">
        <f>_xlfn.NORM.INV(RAND(),ASSUMPTIONS!$C$43,ASSUMPTIONS!$C$71)</f>
        <v/>
      </c>
      <c r="L691" s="84">
        <f>(((ASSUMPTIONS!$C$18*J691*(1-ASSUMPTIONS!$C$20)+ASSUMPTIONS!$C$18*ASSUMPTIONS!$C$21-ASSUMPTIONS!$C$18*ASSUMPTIONS!$C$22)*(1+H691)*(1-((1+H691)/(1+I691))^5)/(I691-H691))+((ASSUMPTIONS!$C$18*J691*(1-ASSUMPTIONS!$C$20)+ASSUMPTIONS!$C$18*ASSUMPTIONS!$C$21-ASSUMPTIONS!$C$18*ASSUMPTIONS!$C$22)*(1+H691)^5*(1+K691)/(I691-K691)/(1+I691)^5)-DCF!$C$12)/ASSUMPTIONS!$C$7</f>
        <v/>
      </c>
    </row>
    <row r="692">
      <c r="H692" s="83">
        <f>_xlfn.NORM.INV(RAND(),AVERAGE(ASSUMPTIONS!$C$38,ASSUMPTIONS!$C$39,ASSUMPTIONS!$C$40,ASSUMPTIONS!$C$41,ASSUMPTIONS!$C$42),ASSUMPTIONS!$C$68)</f>
        <v/>
      </c>
      <c r="I692" s="83">
        <f>MAX(_xlfn.NORM.INV(RAND(),DCF!$C$11,ASSUMPTIONS!$C$69),K692+0.005)</f>
        <v/>
      </c>
      <c r="J692" s="83">
        <f>_xlfn.NORM.INV(RAND(),ASSUMPTIONS!$C$19,ASSUMPTIONS!$C$70)</f>
        <v/>
      </c>
      <c r="K692" s="83">
        <f>_xlfn.NORM.INV(RAND(),ASSUMPTIONS!$C$43,ASSUMPTIONS!$C$71)</f>
        <v/>
      </c>
      <c r="L692" s="84">
        <f>(((ASSUMPTIONS!$C$18*J692*(1-ASSUMPTIONS!$C$20)+ASSUMPTIONS!$C$18*ASSUMPTIONS!$C$21-ASSUMPTIONS!$C$18*ASSUMPTIONS!$C$22)*(1+H692)*(1-((1+H692)/(1+I692))^5)/(I692-H692))+((ASSUMPTIONS!$C$18*J692*(1-ASSUMPTIONS!$C$20)+ASSUMPTIONS!$C$18*ASSUMPTIONS!$C$21-ASSUMPTIONS!$C$18*ASSUMPTIONS!$C$22)*(1+H692)^5*(1+K692)/(I692-K692)/(1+I692)^5)-DCF!$C$12)/ASSUMPTIONS!$C$7</f>
        <v/>
      </c>
    </row>
    <row r="693">
      <c r="H693" s="83">
        <f>_xlfn.NORM.INV(RAND(),AVERAGE(ASSUMPTIONS!$C$38,ASSUMPTIONS!$C$39,ASSUMPTIONS!$C$40,ASSUMPTIONS!$C$41,ASSUMPTIONS!$C$42),ASSUMPTIONS!$C$68)</f>
        <v/>
      </c>
      <c r="I693" s="83">
        <f>MAX(_xlfn.NORM.INV(RAND(),DCF!$C$11,ASSUMPTIONS!$C$69),K693+0.005)</f>
        <v/>
      </c>
      <c r="J693" s="83">
        <f>_xlfn.NORM.INV(RAND(),ASSUMPTIONS!$C$19,ASSUMPTIONS!$C$70)</f>
        <v/>
      </c>
      <c r="K693" s="83">
        <f>_xlfn.NORM.INV(RAND(),ASSUMPTIONS!$C$43,ASSUMPTIONS!$C$71)</f>
        <v/>
      </c>
      <c r="L693" s="84">
        <f>(((ASSUMPTIONS!$C$18*J693*(1-ASSUMPTIONS!$C$20)+ASSUMPTIONS!$C$18*ASSUMPTIONS!$C$21-ASSUMPTIONS!$C$18*ASSUMPTIONS!$C$22)*(1+H693)*(1-((1+H693)/(1+I693))^5)/(I693-H693))+((ASSUMPTIONS!$C$18*J693*(1-ASSUMPTIONS!$C$20)+ASSUMPTIONS!$C$18*ASSUMPTIONS!$C$21-ASSUMPTIONS!$C$18*ASSUMPTIONS!$C$22)*(1+H693)^5*(1+K693)/(I693-K693)/(1+I693)^5)-DCF!$C$12)/ASSUMPTIONS!$C$7</f>
        <v/>
      </c>
    </row>
    <row r="694">
      <c r="H694" s="83">
        <f>_xlfn.NORM.INV(RAND(),AVERAGE(ASSUMPTIONS!$C$38,ASSUMPTIONS!$C$39,ASSUMPTIONS!$C$40,ASSUMPTIONS!$C$41,ASSUMPTIONS!$C$42),ASSUMPTIONS!$C$68)</f>
        <v/>
      </c>
      <c r="I694" s="83">
        <f>MAX(_xlfn.NORM.INV(RAND(),DCF!$C$11,ASSUMPTIONS!$C$69),K694+0.005)</f>
        <v/>
      </c>
      <c r="J694" s="83">
        <f>_xlfn.NORM.INV(RAND(),ASSUMPTIONS!$C$19,ASSUMPTIONS!$C$70)</f>
        <v/>
      </c>
      <c r="K694" s="83">
        <f>_xlfn.NORM.INV(RAND(),ASSUMPTIONS!$C$43,ASSUMPTIONS!$C$71)</f>
        <v/>
      </c>
      <c r="L694" s="84">
        <f>(((ASSUMPTIONS!$C$18*J694*(1-ASSUMPTIONS!$C$20)+ASSUMPTIONS!$C$18*ASSUMPTIONS!$C$21-ASSUMPTIONS!$C$18*ASSUMPTIONS!$C$22)*(1+H694)*(1-((1+H694)/(1+I694))^5)/(I694-H694))+((ASSUMPTIONS!$C$18*J694*(1-ASSUMPTIONS!$C$20)+ASSUMPTIONS!$C$18*ASSUMPTIONS!$C$21-ASSUMPTIONS!$C$18*ASSUMPTIONS!$C$22)*(1+H694)^5*(1+K694)/(I694-K694)/(1+I694)^5)-DCF!$C$12)/ASSUMPTIONS!$C$7</f>
        <v/>
      </c>
    </row>
    <row r="695">
      <c r="H695" s="83">
        <f>_xlfn.NORM.INV(RAND(),AVERAGE(ASSUMPTIONS!$C$38,ASSUMPTIONS!$C$39,ASSUMPTIONS!$C$40,ASSUMPTIONS!$C$41,ASSUMPTIONS!$C$42),ASSUMPTIONS!$C$68)</f>
        <v/>
      </c>
      <c r="I695" s="83">
        <f>MAX(_xlfn.NORM.INV(RAND(),DCF!$C$11,ASSUMPTIONS!$C$69),K695+0.005)</f>
        <v/>
      </c>
      <c r="J695" s="83">
        <f>_xlfn.NORM.INV(RAND(),ASSUMPTIONS!$C$19,ASSUMPTIONS!$C$70)</f>
        <v/>
      </c>
      <c r="K695" s="83">
        <f>_xlfn.NORM.INV(RAND(),ASSUMPTIONS!$C$43,ASSUMPTIONS!$C$71)</f>
        <v/>
      </c>
      <c r="L695" s="84">
        <f>(((ASSUMPTIONS!$C$18*J695*(1-ASSUMPTIONS!$C$20)+ASSUMPTIONS!$C$18*ASSUMPTIONS!$C$21-ASSUMPTIONS!$C$18*ASSUMPTIONS!$C$22)*(1+H695)*(1-((1+H695)/(1+I695))^5)/(I695-H695))+((ASSUMPTIONS!$C$18*J695*(1-ASSUMPTIONS!$C$20)+ASSUMPTIONS!$C$18*ASSUMPTIONS!$C$21-ASSUMPTIONS!$C$18*ASSUMPTIONS!$C$22)*(1+H695)^5*(1+K695)/(I695-K695)/(1+I695)^5)-DCF!$C$12)/ASSUMPTIONS!$C$7</f>
        <v/>
      </c>
    </row>
    <row r="696">
      <c r="H696" s="83">
        <f>_xlfn.NORM.INV(RAND(),AVERAGE(ASSUMPTIONS!$C$38,ASSUMPTIONS!$C$39,ASSUMPTIONS!$C$40,ASSUMPTIONS!$C$41,ASSUMPTIONS!$C$42),ASSUMPTIONS!$C$68)</f>
        <v/>
      </c>
      <c r="I696" s="83">
        <f>MAX(_xlfn.NORM.INV(RAND(),DCF!$C$11,ASSUMPTIONS!$C$69),K696+0.005)</f>
        <v/>
      </c>
      <c r="J696" s="83">
        <f>_xlfn.NORM.INV(RAND(),ASSUMPTIONS!$C$19,ASSUMPTIONS!$C$70)</f>
        <v/>
      </c>
      <c r="K696" s="83">
        <f>_xlfn.NORM.INV(RAND(),ASSUMPTIONS!$C$43,ASSUMPTIONS!$C$71)</f>
        <v/>
      </c>
      <c r="L696" s="84">
        <f>(((ASSUMPTIONS!$C$18*J696*(1-ASSUMPTIONS!$C$20)+ASSUMPTIONS!$C$18*ASSUMPTIONS!$C$21-ASSUMPTIONS!$C$18*ASSUMPTIONS!$C$22)*(1+H696)*(1-((1+H696)/(1+I696))^5)/(I696-H696))+((ASSUMPTIONS!$C$18*J696*(1-ASSUMPTIONS!$C$20)+ASSUMPTIONS!$C$18*ASSUMPTIONS!$C$21-ASSUMPTIONS!$C$18*ASSUMPTIONS!$C$22)*(1+H696)^5*(1+K696)/(I696-K696)/(1+I696)^5)-DCF!$C$12)/ASSUMPTIONS!$C$7</f>
        <v/>
      </c>
    </row>
    <row r="697">
      <c r="H697" s="83">
        <f>_xlfn.NORM.INV(RAND(),AVERAGE(ASSUMPTIONS!$C$38,ASSUMPTIONS!$C$39,ASSUMPTIONS!$C$40,ASSUMPTIONS!$C$41,ASSUMPTIONS!$C$42),ASSUMPTIONS!$C$68)</f>
        <v/>
      </c>
      <c r="I697" s="83">
        <f>MAX(_xlfn.NORM.INV(RAND(),DCF!$C$11,ASSUMPTIONS!$C$69),K697+0.005)</f>
        <v/>
      </c>
      <c r="J697" s="83">
        <f>_xlfn.NORM.INV(RAND(),ASSUMPTIONS!$C$19,ASSUMPTIONS!$C$70)</f>
        <v/>
      </c>
      <c r="K697" s="83">
        <f>_xlfn.NORM.INV(RAND(),ASSUMPTIONS!$C$43,ASSUMPTIONS!$C$71)</f>
        <v/>
      </c>
      <c r="L697" s="84">
        <f>(((ASSUMPTIONS!$C$18*J697*(1-ASSUMPTIONS!$C$20)+ASSUMPTIONS!$C$18*ASSUMPTIONS!$C$21-ASSUMPTIONS!$C$18*ASSUMPTIONS!$C$22)*(1+H697)*(1-((1+H697)/(1+I697))^5)/(I697-H697))+((ASSUMPTIONS!$C$18*J697*(1-ASSUMPTIONS!$C$20)+ASSUMPTIONS!$C$18*ASSUMPTIONS!$C$21-ASSUMPTIONS!$C$18*ASSUMPTIONS!$C$22)*(1+H697)^5*(1+K697)/(I697-K697)/(1+I697)^5)-DCF!$C$12)/ASSUMPTIONS!$C$7</f>
        <v/>
      </c>
    </row>
    <row r="698">
      <c r="H698" s="83">
        <f>_xlfn.NORM.INV(RAND(),AVERAGE(ASSUMPTIONS!$C$38,ASSUMPTIONS!$C$39,ASSUMPTIONS!$C$40,ASSUMPTIONS!$C$41,ASSUMPTIONS!$C$42),ASSUMPTIONS!$C$68)</f>
        <v/>
      </c>
      <c r="I698" s="83">
        <f>MAX(_xlfn.NORM.INV(RAND(),DCF!$C$11,ASSUMPTIONS!$C$69),K698+0.005)</f>
        <v/>
      </c>
      <c r="J698" s="83">
        <f>_xlfn.NORM.INV(RAND(),ASSUMPTIONS!$C$19,ASSUMPTIONS!$C$70)</f>
        <v/>
      </c>
      <c r="K698" s="83">
        <f>_xlfn.NORM.INV(RAND(),ASSUMPTIONS!$C$43,ASSUMPTIONS!$C$71)</f>
        <v/>
      </c>
      <c r="L698" s="84">
        <f>(((ASSUMPTIONS!$C$18*J698*(1-ASSUMPTIONS!$C$20)+ASSUMPTIONS!$C$18*ASSUMPTIONS!$C$21-ASSUMPTIONS!$C$18*ASSUMPTIONS!$C$22)*(1+H698)*(1-((1+H698)/(1+I698))^5)/(I698-H698))+((ASSUMPTIONS!$C$18*J698*(1-ASSUMPTIONS!$C$20)+ASSUMPTIONS!$C$18*ASSUMPTIONS!$C$21-ASSUMPTIONS!$C$18*ASSUMPTIONS!$C$22)*(1+H698)^5*(1+K698)/(I698-K698)/(1+I698)^5)-DCF!$C$12)/ASSUMPTIONS!$C$7</f>
        <v/>
      </c>
    </row>
    <row r="699">
      <c r="H699" s="83">
        <f>_xlfn.NORM.INV(RAND(),AVERAGE(ASSUMPTIONS!$C$38,ASSUMPTIONS!$C$39,ASSUMPTIONS!$C$40,ASSUMPTIONS!$C$41,ASSUMPTIONS!$C$42),ASSUMPTIONS!$C$68)</f>
        <v/>
      </c>
      <c r="I699" s="83">
        <f>MAX(_xlfn.NORM.INV(RAND(),DCF!$C$11,ASSUMPTIONS!$C$69),K699+0.005)</f>
        <v/>
      </c>
      <c r="J699" s="83">
        <f>_xlfn.NORM.INV(RAND(),ASSUMPTIONS!$C$19,ASSUMPTIONS!$C$70)</f>
        <v/>
      </c>
      <c r="K699" s="83">
        <f>_xlfn.NORM.INV(RAND(),ASSUMPTIONS!$C$43,ASSUMPTIONS!$C$71)</f>
        <v/>
      </c>
      <c r="L699" s="84">
        <f>(((ASSUMPTIONS!$C$18*J699*(1-ASSUMPTIONS!$C$20)+ASSUMPTIONS!$C$18*ASSUMPTIONS!$C$21-ASSUMPTIONS!$C$18*ASSUMPTIONS!$C$22)*(1+H699)*(1-((1+H699)/(1+I699))^5)/(I699-H699))+((ASSUMPTIONS!$C$18*J699*(1-ASSUMPTIONS!$C$20)+ASSUMPTIONS!$C$18*ASSUMPTIONS!$C$21-ASSUMPTIONS!$C$18*ASSUMPTIONS!$C$22)*(1+H699)^5*(1+K699)/(I699-K699)/(1+I699)^5)-DCF!$C$12)/ASSUMPTIONS!$C$7</f>
        <v/>
      </c>
    </row>
    <row r="700">
      <c r="H700" s="83">
        <f>_xlfn.NORM.INV(RAND(),AVERAGE(ASSUMPTIONS!$C$38,ASSUMPTIONS!$C$39,ASSUMPTIONS!$C$40,ASSUMPTIONS!$C$41,ASSUMPTIONS!$C$42),ASSUMPTIONS!$C$68)</f>
        <v/>
      </c>
      <c r="I700" s="83">
        <f>MAX(_xlfn.NORM.INV(RAND(),DCF!$C$11,ASSUMPTIONS!$C$69),K700+0.005)</f>
        <v/>
      </c>
      <c r="J700" s="83">
        <f>_xlfn.NORM.INV(RAND(),ASSUMPTIONS!$C$19,ASSUMPTIONS!$C$70)</f>
        <v/>
      </c>
      <c r="K700" s="83">
        <f>_xlfn.NORM.INV(RAND(),ASSUMPTIONS!$C$43,ASSUMPTIONS!$C$71)</f>
        <v/>
      </c>
      <c r="L700" s="84">
        <f>(((ASSUMPTIONS!$C$18*J700*(1-ASSUMPTIONS!$C$20)+ASSUMPTIONS!$C$18*ASSUMPTIONS!$C$21-ASSUMPTIONS!$C$18*ASSUMPTIONS!$C$22)*(1+H700)*(1-((1+H700)/(1+I700))^5)/(I700-H700))+((ASSUMPTIONS!$C$18*J700*(1-ASSUMPTIONS!$C$20)+ASSUMPTIONS!$C$18*ASSUMPTIONS!$C$21-ASSUMPTIONS!$C$18*ASSUMPTIONS!$C$22)*(1+H700)^5*(1+K700)/(I700-K700)/(1+I700)^5)-DCF!$C$12)/ASSUMPTIONS!$C$7</f>
        <v/>
      </c>
    </row>
    <row r="701">
      <c r="H701" s="83">
        <f>_xlfn.NORM.INV(RAND(),AVERAGE(ASSUMPTIONS!$C$38,ASSUMPTIONS!$C$39,ASSUMPTIONS!$C$40,ASSUMPTIONS!$C$41,ASSUMPTIONS!$C$42),ASSUMPTIONS!$C$68)</f>
        <v/>
      </c>
      <c r="I701" s="83">
        <f>MAX(_xlfn.NORM.INV(RAND(),DCF!$C$11,ASSUMPTIONS!$C$69),K701+0.005)</f>
        <v/>
      </c>
      <c r="J701" s="83">
        <f>_xlfn.NORM.INV(RAND(),ASSUMPTIONS!$C$19,ASSUMPTIONS!$C$70)</f>
        <v/>
      </c>
      <c r="K701" s="83">
        <f>_xlfn.NORM.INV(RAND(),ASSUMPTIONS!$C$43,ASSUMPTIONS!$C$71)</f>
        <v/>
      </c>
      <c r="L701" s="84">
        <f>(((ASSUMPTIONS!$C$18*J701*(1-ASSUMPTIONS!$C$20)+ASSUMPTIONS!$C$18*ASSUMPTIONS!$C$21-ASSUMPTIONS!$C$18*ASSUMPTIONS!$C$22)*(1+H701)*(1-((1+H701)/(1+I701))^5)/(I701-H701))+((ASSUMPTIONS!$C$18*J701*(1-ASSUMPTIONS!$C$20)+ASSUMPTIONS!$C$18*ASSUMPTIONS!$C$21-ASSUMPTIONS!$C$18*ASSUMPTIONS!$C$22)*(1+H701)^5*(1+K701)/(I701-K701)/(1+I701)^5)-DCF!$C$12)/ASSUMPTIONS!$C$7</f>
        <v/>
      </c>
    </row>
    <row r="702">
      <c r="H702" s="83">
        <f>_xlfn.NORM.INV(RAND(),AVERAGE(ASSUMPTIONS!$C$38,ASSUMPTIONS!$C$39,ASSUMPTIONS!$C$40,ASSUMPTIONS!$C$41,ASSUMPTIONS!$C$42),ASSUMPTIONS!$C$68)</f>
        <v/>
      </c>
      <c r="I702" s="83">
        <f>MAX(_xlfn.NORM.INV(RAND(),DCF!$C$11,ASSUMPTIONS!$C$69),K702+0.005)</f>
        <v/>
      </c>
      <c r="J702" s="83">
        <f>_xlfn.NORM.INV(RAND(),ASSUMPTIONS!$C$19,ASSUMPTIONS!$C$70)</f>
        <v/>
      </c>
      <c r="K702" s="83">
        <f>_xlfn.NORM.INV(RAND(),ASSUMPTIONS!$C$43,ASSUMPTIONS!$C$71)</f>
        <v/>
      </c>
      <c r="L702" s="84">
        <f>(((ASSUMPTIONS!$C$18*J702*(1-ASSUMPTIONS!$C$20)+ASSUMPTIONS!$C$18*ASSUMPTIONS!$C$21-ASSUMPTIONS!$C$18*ASSUMPTIONS!$C$22)*(1+H702)*(1-((1+H702)/(1+I702))^5)/(I702-H702))+((ASSUMPTIONS!$C$18*J702*(1-ASSUMPTIONS!$C$20)+ASSUMPTIONS!$C$18*ASSUMPTIONS!$C$21-ASSUMPTIONS!$C$18*ASSUMPTIONS!$C$22)*(1+H702)^5*(1+K702)/(I702-K702)/(1+I702)^5)-DCF!$C$12)/ASSUMPTIONS!$C$7</f>
        <v/>
      </c>
    </row>
    <row r="703">
      <c r="H703" s="83">
        <f>_xlfn.NORM.INV(RAND(),AVERAGE(ASSUMPTIONS!$C$38,ASSUMPTIONS!$C$39,ASSUMPTIONS!$C$40,ASSUMPTIONS!$C$41,ASSUMPTIONS!$C$42),ASSUMPTIONS!$C$68)</f>
        <v/>
      </c>
      <c r="I703" s="83">
        <f>MAX(_xlfn.NORM.INV(RAND(),DCF!$C$11,ASSUMPTIONS!$C$69),K703+0.005)</f>
        <v/>
      </c>
      <c r="J703" s="83">
        <f>_xlfn.NORM.INV(RAND(),ASSUMPTIONS!$C$19,ASSUMPTIONS!$C$70)</f>
        <v/>
      </c>
      <c r="K703" s="83">
        <f>_xlfn.NORM.INV(RAND(),ASSUMPTIONS!$C$43,ASSUMPTIONS!$C$71)</f>
        <v/>
      </c>
      <c r="L703" s="84">
        <f>(((ASSUMPTIONS!$C$18*J703*(1-ASSUMPTIONS!$C$20)+ASSUMPTIONS!$C$18*ASSUMPTIONS!$C$21-ASSUMPTIONS!$C$18*ASSUMPTIONS!$C$22)*(1+H703)*(1-((1+H703)/(1+I703))^5)/(I703-H703))+((ASSUMPTIONS!$C$18*J703*(1-ASSUMPTIONS!$C$20)+ASSUMPTIONS!$C$18*ASSUMPTIONS!$C$21-ASSUMPTIONS!$C$18*ASSUMPTIONS!$C$22)*(1+H703)^5*(1+K703)/(I703-K703)/(1+I703)^5)-DCF!$C$12)/ASSUMPTIONS!$C$7</f>
        <v/>
      </c>
    </row>
    <row r="704">
      <c r="H704" s="83">
        <f>_xlfn.NORM.INV(RAND(),AVERAGE(ASSUMPTIONS!$C$38,ASSUMPTIONS!$C$39,ASSUMPTIONS!$C$40,ASSUMPTIONS!$C$41,ASSUMPTIONS!$C$42),ASSUMPTIONS!$C$68)</f>
        <v/>
      </c>
      <c r="I704" s="83">
        <f>MAX(_xlfn.NORM.INV(RAND(),DCF!$C$11,ASSUMPTIONS!$C$69),K704+0.005)</f>
        <v/>
      </c>
      <c r="J704" s="83">
        <f>_xlfn.NORM.INV(RAND(),ASSUMPTIONS!$C$19,ASSUMPTIONS!$C$70)</f>
        <v/>
      </c>
      <c r="K704" s="83">
        <f>_xlfn.NORM.INV(RAND(),ASSUMPTIONS!$C$43,ASSUMPTIONS!$C$71)</f>
        <v/>
      </c>
      <c r="L704" s="84">
        <f>(((ASSUMPTIONS!$C$18*J704*(1-ASSUMPTIONS!$C$20)+ASSUMPTIONS!$C$18*ASSUMPTIONS!$C$21-ASSUMPTIONS!$C$18*ASSUMPTIONS!$C$22)*(1+H704)*(1-((1+H704)/(1+I704))^5)/(I704-H704))+((ASSUMPTIONS!$C$18*J704*(1-ASSUMPTIONS!$C$20)+ASSUMPTIONS!$C$18*ASSUMPTIONS!$C$21-ASSUMPTIONS!$C$18*ASSUMPTIONS!$C$22)*(1+H704)^5*(1+K704)/(I704-K704)/(1+I704)^5)-DCF!$C$12)/ASSUMPTIONS!$C$7</f>
        <v/>
      </c>
    </row>
    <row r="705">
      <c r="H705" s="83">
        <f>_xlfn.NORM.INV(RAND(),AVERAGE(ASSUMPTIONS!$C$38,ASSUMPTIONS!$C$39,ASSUMPTIONS!$C$40,ASSUMPTIONS!$C$41,ASSUMPTIONS!$C$42),ASSUMPTIONS!$C$68)</f>
        <v/>
      </c>
      <c r="I705" s="83">
        <f>MAX(_xlfn.NORM.INV(RAND(),DCF!$C$11,ASSUMPTIONS!$C$69),K705+0.005)</f>
        <v/>
      </c>
      <c r="J705" s="83">
        <f>_xlfn.NORM.INV(RAND(),ASSUMPTIONS!$C$19,ASSUMPTIONS!$C$70)</f>
        <v/>
      </c>
      <c r="K705" s="83">
        <f>_xlfn.NORM.INV(RAND(),ASSUMPTIONS!$C$43,ASSUMPTIONS!$C$71)</f>
        <v/>
      </c>
      <c r="L705" s="84">
        <f>(((ASSUMPTIONS!$C$18*J705*(1-ASSUMPTIONS!$C$20)+ASSUMPTIONS!$C$18*ASSUMPTIONS!$C$21-ASSUMPTIONS!$C$18*ASSUMPTIONS!$C$22)*(1+H705)*(1-((1+H705)/(1+I705))^5)/(I705-H705))+((ASSUMPTIONS!$C$18*J705*(1-ASSUMPTIONS!$C$20)+ASSUMPTIONS!$C$18*ASSUMPTIONS!$C$21-ASSUMPTIONS!$C$18*ASSUMPTIONS!$C$22)*(1+H705)^5*(1+K705)/(I705-K705)/(1+I705)^5)-DCF!$C$12)/ASSUMPTIONS!$C$7</f>
        <v/>
      </c>
    </row>
    <row r="706">
      <c r="H706" s="83">
        <f>_xlfn.NORM.INV(RAND(),AVERAGE(ASSUMPTIONS!$C$38,ASSUMPTIONS!$C$39,ASSUMPTIONS!$C$40,ASSUMPTIONS!$C$41,ASSUMPTIONS!$C$42),ASSUMPTIONS!$C$68)</f>
        <v/>
      </c>
      <c r="I706" s="83">
        <f>MAX(_xlfn.NORM.INV(RAND(),DCF!$C$11,ASSUMPTIONS!$C$69),K706+0.005)</f>
        <v/>
      </c>
      <c r="J706" s="83">
        <f>_xlfn.NORM.INV(RAND(),ASSUMPTIONS!$C$19,ASSUMPTIONS!$C$70)</f>
        <v/>
      </c>
      <c r="K706" s="83">
        <f>_xlfn.NORM.INV(RAND(),ASSUMPTIONS!$C$43,ASSUMPTIONS!$C$71)</f>
        <v/>
      </c>
      <c r="L706" s="84">
        <f>(((ASSUMPTIONS!$C$18*J706*(1-ASSUMPTIONS!$C$20)+ASSUMPTIONS!$C$18*ASSUMPTIONS!$C$21-ASSUMPTIONS!$C$18*ASSUMPTIONS!$C$22)*(1+H706)*(1-((1+H706)/(1+I706))^5)/(I706-H706))+((ASSUMPTIONS!$C$18*J706*(1-ASSUMPTIONS!$C$20)+ASSUMPTIONS!$C$18*ASSUMPTIONS!$C$21-ASSUMPTIONS!$C$18*ASSUMPTIONS!$C$22)*(1+H706)^5*(1+K706)/(I706-K706)/(1+I706)^5)-DCF!$C$12)/ASSUMPTIONS!$C$7</f>
        <v/>
      </c>
    </row>
    <row r="707">
      <c r="H707" s="83">
        <f>_xlfn.NORM.INV(RAND(),AVERAGE(ASSUMPTIONS!$C$38,ASSUMPTIONS!$C$39,ASSUMPTIONS!$C$40,ASSUMPTIONS!$C$41,ASSUMPTIONS!$C$42),ASSUMPTIONS!$C$68)</f>
        <v/>
      </c>
      <c r="I707" s="83">
        <f>MAX(_xlfn.NORM.INV(RAND(),DCF!$C$11,ASSUMPTIONS!$C$69),K707+0.005)</f>
        <v/>
      </c>
      <c r="J707" s="83">
        <f>_xlfn.NORM.INV(RAND(),ASSUMPTIONS!$C$19,ASSUMPTIONS!$C$70)</f>
        <v/>
      </c>
      <c r="K707" s="83">
        <f>_xlfn.NORM.INV(RAND(),ASSUMPTIONS!$C$43,ASSUMPTIONS!$C$71)</f>
        <v/>
      </c>
      <c r="L707" s="84">
        <f>(((ASSUMPTIONS!$C$18*J707*(1-ASSUMPTIONS!$C$20)+ASSUMPTIONS!$C$18*ASSUMPTIONS!$C$21-ASSUMPTIONS!$C$18*ASSUMPTIONS!$C$22)*(1+H707)*(1-((1+H707)/(1+I707))^5)/(I707-H707))+((ASSUMPTIONS!$C$18*J707*(1-ASSUMPTIONS!$C$20)+ASSUMPTIONS!$C$18*ASSUMPTIONS!$C$21-ASSUMPTIONS!$C$18*ASSUMPTIONS!$C$22)*(1+H707)^5*(1+K707)/(I707-K707)/(1+I707)^5)-DCF!$C$12)/ASSUMPTIONS!$C$7</f>
        <v/>
      </c>
    </row>
    <row r="708">
      <c r="H708" s="83">
        <f>_xlfn.NORM.INV(RAND(),AVERAGE(ASSUMPTIONS!$C$38,ASSUMPTIONS!$C$39,ASSUMPTIONS!$C$40,ASSUMPTIONS!$C$41,ASSUMPTIONS!$C$42),ASSUMPTIONS!$C$68)</f>
        <v/>
      </c>
      <c r="I708" s="83">
        <f>MAX(_xlfn.NORM.INV(RAND(),DCF!$C$11,ASSUMPTIONS!$C$69),K708+0.005)</f>
        <v/>
      </c>
      <c r="J708" s="83">
        <f>_xlfn.NORM.INV(RAND(),ASSUMPTIONS!$C$19,ASSUMPTIONS!$C$70)</f>
        <v/>
      </c>
      <c r="K708" s="83">
        <f>_xlfn.NORM.INV(RAND(),ASSUMPTIONS!$C$43,ASSUMPTIONS!$C$71)</f>
        <v/>
      </c>
      <c r="L708" s="84">
        <f>(((ASSUMPTIONS!$C$18*J708*(1-ASSUMPTIONS!$C$20)+ASSUMPTIONS!$C$18*ASSUMPTIONS!$C$21-ASSUMPTIONS!$C$18*ASSUMPTIONS!$C$22)*(1+H708)*(1-((1+H708)/(1+I708))^5)/(I708-H708))+((ASSUMPTIONS!$C$18*J708*(1-ASSUMPTIONS!$C$20)+ASSUMPTIONS!$C$18*ASSUMPTIONS!$C$21-ASSUMPTIONS!$C$18*ASSUMPTIONS!$C$22)*(1+H708)^5*(1+K708)/(I708-K708)/(1+I708)^5)-DCF!$C$12)/ASSUMPTIONS!$C$7</f>
        <v/>
      </c>
    </row>
    <row r="709">
      <c r="H709" s="83">
        <f>_xlfn.NORM.INV(RAND(),AVERAGE(ASSUMPTIONS!$C$38,ASSUMPTIONS!$C$39,ASSUMPTIONS!$C$40,ASSUMPTIONS!$C$41,ASSUMPTIONS!$C$42),ASSUMPTIONS!$C$68)</f>
        <v/>
      </c>
      <c r="I709" s="83">
        <f>MAX(_xlfn.NORM.INV(RAND(),DCF!$C$11,ASSUMPTIONS!$C$69),K709+0.005)</f>
        <v/>
      </c>
      <c r="J709" s="83">
        <f>_xlfn.NORM.INV(RAND(),ASSUMPTIONS!$C$19,ASSUMPTIONS!$C$70)</f>
        <v/>
      </c>
      <c r="K709" s="83">
        <f>_xlfn.NORM.INV(RAND(),ASSUMPTIONS!$C$43,ASSUMPTIONS!$C$71)</f>
        <v/>
      </c>
      <c r="L709" s="84">
        <f>(((ASSUMPTIONS!$C$18*J709*(1-ASSUMPTIONS!$C$20)+ASSUMPTIONS!$C$18*ASSUMPTIONS!$C$21-ASSUMPTIONS!$C$18*ASSUMPTIONS!$C$22)*(1+H709)*(1-((1+H709)/(1+I709))^5)/(I709-H709))+((ASSUMPTIONS!$C$18*J709*(1-ASSUMPTIONS!$C$20)+ASSUMPTIONS!$C$18*ASSUMPTIONS!$C$21-ASSUMPTIONS!$C$18*ASSUMPTIONS!$C$22)*(1+H709)^5*(1+K709)/(I709-K709)/(1+I709)^5)-DCF!$C$12)/ASSUMPTIONS!$C$7</f>
        <v/>
      </c>
    </row>
    <row r="710">
      <c r="H710" s="83">
        <f>_xlfn.NORM.INV(RAND(),AVERAGE(ASSUMPTIONS!$C$38,ASSUMPTIONS!$C$39,ASSUMPTIONS!$C$40,ASSUMPTIONS!$C$41,ASSUMPTIONS!$C$42),ASSUMPTIONS!$C$68)</f>
        <v/>
      </c>
      <c r="I710" s="83">
        <f>MAX(_xlfn.NORM.INV(RAND(),DCF!$C$11,ASSUMPTIONS!$C$69),K710+0.005)</f>
        <v/>
      </c>
      <c r="J710" s="83">
        <f>_xlfn.NORM.INV(RAND(),ASSUMPTIONS!$C$19,ASSUMPTIONS!$C$70)</f>
        <v/>
      </c>
      <c r="K710" s="83">
        <f>_xlfn.NORM.INV(RAND(),ASSUMPTIONS!$C$43,ASSUMPTIONS!$C$71)</f>
        <v/>
      </c>
      <c r="L710" s="84">
        <f>(((ASSUMPTIONS!$C$18*J710*(1-ASSUMPTIONS!$C$20)+ASSUMPTIONS!$C$18*ASSUMPTIONS!$C$21-ASSUMPTIONS!$C$18*ASSUMPTIONS!$C$22)*(1+H710)*(1-((1+H710)/(1+I710))^5)/(I710-H710))+((ASSUMPTIONS!$C$18*J710*(1-ASSUMPTIONS!$C$20)+ASSUMPTIONS!$C$18*ASSUMPTIONS!$C$21-ASSUMPTIONS!$C$18*ASSUMPTIONS!$C$22)*(1+H710)^5*(1+K710)/(I710-K710)/(1+I710)^5)-DCF!$C$12)/ASSUMPTIONS!$C$7</f>
        <v/>
      </c>
    </row>
    <row r="711">
      <c r="H711" s="83">
        <f>_xlfn.NORM.INV(RAND(),AVERAGE(ASSUMPTIONS!$C$38,ASSUMPTIONS!$C$39,ASSUMPTIONS!$C$40,ASSUMPTIONS!$C$41,ASSUMPTIONS!$C$42),ASSUMPTIONS!$C$68)</f>
        <v/>
      </c>
      <c r="I711" s="83">
        <f>MAX(_xlfn.NORM.INV(RAND(),DCF!$C$11,ASSUMPTIONS!$C$69),K711+0.005)</f>
        <v/>
      </c>
      <c r="J711" s="83">
        <f>_xlfn.NORM.INV(RAND(),ASSUMPTIONS!$C$19,ASSUMPTIONS!$C$70)</f>
        <v/>
      </c>
      <c r="K711" s="83">
        <f>_xlfn.NORM.INV(RAND(),ASSUMPTIONS!$C$43,ASSUMPTIONS!$C$71)</f>
        <v/>
      </c>
      <c r="L711" s="84">
        <f>(((ASSUMPTIONS!$C$18*J711*(1-ASSUMPTIONS!$C$20)+ASSUMPTIONS!$C$18*ASSUMPTIONS!$C$21-ASSUMPTIONS!$C$18*ASSUMPTIONS!$C$22)*(1+H711)*(1-((1+H711)/(1+I711))^5)/(I711-H711))+((ASSUMPTIONS!$C$18*J711*(1-ASSUMPTIONS!$C$20)+ASSUMPTIONS!$C$18*ASSUMPTIONS!$C$21-ASSUMPTIONS!$C$18*ASSUMPTIONS!$C$22)*(1+H711)^5*(1+K711)/(I711-K711)/(1+I711)^5)-DCF!$C$12)/ASSUMPTIONS!$C$7</f>
        <v/>
      </c>
    </row>
    <row r="712">
      <c r="H712" s="83">
        <f>_xlfn.NORM.INV(RAND(),AVERAGE(ASSUMPTIONS!$C$38,ASSUMPTIONS!$C$39,ASSUMPTIONS!$C$40,ASSUMPTIONS!$C$41,ASSUMPTIONS!$C$42),ASSUMPTIONS!$C$68)</f>
        <v/>
      </c>
      <c r="I712" s="83">
        <f>MAX(_xlfn.NORM.INV(RAND(),DCF!$C$11,ASSUMPTIONS!$C$69),K712+0.005)</f>
        <v/>
      </c>
      <c r="J712" s="83">
        <f>_xlfn.NORM.INV(RAND(),ASSUMPTIONS!$C$19,ASSUMPTIONS!$C$70)</f>
        <v/>
      </c>
      <c r="K712" s="83">
        <f>_xlfn.NORM.INV(RAND(),ASSUMPTIONS!$C$43,ASSUMPTIONS!$C$71)</f>
        <v/>
      </c>
      <c r="L712" s="84">
        <f>(((ASSUMPTIONS!$C$18*J712*(1-ASSUMPTIONS!$C$20)+ASSUMPTIONS!$C$18*ASSUMPTIONS!$C$21-ASSUMPTIONS!$C$18*ASSUMPTIONS!$C$22)*(1+H712)*(1-((1+H712)/(1+I712))^5)/(I712-H712))+((ASSUMPTIONS!$C$18*J712*(1-ASSUMPTIONS!$C$20)+ASSUMPTIONS!$C$18*ASSUMPTIONS!$C$21-ASSUMPTIONS!$C$18*ASSUMPTIONS!$C$22)*(1+H712)^5*(1+K712)/(I712-K712)/(1+I712)^5)-DCF!$C$12)/ASSUMPTIONS!$C$7</f>
        <v/>
      </c>
    </row>
    <row r="713">
      <c r="H713" s="83">
        <f>_xlfn.NORM.INV(RAND(),AVERAGE(ASSUMPTIONS!$C$38,ASSUMPTIONS!$C$39,ASSUMPTIONS!$C$40,ASSUMPTIONS!$C$41,ASSUMPTIONS!$C$42),ASSUMPTIONS!$C$68)</f>
        <v/>
      </c>
      <c r="I713" s="83">
        <f>MAX(_xlfn.NORM.INV(RAND(),DCF!$C$11,ASSUMPTIONS!$C$69),K713+0.005)</f>
        <v/>
      </c>
      <c r="J713" s="83">
        <f>_xlfn.NORM.INV(RAND(),ASSUMPTIONS!$C$19,ASSUMPTIONS!$C$70)</f>
        <v/>
      </c>
      <c r="K713" s="83">
        <f>_xlfn.NORM.INV(RAND(),ASSUMPTIONS!$C$43,ASSUMPTIONS!$C$71)</f>
        <v/>
      </c>
      <c r="L713" s="84">
        <f>(((ASSUMPTIONS!$C$18*J713*(1-ASSUMPTIONS!$C$20)+ASSUMPTIONS!$C$18*ASSUMPTIONS!$C$21-ASSUMPTIONS!$C$18*ASSUMPTIONS!$C$22)*(1+H713)*(1-((1+H713)/(1+I713))^5)/(I713-H713))+((ASSUMPTIONS!$C$18*J713*(1-ASSUMPTIONS!$C$20)+ASSUMPTIONS!$C$18*ASSUMPTIONS!$C$21-ASSUMPTIONS!$C$18*ASSUMPTIONS!$C$22)*(1+H713)^5*(1+K713)/(I713-K713)/(1+I713)^5)-DCF!$C$12)/ASSUMPTIONS!$C$7</f>
        <v/>
      </c>
    </row>
    <row r="714">
      <c r="H714" s="83">
        <f>_xlfn.NORM.INV(RAND(),AVERAGE(ASSUMPTIONS!$C$38,ASSUMPTIONS!$C$39,ASSUMPTIONS!$C$40,ASSUMPTIONS!$C$41,ASSUMPTIONS!$C$42),ASSUMPTIONS!$C$68)</f>
        <v/>
      </c>
      <c r="I714" s="83">
        <f>MAX(_xlfn.NORM.INV(RAND(),DCF!$C$11,ASSUMPTIONS!$C$69),K714+0.005)</f>
        <v/>
      </c>
      <c r="J714" s="83">
        <f>_xlfn.NORM.INV(RAND(),ASSUMPTIONS!$C$19,ASSUMPTIONS!$C$70)</f>
        <v/>
      </c>
      <c r="K714" s="83">
        <f>_xlfn.NORM.INV(RAND(),ASSUMPTIONS!$C$43,ASSUMPTIONS!$C$71)</f>
        <v/>
      </c>
      <c r="L714" s="84">
        <f>(((ASSUMPTIONS!$C$18*J714*(1-ASSUMPTIONS!$C$20)+ASSUMPTIONS!$C$18*ASSUMPTIONS!$C$21-ASSUMPTIONS!$C$18*ASSUMPTIONS!$C$22)*(1+H714)*(1-((1+H714)/(1+I714))^5)/(I714-H714))+((ASSUMPTIONS!$C$18*J714*(1-ASSUMPTIONS!$C$20)+ASSUMPTIONS!$C$18*ASSUMPTIONS!$C$21-ASSUMPTIONS!$C$18*ASSUMPTIONS!$C$22)*(1+H714)^5*(1+K714)/(I714-K714)/(1+I714)^5)-DCF!$C$12)/ASSUMPTIONS!$C$7</f>
        <v/>
      </c>
    </row>
    <row r="715">
      <c r="H715" s="83">
        <f>_xlfn.NORM.INV(RAND(),AVERAGE(ASSUMPTIONS!$C$38,ASSUMPTIONS!$C$39,ASSUMPTIONS!$C$40,ASSUMPTIONS!$C$41,ASSUMPTIONS!$C$42),ASSUMPTIONS!$C$68)</f>
        <v/>
      </c>
      <c r="I715" s="83">
        <f>MAX(_xlfn.NORM.INV(RAND(),DCF!$C$11,ASSUMPTIONS!$C$69),K715+0.005)</f>
        <v/>
      </c>
      <c r="J715" s="83">
        <f>_xlfn.NORM.INV(RAND(),ASSUMPTIONS!$C$19,ASSUMPTIONS!$C$70)</f>
        <v/>
      </c>
      <c r="K715" s="83">
        <f>_xlfn.NORM.INV(RAND(),ASSUMPTIONS!$C$43,ASSUMPTIONS!$C$71)</f>
        <v/>
      </c>
      <c r="L715" s="84">
        <f>(((ASSUMPTIONS!$C$18*J715*(1-ASSUMPTIONS!$C$20)+ASSUMPTIONS!$C$18*ASSUMPTIONS!$C$21-ASSUMPTIONS!$C$18*ASSUMPTIONS!$C$22)*(1+H715)*(1-((1+H715)/(1+I715))^5)/(I715-H715))+((ASSUMPTIONS!$C$18*J715*(1-ASSUMPTIONS!$C$20)+ASSUMPTIONS!$C$18*ASSUMPTIONS!$C$21-ASSUMPTIONS!$C$18*ASSUMPTIONS!$C$22)*(1+H715)^5*(1+K715)/(I715-K715)/(1+I715)^5)-DCF!$C$12)/ASSUMPTIONS!$C$7</f>
        <v/>
      </c>
    </row>
    <row r="716">
      <c r="H716" s="83">
        <f>_xlfn.NORM.INV(RAND(),AVERAGE(ASSUMPTIONS!$C$38,ASSUMPTIONS!$C$39,ASSUMPTIONS!$C$40,ASSUMPTIONS!$C$41,ASSUMPTIONS!$C$42),ASSUMPTIONS!$C$68)</f>
        <v/>
      </c>
      <c r="I716" s="83">
        <f>MAX(_xlfn.NORM.INV(RAND(),DCF!$C$11,ASSUMPTIONS!$C$69),K716+0.005)</f>
        <v/>
      </c>
      <c r="J716" s="83">
        <f>_xlfn.NORM.INV(RAND(),ASSUMPTIONS!$C$19,ASSUMPTIONS!$C$70)</f>
        <v/>
      </c>
      <c r="K716" s="83">
        <f>_xlfn.NORM.INV(RAND(),ASSUMPTIONS!$C$43,ASSUMPTIONS!$C$71)</f>
        <v/>
      </c>
      <c r="L716" s="84">
        <f>(((ASSUMPTIONS!$C$18*J716*(1-ASSUMPTIONS!$C$20)+ASSUMPTIONS!$C$18*ASSUMPTIONS!$C$21-ASSUMPTIONS!$C$18*ASSUMPTIONS!$C$22)*(1+H716)*(1-((1+H716)/(1+I716))^5)/(I716-H716))+((ASSUMPTIONS!$C$18*J716*(1-ASSUMPTIONS!$C$20)+ASSUMPTIONS!$C$18*ASSUMPTIONS!$C$21-ASSUMPTIONS!$C$18*ASSUMPTIONS!$C$22)*(1+H716)^5*(1+K716)/(I716-K716)/(1+I716)^5)-DCF!$C$12)/ASSUMPTIONS!$C$7</f>
        <v/>
      </c>
    </row>
    <row r="717">
      <c r="H717" s="83">
        <f>_xlfn.NORM.INV(RAND(),AVERAGE(ASSUMPTIONS!$C$38,ASSUMPTIONS!$C$39,ASSUMPTIONS!$C$40,ASSUMPTIONS!$C$41,ASSUMPTIONS!$C$42),ASSUMPTIONS!$C$68)</f>
        <v/>
      </c>
      <c r="I717" s="83">
        <f>MAX(_xlfn.NORM.INV(RAND(),DCF!$C$11,ASSUMPTIONS!$C$69),K717+0.005)</f>
        <v/>
      </c>
      <c r="J717" s="83">
        <f>_xlfn.NORM.INV(RAND(),ASSUMPTIONS!$C$19,ASSUMPTIONS!$C$70)</f>
        <v/>
      </c>
      <c r="K717" s="83">
        <f>_xlfn.NORM.INV(RAND(),ASSUMPTIONS!$C$43,ASSUMPTIONS!$C$71)</f>
        <v/>
      </c>
      <c r="L717" s="84">
        <f>(((ASSUMPTIONS!$C$18*J717*(1-ASSUMPTIONS!$C$20)+ASSUMPTIONS!$C$18*ASSUMPTIONS!$C$21-ASSUMPTIONS!$C$18*ASSUMPTIONS!$C$22)*(1+H717)*(1-((1+H717)/(1+I717))^5)/(I717-H717))+((ASSUMPTIONS!$C$18*J717*(1-ASSUMPTIONS!$C$20)+ASSUMPTIONS!$C$18*ASSUMPTIONS!$C$21-ASSUMPTIONS!$C$18*ASSUMPTIONS!$C$22)*(1+H717)^5*(1+K717)/(I717-K717)/(1+I717)^5)-DCF!$C$12)/ASSUMPTIONS!$C$7</f>
        <v/>
      </c>
    </row>
    <row r="718">
      <c r="H718" s="83">
        <f>_xlfn.NORM.INV(RAND(),AVERAGE(ASSUMPTIONS!$C$38,ASSUMPTIONS!$C$39,ASSUMPTIONS!$C$40,ASSUMPTIONS!$C$41,ASSUMPTIONS!$C$42),ASSUMPTIONS!$C$68)</f>
        <v/>
      </c>
      <c r="I718" s="83">
        <f>MAX(_xlfn.NORM.INV(RAND(),DCF!$C$11,ASSUMPTIONS!$C$69),K718+0.005)</f>
        <v/>
      </c>
      <c r="J718" s="83">
        <f>_xlfn.NORM.INV(RAND(),ASSUMPTIONS!$C$19,ASSUMPTIONS!$C$70)</f>
        <v/>
      </c>
      <c r="K718" s="83">
        <f>_xlfn.NORM.INV(RAND(),ASSUMPTIONS!$C$43,ASSUMPTIONS!$C$71)</f>
        <v/>
      </c>
      <c r="L718" s="84">
        <f>(((ASSUMPTIONS!$C$18*J718*(1-ASSUMPTIONS!$C$20)+ASSUMPTIONS!$C$18*ASSUMPTIONS!$C$21-ASSUMPTIONS!$C$18*ASSUMPTIONS!$C$22)*(1+H718)*(1-((1+H718)/(1+I718))^5)/(I718-H718))+((ASSUMPTIONS!$C$18*J718*(1-ASSUMPTIONS!$C$20)+ASSUMPTIONS!$C$18*ASSUMPTIONS!$C$21-ASSUMPTIONS!$C$18*ASSUMPTIONS!$C$22)*(1+H718)^5*(1+K718)/(I718-K718)/(1+I718)^5)-DCF!$C$12)/ASSUMPTIONS!$C$7</f>
        <v/>
      </c>
    </row>
    <row r="719">
      <c r="H719" s="83">
        <f>_xlfn.NORM.INV(RAND(),AVERAGE(ASSUMPTIONS!$C$38,ASSUMPTIONS!$C$39,ASSUMPTIONS!$C$40,ASSUMPTIONS!$C$41,ASSUMPTIONS!$C$42),ASSUMPTIONS!$C$68)</f>
        <v/>
      </c>
      <c r="I719" s="83">
        <f>MAX(_xlfn.NORM.INV(RAND(),DCF!$C$11,ASSUMPTIONS!$C$69),K719+0.005)</f>
        <v/>
      </c>
      <c r="J719" s="83">
        <f>_xlfn.NORM.INV(RAND(),ASSUMPTIONS!$C$19,ASSUMPTIONS!$C$70)</f>
        <v/>
      </c>
      <c r="K719" s="83">
        <f>_xlfn.NORM.INV(RAND(),ASSUMPTIONS!$C$43,ASSUMPTIONS!$C$71)</f>
        <v/>
      </c>
      <c r="L719" s="84">
        <f>(((ASSUMPTIONS!$C$18*J719*(1-ASSUMPTIONS!$C$20)+ASSUMPTIONS!$C$18*ASSUMPTIONS!$C$21-ASSUMPTIONS!$C$18*ASSUMPTIONS!$C$22)*(1+H719)*(1-((1+H719)/(1+I719))^5)/(I719-H719))+((ASSUMPTIONS!$C$18*J719*(1-ASSUMPTIONS!$C$20)+ASSUMPTIONS!$C$18*ASSUMPTIONS!$C$21-ASSUMPTIONS!$C$18*ASSUMPTIONS!$C$22)*(1+H719)^5*(1+K719)/(I719-K719)/(1+I719)^5)-DCF!$C$12)/ASSUMPTIONS!$C$7</f>
        <v/>
      </c>
    </row>
    <row r="720">
      <c r="H720" s="83">
        <f>_xlfn.NORM.INV(RAND(),AVERAGE(ASSUMPTIONS!$C$38,ASSUMPTIONS!$C$39,ASSUMPTIONS!$C$40,ASSUMPTIONS!$C$41,ASSUMPTIONS!$C$42),ASSUMPTIONS!$C$68)</f>
        <v/>
      </c>
      <c r="I720" s="83">
        <f>MAX(_xlfn.NORM.INV(RAND(),DCF!$C$11,ASSUMPTIONS!$C$69),K720+0.005)</f>
        <v/>
      </c>
      <c r="J720" s="83">
        <f>_xlfn.NORM.INV(RAND(),ASSUMPTIONS!$C$19,ASSUMPTIONS!$C$70)</f>
        <v/>
      </c>
      <c r="K720" s="83">
        <f>_xlfn.NORM.INV(RAND(),ASSUMPTIONS!$C$43,ASSUMPTIONS!$C$71)</f>
        <v/>
      </c>
      <c r="L720" s="84">
        <f>(((ASSUMPTIONS!$C$18*J720*(1-ASSUMPTIONS!$C$20)+ASSUMPTIONS!$C$18*ASSUMPTIONS!$C$21-ASSUMPTIONS!$C$18*ASSUMPTIONS!$C$22)*(1+H720)*(1-((1+H720)/(1+I720))^5)/(I720-H720))+((ASSUMPTIONS!$C$18*J720*(1-ASSUMPTIONS!$C$20)+ASSUMPTIONS!$C$18*ASSUMPTIONS!$C$21-ASSUMPTIONS!$C$18*ASSUMPTIONS!$C$22)*(1+H720)^5*(1+K720)/(I720-K720)/(1+I720)^5)-DCF!$C$12)/ASSUMPTIONS!$C$7</f>
        <v/>
      </c>
    </row>
    <row r="721">
      <c r="H721" s="83">
        <f>_xlfn.NORM.INV(RAND(),AVERAGE(ASSUMPTIONS!$C$38,ASSUMPTIONS!$C$39,ASSUMPTIONS!$C$40,ASSUMPTIONS!$C$41,ASSUMPTIONS!$C$42),ASSUMPTIONS!$C$68)</f>
        <v/>
      </c>
      <c r="I721" s="83">
        <f>MAX(_xlfn.NORM.INV(RAND(),DCF!$C$11,ASSUMPTIONS!$C$69),K721+0.005)</f>
        <v/>
      </c>
      <c r="J721" s="83">
        <f>_xlfn.NORM.INV(RAND(),ASSUMPTIONS!$C$19,ASSUMPTIONS!$C$70)</f>
        <v/>
      </c>
      <c r="K721" s="83">
        <f>_xlfn.NORM.INV(RAND(),ASSUMPTIONS!$C$43,ASSUMPTIONS!$C$71)</f>
        <v/>
      </c>
      <c r="L721" s="84">
        <f>(((ASSUMPTIONS!$C$18*J721*(1-ASSUMPTIONS!$C$20)+ASSUMPTIONS!$C$18*ASSUMPTIONS!$C$21-ASSUMPTIONS!$C$18*ASSUMPTIONS!$C$22)*(1+H721)*(1-((1+H721)/(1+I721))^5)/(I721-H721))+((ASSUMPTIONS!$C$18*J721*(1-ASSUMPTIONS!$C$20)+ASSUMPTIONS!$C$18*ASSUMPTIONS!$C$21-ASSUMPTIONS!$C$18*ASSUMPTIONS!$C$22)*(1+H721)^5*(1+K721)/(I721-K721)/(1+I721)^5)-DCF!$C$12)/ASSUMPTIONS!$C$7</f>
        <v/>
      </c>
    </row>
    <row r="722">
      <c r="H722" s="83">
        <f>_xlfn.NORM.INV(RAND(),AVERAGE(ASSUMPTIONS!$C$38,ASSUMPTIONS!$C$39,ASSUMPTIONS!$C$40,ASSUMPTIONS!$C$41,ASSUMPTIONS!$C$42),ASSUMPTIONS!$C$68)</f>
        <v/>
      </c>
      <c r="I722" s="83">
        <f>MAX(_xlfn.NORM.INV(RAND(),DCF!$C$11,ASSUMPTIONS!$C$69),K722+0.005)</f>
        <v/>
      </c>
      <c r="J722" s="83">
        <f>_xlfn.NORM.INV(RAND(),ASSUMPTIONS!$C$19,ASSUMPTIONS!$C$70)</f>
        <v/>
      </c>
      <c r="K722" s="83">
        <f>_xlfn.NORM.INV(RAND(),ASSUMPTIONS!$C$43,ASSUMPTIONS!$C$71)</f>
        <v/>
      </c>
      <c r="L722" s="84">
        <f>(((ASSUMPTIONS!$C$18*J722*(1-ASSUMPTIONS!$C$20)+ASSUMPTIONS!$C$18*ASSUMPTIONS!$C$21-ASSUMPTIONS!$C$18*ASSUMPTIONS!$C$22)*(1+H722)*(1-((1+H722)/(1+I722))^5)/(I722-H722))+((ASSUMPTIONS!$C$18*J722*(1-ASSUMPTIONS!$C$20)+ASSUMPTIONS!$C$18*ASSUMPTIONS!$C$21-ASSUMPTIONS!$C$18*ASSUMPTIONS!$C$22)*(1+H722)^5*(1+K722)/(I722-K722)/(1+I722)^5)-DCF!$C$12)/ASSUMPTIONS!$C$7</f>
        <v/>
      </c>
    </row>
    <row r="723">
      <c r="H723" s="83">
        <f>_xlfn.NORM.INV(RAND(),AVERAGE(ASSUMPTIONS!$C$38,ASSUMPTIONS!$C$39,ASSUMPTIONS!$C$40,ASSUMPTIONS!$C$41,ASSUMPTIONS!$C$42),ASSUMPTIONS!$C$68)</f>
        <v/>
      </c>
      <c r="I723" s="83">
        <f>MAX(_xlfn.NORM.INV(RAND(),DCF!$C$11,ASSUMPTIONS!$C$69),K723+0.005)</f>
        <v/>
      </c>
      <c r="J723" s="83">
        <f>_xlfn.NORM.INV(RAND(),ASSUMPTIONS!$C$19,ASSUMPTIONS!$C$70)</f>
        <v/>
      </c>
      <c r="K723" s="83">
        <f>_xlfn.NORM.INV(RAND(),ASSUMPTIONS!$C$43,ASSUMPTIONS!$C$71)</f>
        <v/>
      </c>
      <c r="L723" s="84">
        <f>(((ASSUMPTIONS!$C$18*J723*(1-ASSUMPTIONS!$C$20)+ASSUMPTIONS!$C$18*ASSUMPTIONS!$C$21-ASSUMPTIONS!$C$18*ASSUMPTIONS!$C$22)*(1+H723)*(1-((1+H723)/(1+I723))^5)/(I723-H723))+((ASSUMPTIONS!$C$18*J723*(1-ASSUMPTIONS!$C$20)+ASSUMPTIONS!$C$18*ASSUMPTIONS!$C$21-ASSUMPTIONS!$C$18*ASSUMPTIONS!$C$22)*(1+H723)^5*(1+K723)/(I723-K723)/(1+I723)^5)-DCF!$C$12)/ASSUMPTIONS!$C$7</f>
        <v/>
      </c>
    </row>
    <row r="724">
      <c r="H724" s="83">
        <f>_xlfn.NORM.INV(RAND(),AVERAGE(ASSUMPTIONS!$C$38,ASSUMPTIONS!$C$39,ASSUMPTIONS!$C$40,ASSUMPTIONS!$C$41,ASSUMPTIONS!$C$42),ASSUMPTIONS!$C$68)</f>
        <v/>
      </c>
      <c r="I724" s="83">
        <f>MAX(_xlfn.NORM.INV(RAND(),DCF!$C$11,ASSUMPTIONS!$C$69),K724+0.005)</f>
        <v/>
      </c>
      <c r="J724" s="83">
        <f>_xlfn.NORM.INV(RAND(),ASSUMPTIONS!$C$19,ASSUMPTIONS!$C$70)</f>
        <v/>
      </c>
      <c r="K724" s="83">
        <f>_xlfn.NORM.INV(RAND(),ASSUMPTIONS!$C$43,ASSUMPTIONS!$C$71)</f>
        <v/>
      </c>
      <c r="L724" s="84">
        <f>(((ASSUMPTIONS!$C$18*J724*(1-ASSUMPTIONS!$C$20)+ASSUMPTIONS!$C$18*ASSUMPTIONS!$C$21-ASSUMPTIONS!$C$18*ASSUMPTIONS!$C$22)*(1+H724)*(1-((1+H724)/(1+I724))^5)/(I724-H724))+((ASSUMPTIONS!$C$18*J724*(1-ASSUMPTIONS!$C$20)+ASSUMPTIONS!$C$18*ASSUMPTIONS!$C$21-ASSUMPTIONS!$C$18*ASSUMPTIONS!$C$22)*(1+H724)^5*(1+K724)/(I724-K724)/(1+I724)^5)-DCF!$C$12)/ASSUMPTIONS!$C$7</f>
        <v/>
      </c>
    </row>
    <row r="725">
      <c r="H725" s="83">
        <f>_xlfn.NORM.INV(RAND(),AVERAGE(ASSUMPTIONS!$C$38,ASSUMPTIONS!$C$39,ASSUMPTIONS!$C$40,ASSUMPTIONS!$C$41,ASSUMPTIONS!$C$42),ASSUMPTIONS!$C$68)</f>
        <v/>
      </c>
      <c r="I725" s="83">
        <f>MAX(_xlfn.NORM.INV(RAND(),DCF!$C$11,ASSUMPTIONS!$C$69),K725+0.005)</f>
        <v/>
      </c>
      <c r="J725" s="83">
        <f>_xlfn.NORM.INV(RAND(),ASSUMPTIONS!$C$19,ASSUMPTIONS!$C$70)</f>
        <v/>
      </c>
      <c r="K725" s="83">
        <f>_xlfn.NORM.INV(RAND(),ASSUMPTIONS!$C$43,ASSUMPTIONS!$C$71)</f>
        <v/>
      </c>
      <c r="L725" s="84">
        <f>(((ASSUMPTIONS!$C$18*J725*(1-ASSUMPTIONS!$C$20)+ASSUMPTIONS!$C$18*ASSUMPTIONS!$C$21-ASSUMPTIONS!$C$18*ASSUMPTIONS!$C$22)*(1+H725)*(1-((1+H725)/(1+I725))^5)/(I725-H725))+((ASSUMPTIONS!$C$18*J725*(1-ASSUMPTIONS!$C$20)+ASSUMPTIONS!$C$18*ASSUMPTIONS!$C$21-ASSUMPTIONS!$C$18*ASSUMPTIONS!$C$22)*(1+H725)^5*(1+K725)/(I725-K725)/(1+I725)^5)-DCF!$C$12)/ASSUMPTIONS!$C$7</f>
        <v/>
      </c>
    </row>
    <row r="726">
      <c r="H726" s="83">
        <f>_xlfn.NORM.INV(RAND(),AVERAGE(ASSUMPTIONS!$C$38,ASSUMPTIONS!$C$39,ASSUMPTIONS!$C$40,ASSUMPTIONS!$C$41,ASSUMPTIONS!$C$42),ASSUMPTIONS!$C$68)</f>
        <v/>
      </c>
      <c r="I726" s="83">
        <f>MAX(_xlfn.NORM.INV(RAND(),DCF!$C$11,ASSUMPTIONS!$C$69),K726+0.005)</f>
        <v/>
      </c>
      <c r="J726" s="83">
        <f>_xlfn.NORM.INV(RAND(),ASSUMPTIONS!$C$19,ASSUMPTIONS!$C$70)</f>
        <v/>
      </c>
      <c r="K726" s="83">
        <f>_xlfn.NORM.INV(RAND(),ASSUMPTIONS!$C$43,ASSUMPTIONS!$C$71)</f>
        <v/>
      </c>
      <c r="L726" s="84">
        <f>(((ASSUMPTIONS!$C$18*J726*(1-ASSUMPTIONS!$C$20)+ASSUMPTIONS!$C$18*ASSUMPTIONS!$C$21-ASSUMPTIONS!$C$18*ASSUMPTIONS!$C$22)*(1+H726)*(1-((1+H726)/(1+I726))^5)/(I726-H726))+((ASSUMPTIONS!$C$18*J726*(1-ASSUMPTIONS!$C$20)+ASSUMPTIONS!$C$18*ASSUMPTIONS!$C$21-ASSUMPTIONS!$C$18*ASSUMPTIONS!$C$22)*(1+H726)^5*(1+K726)/(I726-K726)/(1+I726)^5)-DCF!$C$12)/ASSUMPTIONS!$C$7</f>
        <v/>
      </c>
    </row>
    <row r="727">
      <c r="H727" s="83">
        <f>_xlfn.NORM.INV(RAND(),AVERAGE(ASSUMPTIONS!$C$38,ASSUMPTIONS!$C$39,ASSUMPTIONS!$C$40,ASSUMPTIONS!$C$41,ASSUMPTIONS!$C$42),ASSUMPTIONS!$C$68)</f>
        <v/>
      </c>
      <c r="I727" s="83">
        <f>MAX(_xlfn.NORM.INV(RAND(),DCF!$C$11,ASSUMPTIONS!$C$69),K727+0.005)</f>
        <v/>
      </c>
      <c r="J727" s="83">
        <f>_xlfn.NORM.INV(RAND(),ASSUMPTIONS!$C$19,ASSUMPTIONS!$C$70)</f>
        <v/>
      </c>
      <c r="K727" s="83">
        <f>_xlfn.NORM.INV(RAND(),ASSUMPTIONS!$C$43,ASSUMPTIONS!$C$71)</f>
        <v/>
      </c>
      <c r="L727" s="84">
        <f>(((ASSUMPTIONS!$C$18*J727*(1-ASSUMPTIONS!$C$20)+ASSUMPTIONS!$C$18*ASSUMPTIONS!$C$21-ASSUMPTIONS!$C$18*ASSUMPTIONS!$C$22)*(1+H727)*(1-((1+H727)/(1+I727))^5)/(I727-H727))+((ASSUMPTIONS!$C$18*J727*(1-ASSUMPTIONS!$C$20)+ASSUMPTIONS!$C$18*ASSUMPTIONS!$C$21-ASSUMPTIONS!$C$18*ASSUMPTIONS!$C$22)*(1+H727)^5*(1+K727)/(I727-K727)/(1+I727)^5)-DCF!$C$12)/ASSUMPTIONS!$C$7</f>
        <v/>
      </c>
    </row>
    <row r="728">
      <c r="H728" s="83">
        <f>_xlfn.NORM.INV(RAND(),AVERAGE(ASSUMPTIONS!$C$38,ASSUMPTIONS!$C$39,ASSUMPTIONS!$C$40,ASSUMPTIONS!$C$41,ASSUMPTIONS!$C$42),ASSUMPTIONS!$C$68)</f>
        <v/>
      </c>
      <c r="I728" s="83">
        <f>MAX(_xlfn.NORM.INV(RAND(),DCF!$C$11,ASSUMPTIONS!$C$69),K728+0.005)</f>
        <v/>
      </c>
      <c r="J728" s="83">
        <f>_xlfn.NORM.INV(RAND(),ASSUMPTIONS!$C$19,ASSUMPTIONS!$C$70)</f>
        <v/>
      </c>
      <c r="K728" s="83">
        <f>_xlfn.NORM.INV(RAND(),ASSUMPTIONS!$C$43,ASSUMPTIONS!$C$71)</f>
        <v/>
      </c>
      <c r="L728" s="84">
        <f>(((ASSUMPTIONS!$C$18*J728*(1-ASSUMPTIONS!$C$20)+ASSUMPTIONS!$C$18*ASSUMPTIONS!$C$21-ASSUMPTIONS!$C$18*ASSUMPTIONS!$C$22)*(1+H728)*(1-((1+H728)/(1+I728))^5)/(I728-H728))+((ASSUMPTIONS!$C$18*J728*(1-ASSUMPTIONS!$C$20)+ASSUMPTIONS!$C$18*ASSUMPTIONS!$C$21-ASSUMPTIONS!$C$18*ASSUMPTIONS!$C$22)*(1+H728)^5*(1+K728)/(I728-K728)/(1+I728)^5)-DCF!$C$12)/ASSUMPTIONS!$C$7</f>
        <v/>
      </c>
    </row>
    <row r="729">
      <c r="H729" s="83">
        <f>_xlfn.NORM.INV(RAND(),AVERAGE(ASSUMPTIONS!$C$38,ASSUMPTIONS!$C$39,ASSUMPTIONS!$C$40,ASSUMPTIONS!$C$41,ASSUMPTIONS!$C$42),ASSUMPTIONS!$C$68)</f>
        <v/>
      </c>
      <c r="I729" s="83">
        <f>MAX(_xlfn.NORM.INV(RAND(),DCF!$C$11,ASSUMPTIONS!$C$69),K729+0.005)</f>
        <v/>
      </c>
      <c r="J729" s="83">
        <f>_xlfn.NORM.INV(RAND(),ASSUMPTIONS!$C$19,ASSUMPTIONS!$C$70)</f>
        <v/>
      </c>
      <c r="K729" s="83">
        <f>_xlfn.NORM.INV(RAND(),ASSUMPTIONS!$C$43,ASSUMPTIONS!$C$71)</f>
        <v/>
      </c>
      <c r="L729" s="84">
        <f>(((ASSUMPTIONS!$C$18*J729*(1-ASSUMPTIONS!$C$20)+ASSUMPTIONS!$C$18*ASSUMPTIONS!$C$21-ASSUMPTIONS!$C$18*ASSUMPTIONS!$C$22)*(1+H729)*(1-((1+H729)/(1+I729))^5)/(I729-H729))+((ASSUMPTIONS!$C$18*J729*(1-ASSUMPTIONS!$C$20)+ASSUMPTIONS!$C$18*ASSUMPTIONS!$C$21-ASSUMPTIONS!$C$18*ASSUMPTIONS!$C$22)*(1+H729)^5*(1+K729)/(I729-K729)/(1+I729)^5)-DCF!$C$12)/ASSUMPTIONS!$C$7</f>
        <v/>
      </c>
    </row>
    <row r="730">
      <c r="H730" s="83">
        <f>_xlfn.NORM.INV(RAND(),AVERAGE(ASSUMPTIONS!$C$38,ASSUMPTIONS!$C$39,ASSUMPTIONS!$C$40,ASSUMPTIONS!$C$41,ASSUMPTIONS!$C$42),ASSUMPTIONS!$C$68)</f>
        <v/>
      </c>
      <c r="I730" s="83">
        <f>MAX(_xlfn.NORM.INV(RAND(),DCF!$C$11,ASSUMPTIONS!$C$69),K730+0.005)</f>
        <v/>
      </c>
      <c r="J730" s="83">
        <f>_xlfn.NORM.INV(RAND(),ASSUMPTIONS!$C$19,ASSUMPTIONS!$C$70)</f>
        <v/>
      </c>
      <c r="K730" s="83">
        <f>_xlfn.NORM.INV(RAND(),ASSUMPTIONS!$C$43,ASSUMPTIONS!$C$71)</f>
        <v/>
      </c>
      <c r="L730" s="84">
        <f>(((ASSUMPTIONS!$C$18*J730*(1-ASSUMPTIONS!$C$20)+ASSUMPTIONS!$C$18*ASSUMPTIONS!$C$21-ASSUMPTIONS!$C$18*ASSUMPTIONS!$C$22)*(1+H730)*(1-((1+H730)/(1+I730))^5)/(I730-H730))+((ASSUMPTIONS!$C$18*J730*(1-ASSUMPTIONS!$C$20)+ASSUMPTIONS!$C$18*ASSUMPTIONS!$C$21-ASSUMPTIONS!$C$18*ASSUMPTIONS!$C$22)*(1+H730)^5*(1+K730)/(I730-K730)/(1+I730)^5)-DCF!$C$12)/ASSUMPTIONS!$C$7</f>
        <v/>
      </c>
    </row>
    <row r="731">
      <c r="H731" s="83">
        <f>_xlfn.NORM.INV(RAND(),AVERAGE(ASSUMPTIONS!$C$38,ASSUMPTIONS!$C$39,ASSUMPTIONS!$C$40,ASSUMPTIONS!$C$41,ASSUMPTIONS!$C$42),ASSUMPTIONS!$C$68)</f>
        <v/>
      </c>
      <c r="I731" s="83">
        <f>MAX(_xlfn.NORM.INV(RAND(),DCF!$C$11,ASSUMPTIONS!$C$69),K731+0.005)</f>
        <v/>
      </c>
      <c r="J731" s="83">
        <f>_xlfn.NORM.INV(RAND(),ASSUMPTIONS!$C$19,ASSUMPTIONS!$C$70)</f>
        <v/>
      </c>
      <c r="K731" s="83">
        <f>_xlfn.NORM.INV(RAND(),ASSUMPTIONS!$C$43,ASSUMPTIONS!$C$71)</f>
        <v/>
      </c>
      <c r="L731" s="84">
        <f>(((ASSUMPTIONS!$C$18*J731*(1-ASSUMPTIONS!$C$20)+ASSUMPTIONS!$C$18*ASSUMPTIONS!$C$21-ASSUMPTIONS!$C$18*ASSUMPTIONS!$C$22)*(1+H731)*(1-((1+H731)/(1+I731))^5)/(I731-H731))+((ASSUMPTIONS!$C$18*J731*(1-ASSUMPTIONS!$C$20)+ASSUMPTIONS!$C$18*ASSUMPTIONS!$C$21-ASSUMPTIONS!$C$18*ASSUMPTIONS!$C$22)*(1+H731)^5*(1+K731)/(I731-K731)/(1+I731)^5)-DCF!$C$12)/ASSUMPTIONS!$C$7</f>
        <v/>
      </c>
    </row>
    <row r="732">
      <c r="H732" s="83">
        <f>_xlfn.NORM.INV(RAND(),AVERAGE(ASSUMPTIONS!$C$38,ASSUMPTIONS!$C$39,ASSUMPTIONS!$C$40,ASSUMPTIONS!$C$41,ASSUMPTIONS!$C$42),ASSUMPTIONS!$C$68)</f>
        <v/>
      </c>
      <c r="I732" s="83">
        <f>MAX(_xlfn.NORM.INV(RAND(),DCF!$C$11,ASSUMPTIONS!$C$69),K732+0.005)</f>
        <v/>
      </c>
      <c r="J732" s="83">
        <f>_xlfn.NORM.INV(RAND(),ASSUMPTIONS!$C$19,ASSUMPTIONS!$C$70)</f>
        <v/>
      </c>
      <c r="K732" s="83">
        <f>_xlfn.NORM.INV(RAND(),ASSUMPTIONS!$C$43,ASSUMPTIONS!$C$71)</f>
        <v/>
      </c>
      <c r="L732" s="84">
        <f>(((ASSUMPTIONS!$C$18*J732*(1-ASSUMPTIONS!$C$20)+ASSUMPTIONS!$C$18*ASSUMPTIONS!$C$21-ASSUMPTIONS!$C$18*ASSUMPTIONS!$C$22)*(1+H732)*(1-((1+H732)/(1+I732))^5)/(I732-H732))+((ASSUMPTIONS!$C$18*J732*(1-ASSUMPTIONS!$C$20)+ASSUMPTIONS!$C$18*ASSUMPTIONS!$C$21-ASSUMPTIONS!$C$18*ASSUMPTIONS!$C$22)*(1+H732)^5*(1+K732)/(I732-K732)/(1+I732)^5)-DCF!$C$12)/ASSUMPTIONS!$C$7</f>
        <v/>
      </c>
    </row>
    <row r="733">
      <c r="H733" s="83">
        <f>_xlfn.NORM.INV(RAND(),AVERAGE(ASSUMPTIONS!$C$38,ASSUMPTIONS!$C$39,ASSUMPTIONS!$C$40,ASSUMPTIONS!$C$41,ASSUMPTIONS!$C$42),ASSUMPTIONS!$C$68)</f>
        <v/>
      </c>
      <c r="I733" s="83">
        <f>MAX(_xlfn.NORM.INV(RAND(),DCF!$C$11,ASSUMPTIONS!$C$69),K733+0.005)</f>
        <v/>
      </c>
      <c r="J733" s="83">
        <f>_xlfn.NORM.INV(RAND(),ASSUMPTIONS!$C$19,ASSUMPTIONS!$C$70)</f>
        <v/>
      </c>
      <c r="K733" s="83">
        <f>_xlfn.NORM.INV(RAND(),ASSUMPTIONS!$C$43,ASSUMPTIONS!$C$71)</f>
        <v/>
      </c>
      <c r="L733" s="84">
        <f>(((ASSUMPTIONS!$C$18*J733*(1-ASSUMPTIONS!$C$20)+ASSUMPTIONS!$C$18*ASSUMPTIONS!$C$21-ASSUMPTIONS!$C$18*ASSUMPTIONS!$C$22)*(1+H733)*(1-((1+H733)/(1+I733))^5)/(I733-H733))+((ASSUMPTIONS!$C$18*J733*(1-ASSUMPTIONS!$C$20)+ASSUMPTIONS!$C$18*ASSUMPTIONS!$C$21-ASSUMPTIONS!$C$18*ASSUMPTIONS!$C$22)*(1+H733)^5*(1+K733)/(I733-K733)/(1+I733)^5)-DCF!$C$12)/ASSUMPTIONS!$C$7</f>
        <v/>
      </c>
    </row>
    <row r="734">
      <c r="H734" s="83">
        <f>_xlfn.NORM.INV(RAND(),AVERAGE(ASSUMPTIONS!$C$38,ASSUMPTIONS!$C$39,ASSUMPTIONS!$C$40,ASSUMPTIONS!$C$41,ASSUMPTIONS!$C$42),ASSUMPTIONS!$C$68)</f>
        <v/>
      </c>
      <c r="I734" s="83">
        <f>MAX(_xlfn.NORM.INV(RAND(),DCF!$C$11,ASSUMPTIONS!$C$69),K734+0.005)</f>
        <v/>
      </c>
      <c r="J734" s="83">
        <f>_xlfn.NORM.INV(RAND(),ASSUMPTIONS!$C$19,ASSUMPTIONS!$C$70)</f>
        <v/>
      </c>
      <c r="K734" s="83">
        <f>_xlfn.NORM.INV(RAND(),ASSUMPTIONS!$C$43,ASSUMPTIONS!$C$71)</f>
        <v/>
      </c>
      <c r="L734" s="84">
        <f>(((ASSUMPTIONS!$C$18*J734*(1-ASSUMPTIONS!$C$20)+ASSUMPTIONS!$C$18*ASSUMPTIONS!$C$21-ASSUMPTIONS!$C$18*ASSUMPTIONS!$C$22)*(1+H734)*(1-((1+H734)/(1+I734))^5)/(I734-H734))+((ASSUMPTIONS!$C$18*J734*(1-ASSUMPTIONS!$C$20)+ASSUMPTIONS!$C$18*ASSUMPTIONS!$C$21-ASSUMPTIONS!$C$18*ASSUMPTIONS!$C$22)*(1+H734)^5*(1+K734)/(I734-K734)/(1+I734)^5)-DCF!$C$12)/ASSUMPTIONS!$C$7</f>
        <v/>
      </c>
    </row>
    <row r="735">
      <c r="H735" s="83">
        <f>_xlfn.NORM.INV(RAND(),AVERAGE(ASSUMPTIONS!$C$38,ASSUMPTIONS!$C$39,ASSUMPTIONS!$C$40,ASSUMPTIONS!$C$41,ASSUMPTIONS!$C$42),ASSUMPTIONS!$C$68)</f>
        <v/>
      </c>
      <c r="I735" s="83">
        <f>MAX(_xlfn.NORM.INV(RAND(),DCF!$C$11,ASSUMPTIONS!$C$69),K735+0.005)</f>
        <v/>
      </c>
      <c r="J735" s="83">
        <f>_xlfn.NORM.INV(RAND(),ASSUMPTIONS!$C$19,ASSUMPTIONS!$C$70)</f>
        <v/>
      </c>
      <c r="K735" s="83">
        <f>_xlfn.NORM.INV(RAND(),ASSUMPTIONS!$C$43,ASSUMPTIONS!$C$71)</f>
        <v/>
      </c>
      <c r="L735" s="84">
        <f>(((ASSUMPTIONS!$C$18*J735*(1-ASSUMPTIONS!$C$20)+ASSUMPTIONS!$C$18*ASSUMPTIONS!$C$21-ASSUMPTIONS!$C$18*ASSUMPTIONS!$C$22)*(1+H735)*(1-((1+H735)/(1+I735))^5)/(I735-H735))+((ASSUMPTIONS!$C$18*J735*(1-ASSUMPTIONS!$C$20)+ASSUMPTIONS!$C$18*ASSUMPTIONS!$C$21-ASSUMPTIONS!$C$18*ASSUMPTIONS!$C$22)*(1+H735)^5*(1+K735)/(I735-K735)/(1+I735)^5)-DCF!$C$12)/ASSUMPTIONS!$C$7</f>
        <v/>
      </c>
    </row>
    <row r="736">
      <c r="H736" s="83">
        <f>_xlfn.NORM.INV(RAND(),AVERAGE(ASSUMPTIONS!$C$38,ASSUMPTIONS!$C$39,ASSUMPTIONS!$C$40,ASSUMPTIONS!$C$41,ASSUMPTIONS!$C$42),ASSUMPTIONS!$C$68)</f>
        <v/>
      </c>
      <c r="I736" s="83">
        <f>MAX(_xlfn.NORM.INV(RAND(),DCF!$C$11,ASSUMPTIONS!$C$69),K736+0.005)</f>
        <v/>
      </c>
      <c r="J736" s="83">
        <f>_xlfn.NORM.INV(RAND(),ASSUMPTIONS!$C$19,ASSUMPTIONS!$C$70)</f>
        <v/>
      </c>
      <c r="K736" s="83">
        <f>_xlfn.NORM.INV(RAND(),ASSUMPTIONS!$C$43,ASSUMPTIONS!$C$71)</f>
        <v/>
      </c>
      <c r="L736" s="84">
        <f>(((ASSUMPTIONS!$C$18*J736*(1-ASSUMPTIONS!$C$20)+ASSUMPTIONS!$C$18*ASSUMPTIONS!$C$21-ASSUMPTIONS!$C$18*ASSUMPTIONS!$C$22)*(1+H736)*(1-((1+H736)/(1+I736))^5)/(I736-H736))+((ASSUMPTIONS!$C$18*J736*(1-ASSUMPTIONS!$C$20)+ASSUMPTIONS!$C$18*ASSUMPTIONS!$C$21-ASSUMPTIONS!$C$18*ASSUMPTIONS!$C$22)*(1+H736)^5*(1+K736)/(I736-K736)/(1+I736)^5)-DCF!$C$12)/ASSUMPTIONS!$C$7</f>
        <v/>
      </c>
    </row>
    <row r="737">
      <c r="H737" s="83">
        <f>_xlfn.NORM.INV(RAND(),AVERAGE(ASSUMPTIONS!$C$38,ASSUMPTIONS!$C$39,ASSUMPTIONS!$C$40,ASSUMPTIONS!$C$41,ASSUMPTIONS!$C$42),ASSUMPTIONS!$C$68)</f>
        <v/>
      </c>
      <c r="I737" s="83">
        <f>MAX(_xlfn.NORM.INV(RAND(),DCF!$C$11,ASSUMPTIONS!$C$69),K737+0.005)</f>
        <v/>
      </c>
      <c r="J737" s="83">
        <f>_xlfn.NORM.INV(RAND(),ASSUMPTIONS!$C$19,ASSUMPTIONS!$C$70)</f>
        <v/>
      </c>
      <c r="K737" s="83">
        <f>_xlfn.NORM.INV(RAND(),ASSUMPTIONS!$C$43,ASSUMPTIONS!$C$71)</f>
        <v/>
      </c>
      <c r="L737" s="84">
        <f>(((ASSUMPTIONS!$C$18*J737*(1-ASSUMPTIONS!$C$20)+ASSUMPTIONS!$C$18*ASSUMPTIONS!$C$21-ASSUMPTIONS!$C$18*ASSUMPTIONS!$C$22)*(1+H737)*(1-((1+H737)/(1+I737))^5)/(I737-H737))+((ASSUMPTIONS!$C$18*J737*(1-ASSUMPTIONS!$C$20)+ASSUMPTIONS!$C$18*ASSUMPTIONS!$C$21-ASSUMPTIONS!$C$18*ASSUMPTIONS!$C$22)*(1+H737)^5*(1+K737)/(I737-K737)/(1+I737)^5)-DCF!$C$12)/ASSUMPTIONS!$C$7</f>
        <v/>
      </c>
    </row>
    <row r="738">
      <c r="H738" s="83">
        <f>_xlfn.NORM.INV(RAND(),AVERAGE(ASSUMPTIONS!$C$38,ASSUMPTIONS!$C$39,ASSUMPTIONS!$C$40,ASSUMPTIONS!$C$41,ASSUMPTIONS!$C$42),ASSUMPTIONS!$C$68)</f>
        <v/>
      </c>
      <c r="I738" s="83">
        <f>MAX(_xlfn.NORM.INV(RAND(),DCF!$C$11,ASSUMPTIONS!$C$69),K738+0.005)</f>
        <v/>
      </c>
      <c r="J738" s="83">
        <f>_xlfn.NORM.INV(RAND(),ASSUMPTIONS!$C$19,ASSUMPTIONS!$C$70)</f>
        <v/>
      </c>
      <c r="K738" s="83">
        <f>_xlfn.NORM.INV(RAND(),ASSUMPTIONS!$C$43,ASSUMPTIONS!$C$71)</f>
        <v/>
      </c>
      <c r="L738" s="84">
        <f>(((ASSUMPTIONS!$C$18*J738*(1-ASSUMPTIONS!$C$20)+ASSUMPTIONS!$C$18*ASSUMPTIONS!$C$21-ASSUMPTIONS!$C$18*ASSUMPTIONS!$C$22)*(1+H738)*(1-((1+H738)/(1+I738))^5)/(I738-H738))+((ASSUMPTIONS!$C$18*J738*(1-ASSUMPTIONS!$C$20)+ASSUMPTIONS!$C$18*ASSUMPTIONS!$C$21-ASSUMPTIONS!$C$18*ASSUMPTIONS!$C$22)*(1+H738)^5*(1+K738)/(I738-K738)/(1+I738)^5)-DCF!$C$12)/ASSUMPTIONS!$C$7</f>
        <v/>
      </c>
    </row>
    <row r="739">
      <c r="H739" s="83">
        <f>_xlfn.NORM.INV(RAND(),AVERAGE(ASSUMPTIONS!$C$38,ASSUMPTIONS!$C$39,ASSUMPTIONS!$C$40,ASSUMPTIONS!$C$41,ASSUMPTIONS!$C$42),ASSUMPTIONS!$C$68)</f>
        <v/>
      </c>
      <c r="I739" s="83">
        <f>MAX(_xlfn.NORM.INV(RAND(),DCF!$C$11,ASSUMPTIONS!$C$69),K739+0.005)</f>
        <v/>
      </c>
      <c r="J739" s="83">
        <f>_xlfn.NORM.INV(RAND(),ASSUMPTIONS!$C$19,ASSUMPTIONS!$C$70)</f>
        <v/>
      </c>
      <c r="K739" s="83">
        <f>_xlfn.NORM.INV(RAND(),ASSUMPTIONS!$C$43,ASSUMPTIONS!$C$71)</f>
        <v/>
      </c>
      <c r="L739" s="84">
        <f>(((ASSUMPTIONS!$C$18*J739*(1-ASSUMPTIONS!$C$20)+ASSUMPTIONS!$C$18*ASSUMPTIONS!$C$21-ASSUMPTIONS!$C$18*ASSUMPTIONS!$C$22)*(1+H739)*(1-((1+H739)/(1+I739))^5)/(I739-H739))+((ASSUMPTIONS!$C$18*J739*(1-ASSUMPTIONS!$C$20)+ASSUMPTIONS!$C$18*ASSUMPTIONS!$C$21-ASSUMPTIONS!$C$18*ASSUMPTIONS!$C$22)*(1+H739)^5*(1+K739)/(I739-K739)/(1+I739)^5)-DCF!$C$12)/ASSUMPTIONS!$C$7</f>
        <v/>
      </c>
    </row>
    <row r="740">
      <c r="H740" s="83">
        <f>_xlfn.NORM.INV(RAND(),AVERAGE(ASSUMPTIONS!$C$38,ASSUMPTIONS!$C$39,ASSUMPTIONS!$C$40,ASSUMPTIONS!$C$41,ASSUMPTIONS!$C$42),ASSUMPTIONS!$C$68)</f>
        <v/>
      </c>
      <c r="I740" s="83">
        <f>MAX(_xlfn.NORM.INV(RAND(),DCF!$C$11,ASSUMPTIONS!$C$69),K740+0.005)</f>
        <v/>
      </c>
      <c r="J740" s="83">
        <f>_xlfn.NORM.INV(RAND(),ASSUMPTIONS!$C$19,ASSUMPTIONS!$C$70)</f>
        <v/>
      </c>
      <c r="K740" s="83">
        <f>_xlfn.NORM.INV(RAND(),ASSUMPTIONS!$C$43,ASSUMPTIONS!$C$71)</f>
        <v/>
      </c>
      <c r="L740" s="84">
        <f>(((ASSUMPTIONS!$C$18*J740*(1-ASSUMPTIONS!$C$20)+ASSUMPTIONS!$C$18*ASSUMPTIONS!$C$21-ASSUMPTIONS!$C$18*ASSUMPTIONS!$C$22)*(1+H740)*(1-((1+H740)/(1+I740))^5)/(I740-H740))+((ASSUMPTIONS!$C$18*J740*(1-ASSUMPTIONS!$C$20)+ASSUMPTIONS!$C$18*ASSUMPTIONS!$C$21-ASSUMPTIONS!$C$18*ASSUMPTIONS!$C$22)*(1+H740)^5*(1+K740)/(I740-K740)/(1+I740)^5)-DCF!$C$12)/ASSUMPTIONS!$C$7</f>
        <v/>
      </c>
    </row>
    <row r="741">
      <c r="H741" s="83">
        <f>_xlfn.NORM.INV(RAND(),AVERAGE(ASSUMPTIONS!$C$38,ASSUMPTIONS!$C$39,ASSUMPTIONS!$C$40,ASSUMPTIONS!$C$41,ASSUMPTIONS!$C$42),ASSUMPTIONS!$C$68)</f>
        <v/>
      </c>
      <c r="I741" s="83">
        <f>MAX(_xlfn.NORM.INV(RAND(),DCF!$C$11,ASSUMPTIONS!$C$69),K741+0.005)</f>
        <v/>
      </c>
      <c r="J741" s="83">
        <f>_xlfn.NORM.INV(RAND(),ASSUMPTIONS!$C$19,ASSUMPTIONS!$C$70)</f>
        <v/>
      </c>
      <c r="K741" s="83">
        <f>_xlfn.NORM.INV(RAND(),ASSUMPTIONS!$C$43,ASSUMPTIONS!$C$71)</f>
        <v/>
      </c>
      <c r="L741" s="84">
        <f>(((ASSUMPTIONS!$C$18*J741*(1-ASSUMPTIONS!$C$20)+ASSUMPTIONS!$C$18*ASSUMPTIONS!$C$21-ASSUMPTIONS!$C$18*ASSUMPTIONS!$C$22)*(1+H741)*(1-((1+H741)/(1+I741))^5)/(I741-H741))+((ASSUMPTIONS!$C$18*J741*(1-ASSUMPTIONS!$C$20)+ASSUMPTIONS!$C$18*ASSUMPTIONS!$C$21-ASSUMPTIONS!$C$18*ASSUMPTIONS!$C$22)*(1+H741)^5*(1+K741)/(I741-K741)/(1+I741)^5)-DCF!$C$12)/ASSUMPTIONS!$C$7</f>
        <v/>
      </c>
    </row>
    <row r="742">
      <c r="H742" s="83">
        <f>_xlfn.NORM.INV(RAND(),AVERAGE(ASSUMPTIONS!$C$38,ASSUMPTIONS!$C$39,ASSUMPTIONS!$C$40,ASSUMPTIONS!$C$41,ASSUMPTIONS!$C$42),ASSUMPTIONS!$C$68)</f>
        <v/>
      </c>
      <c r="I742" s="83">
        <f>MAX(_xlfn.NORM.INV(RAND(),DCF!$C$11,ASSUMPTIONS!$C$69),K742+0.005)</f>
        <v/>
      </c>
      <c r="J742" s="83">
        <f>_xlfn.NORM.INV(RAND(),ASSUMPTIONS!$C$19,ASSUMPTIONS!$C$70)</f>
        <v/>
      </c>
      <c r="K742" s="83">
        <f>_xlfn.NORM.INV(RAND(),ASSUMPTIONS!$C$43,ASSUMPTIONS!$C$71)</f>
        <v/>
      </c>
      <c r="L742" s="84">
        <f>(((ASSUMPTIONS!$C$18*J742*(1-ASSUMPTIONS!$C$20)+ASSUMPTIONS!$C$18*ASSUMPTIONS!$C$21-ASSUMPTIONS!$C$18*ASSUMPTIONS!$C$22)*(1+H742)*(1-((1+H742)/(1+I742))^5)/(I742-H742))+((ASSUMPTIONS!$C$18*J742*(1-ASSUMPTIONS!$C$20)+ASSUMPTIONS!$C$18*ASSUMPTIONS!$C$21-ASSUMPTIONS!$C$18*ASSUMPTIONS!$C$22)*(1+H742)^5*(1+K742)/(I742-K742)/(1+I742)^5)-DCF!$C$12)/ASSUMPTIONS!$C$7</f>
        <v/>
      </c>
    </row>
    <row r="743">
      <c r="H743" s="83">
        <f>_xlfn.NORM.INV(RAND(),AVERAGE(ASSUMPTIONS!$C$38,ASSUMPTIONS!$C$39,ASSUMPTIONS!$C$40,ASSUMPTIONS!$C$41,ASSUMPTIONS!$C$42),ASSUMPTIONS!$C$68)</f>
        <v/>
      </c>
      <c r="I743" s="83">
        <f>MAX(_xlfn.NORM.INV(RAND(),DCF!$C$11,ASSUMPTIONS!$C$69),K743+0.005)</f>
        <v/>
      </c>
      <c r="J743" s="83">
        <f>_xlfn.NORM.INV(RAND(),ASSUMPTIONS!$C$19,ASSUMPTIONS!$C$70)</f>
        <v/>
      </c>
      <c r="K743" s="83">
        <f>_xlfn.NORM.INV(RAND(),ASSUMPTIONS!$C$43,ASSUMPTIONS!$C$71)</f>
        <v/>
      </c>
      <c r="L743" s="84">
        <f>(((ASSUMPTIONS!$C$18*J743*(1-ASSUMPTIONS!$C$20)+ASSUMPTIONS!$C$18*ASSUMPTIONS!$C$21-ASSUMPTIONS!$C$18*ASSUMPTIONS!$C$22)*(1+H743)*(1-((1+H743)/(1+I743))^5)/(I743-H743))+((ASSUMPTIONS!$C$18*J743*(1-ASSUMPTIONS!$C$20)+ASSUMPTIONS!$C$18*ASSUMPTIONS!$C$21-ASSUMPTIONS!$C$18*ASSUMPTIONS!$C$22)*(1+H743)^5*(1+K743)/(I743-K743)/(1+I743)^5)-DCF!$C$12)/ASSUMPTIONS!$C$7</f>
        <v/>
      </c>
    </row>
    <row r="744">
      <c r="H744" s="83">
        <f>_xlfn.NORM.INV(RAND(),AVERAGE(ASSUMPTIONS!$C$38,ASSUMPTIONS!$C$39,ASSUMPTIONS!$C$40,ASSUMPTIONS!$C$41,ASSUMPTIONS!$C$42),ASSUMPTIONS!$C$68)</f>
        <v/>
      </c>
      <c r="I744" s="83">
        <f>MAX(_xlfn.NORM.INV(RAND(),DCF!$C$11,ASSUMPTIONS!$C$69),K744+0.005)</f>
        <v/>
      </c>
      <c r="J744" s="83">
        <f>_xlfn.NORM.INV(RAND(),ASSUMPTIONS!$C$19,ASSUMPTIONS!$C$70)</f>
        <v/>
      </c>
      <c r="K744" s="83">
        <f>_xlfn.NORM.INV(RAND(),ASSUMPTIONS!$C$43,ASSUMPTIONS!$C$71)</f>
        <v/>
      </c>
      <c r="L744" s="84">
        <f>(((ASSUMPTIONS!$C$18*J744*(1-ASSUMPTIONS!$C$20)+ASSUMPTIONS!$C$18*ASSUMPTIONS!$C$21-ASSUMPTIONS!$C$18*ASSUMPTIONS!$C$22)*(1+H744)*(1-((1+H744)/(1+I744))^5)/(I744-H744))+((ASSUMPTIONS!$C$18*J744*(1-ASSUMPTIONS!$C$20)+ASSUMPTIONS!$C$18*ASSUMPTIONS!$C$21-ASSUMPTIONS!$C$18*ASSUMPTIONS!$C$22)*(1+H744)^5*(1+K744)/(I744-K744)/(1+I744)^5)-DCF!$C$12)/ASSUMPTIONS!$C$7</f>
        <v/>
      </c>
    </row>
    <row r="745">
      <c r="H745" s="83">
        <f>_xlfn.NORM.INV(RAND(),AVERAGE(ASSUMPTIONS!$C$38,ASSUMPTIONS!$C$39,ASSUMPTIONS!$C$40,ASSUMPTIONS!$C$41,ASSUMPTIONS!$C$42),ASSUMPTIONS!$C$68)</f>
        <v/>
      </c>
      <c r="I745" s="83">
        <f>MAX(_xlfn.NORM.INV(RAND(),DCF!$C$11,ASSUMPTIONS!$C$69),K745+0.005)</f>
        <v/>
      </c>
      <c r="J745" s="83">
        <f>_xlfn.NORM.INV(RAND(),ASSUMPTIONS!$C$19,ASSUMPTIONS!$C$70)</f>
        <v/>
      </c>
      <c r="K745" s="83">
        <f>_xlfn.NORM.INV(RAND(),ASSUMPTIONS!$C$43,ASSUMPTIONS!$C$71)</f>
        <v/>
      </c>
      <c r="L745" s="84">
        <f>(((ASSUMPTIONS!$C$18*J745*(1-ASSUMPTIONS!$C$20)+ASSUMPTIONS!$C$18*ASSUMPTIONS!$C$21-ASSUMPTIONS!$C$18*ASSUMPTIONS!$C$22)*(1+H745)*(1-((1+H745)/(1+I745))^5)/(I745-H745))+((ASSUMPTIONS!$C$18*J745*(1-ASSUMPTIONS!$C$20)+ASSUMPTIONS!$C$18*ASSUMPTIONS!$C$21-ASSUMPTIONS!$C$18*ASSUMPTIONS!$C$22)*(1+H745)^5*(1+K745)/(I745-K745)/(1+I745)^5)-DCF!$C$12)/ASSUMPTIONS!$C$7</f>
        <v/>
      </c>
    </row>
    <row r="746">
      <c r="H746" s="83">
        <f>_xlfn.NORM.INV(RAND(),AVERAGE(ASSUMPTIONS!$C$38,ASSUMPTIONS!$C$39,ASSUMPTIONS!$C$40,ASSUMPTIONS!$C$41,ASSUMPTIONS!$C$42),ASSUMPTIONS!$C$68)</f>
        <v/>
      </c>
      <c r="I746" s="83">
        <f>MAX(_xlfn.NORM.INV(RAND(),DCF!$C$11,ASSUMPTIONS!$C$69),K746+0.005)</f>
        <v/>
      </c>
      <c r="J746" s="83">
        <f>_xlfn.NORM.INV(RAND(),ASSUMPTIONS!$C$19,ASSUMPTIONS!$C$70)</f>
        <v/>
      </c>
      <c r="K746" s="83">
        <f>_xlfn.NORM.INV(RAND(),ASSUMPTIONS!$C$43,ASSUMPTIONS!$C$71)</f>
        <v/>
      </c>
      <c r="L746" s="84">
        <f>(((ASSUMPTIONS!$C$18*J746*(1-ASSUMPTIONS!$C$20)+ASSUMPTIONS!$C$18*ASSUMPTIONS!$C$21-ASSUMPTIONS!$C$18*ASSUMPTIONS!$C$22)*(1+H746)*(1-((1+H746)/(1+I746))^5)/(I746-H746))+((ASSUMPTIONS!$C$18*J746*(1-ASSUMPTIONS!$C$20)+ASSUMPTIONS!$C$18*ASSUMPTIONS!$C$21-ASSUMPTIONS!$C$18*ASSUMPTIONS!$C$22)*(1+H746)^5*(1+K746)/(I746-K746)/(1+I746)^5)-DCF!$C$12)/ASSUMPTIONS!$C$7</f>
        <v/>
      </c>
    </row>
    <row r="747">
      <c r="H747" s="83">
        <f>_xlfn.NORM.INV(RAND(),AVERAGE(ASSUMPTIONS!$C$38,ASSUMPTIONS!$C$39,ASSUMPTIONS!$C$40,ASSUMPTIONS!$C$41,ASSUMPTIONS!$C$42),ASSUMPTIONS!$C$68)</f>
        <v/>
      </c>
      <c r="I747" s="83">
        <f>MAX(_xlfn.NORM.INV(RAND(),DCF!$C$11,ASSUMPTIONS!$C$69),K747+0.005)</f>
        <v/>
      </c>
      <c r="J747" s="83">
        <f>_xlfn.NORM.INV(RAND(),ASSUMPTIONS!$C$19,ASSUMPTIONS!$C$70)</f>
        <v/>
      </c>
      <c r="K747" s="83">
        <f>_xlfn.NORM.INV(RAND(),ASSUMPTIONS!$C$43,ASSUMPTIONS!$C$71)</f>
        <v/>
      </c>
      <c r="L747" s="84">
        <f>(((ASSUMPTIONS!$C$18*J747*(1-ASSUMPTIONS!$C$20)+ASSUMPTIONS!$C$18*ASSUMPTIONS!$C$21-ASSUMPTIONS!$C$18*ASSUMPTIONS!$C$22)*(1+H747)*(1-((1+H747)/(1+I747))^5)/(I747-H747))+((ASSUMPTIONS!$C$18*J747*(1-ASSUMPTIONS!$C$20)+ASSUMPTIONS!$C$18*ASSUMPTIONS!$C$21-ASSUMPTIONS!$C$18*ASSUMPTIONS!$C$22)*(1+H747)^5*(1+K747)/(I747-K747)/(1+I747)^5)-DCF!$C$12)/ASSUMPTIONS!$C$7</f>
        <v/>
      </c>
    </row>
    <row r="748">
      <c r="H748" s="83">
        <f>_xlfn.NORM.INV(RAND(),AVERAGE(ASSUMPTIONS!$C$38,ASSUMPTIONS!$C$39,ASSUMPTIONS!$C$40,ASSUMPTIONS!$C$41,ASSUMPTIONS!$C$42),ASSUMPTIONS!$C$68)</f>
        <v/>
      </c>
      <c r="I748" s="83">
        <f>MAX(_xlfn.NORM.INV(RAND(),DCF!$C$11,ASSUMPTIONS!$C$69),K748+0.005)</f>
        <v/>
      </c>
      <c r="J748" s="83">
        <f>_xlfn.NORM.INV(RAND(),ASSUMPTIONS!$C$19,ASSUMPTIONS!$C$70)</f>
        <v/>
      </c>
      <c r="K748" s="83">
        <f>_xlfn.NORM.INV(RAND(),ASSUMPTIONS!$C$43,ASSUMPTIONS!$C$71)</f>
        <v/>
      </c>
      <c r="L748" s="84">
        <f>(((ASSUMPTIONS!$C$18*J748*(1-ASSUMPTIONS!$C$20)+ASSUMPTIONS!$C$18*ASSUMPTIONS!$C$21-ASSUMPTIONS!$C$18*ASSUMPTIONS!$C$22)*(1+H748)*(1-((1+H748)/(1+I748))^5)/(I748-H748))+((ASSUMPTIONS!$C$18*J748*(1-ASSUMPTIONS!$C$20)+ASSUMPTIONS!$C$18*ASSUMPTIONS!$C$21-ASSUMPTIONS!$C$18*ASSUMPTIONS!$C$22)*(1+H748)^5*(1+K748)/(I748-K748)/(1+I748)^5)-DCF!$C$12)/ASSUMPTIONS!$C$7</f>
        <v/>
      </c>
    </row>
    <row r="749">
      <c r="H749" s="83">
        <f>_xlfn.NORM.INV(RAND(),AVERAGE(ASSUMPTIONS!$C$38,ASSUMPTIONS!$C$39,ASSUMPTIONS!$C$40,ASSUMPTIONS!$C$41,ASSUMPTIONS!$C$42),ASSUMPTIONS!$C$68)</f>
        <v/>
      </c>
      <c r="I749" s="83">
        <f>MAX(_xlfn.NORM.INV(RAND(),DCF!$C$11,ASSUMPTIONS!$C$69),K749+0.005)</f>
        <v/>
      </c>
      <c r="J749" s="83">
        <f>_xlfn.NORM.INV(RAND(),ASSUMPTIONS!$C$19,ASSUMPTIONS!$C$70)</f>
        <v/>
      </c>
      <c r="K749" s="83">
        <f>_xlfn.NORM.INV(RAND(),ASSUMPTIONS!$C$43,ASSUMPTIONS!$C$71)</f>
        <v/>
      </c>
      <c r="L749" s="84">
        <f>(((ASSUMPTIONS!$C$18*J749*(1-ASSUMPTIONS!$C$20)+ASSUMPTIONS!$C$18*ASSUMPTIONS!$C$21-ASSUMPTIONS!$C$18*ASSUMPTIONS!$C$22)*(1+H749)*(1-((1+H749)/(1+I749))^5)/(I749-H749))+((ASSUMPTIONS!$C$18*J749*(1-ASSUMPTIONS!$C$20)+ASSUMPTIONS!$C$18*ASSUMPTIONS!$C$21-ASSUMPTIONS!$C$18*ASSUMPTIONS!$C$22)*(1+H749)^5*(1+K749)/(I749-K749)/(1+I749)^5)-DCF!$C$12)/ASSUMPTIONS!$C$7</f>
        <v/>
      </c>
    </row>
    <row r="750">
      <c r="H750" s="83">
        <f>_xlfn.NORM.INV(RAND(),AVERAGE(ASSUMPTIONS!$C$38,ASSUMPTIONS!$C$39,ASSUMPTIONS!$C$40,ASSUMPTIONS!$C$41,ASSUMPTIONS!$C$42),ASSUMPTIONS!$C$68)</f>
        <v/>
      </c>
      <c r="I750" s="83">
        <f>MAX(_xlfn.NORM.INV(RAND(),DCF!$C$11,ASSUMPTIONS!$C$69),K750+0.005)</f>
        <v/>
      </c>
      <c r="J750" s="83">
        <f>_xlfn.NORM.INV(RAND(),ASSUMPTIONS!$C$19,ASSUMPTIONS!$C$70)</f>
        <v/>
      </c>
      <c r="K750" s="83">
        <f>_xlfn.NORM.INV(RAND(),ASSUMPTIONS!$C$43,ASSUMPTIONS!$C$71)</f>
        <v/>
      </c>
      <c r="L750" s="84">
        <f>(((ASSUMPTIONS!$C$18*J750*(1-ASSUMPTIONS!$C$20)+ASSUMPTIONS!$C$18*ASSUMPTIONS!$C$21-ASSUMPTIONS!$C$18*ASSUMPTIONS!$C$22)*(1+H750)*(1-((1+H750)/(1+I750))^5)/(I750-H750))+((ASSUMPTIONS!$C$18*J750*(1-ASSUMPTIONS!$C$20)+ASSUMPTIONS!$C$18*ASSUMPTIONS!$C$21-ASSUMPTIONS!$C$18*ASSUMPTIONS!$C$22)*(1+H750)^5*(1+K750)/(I750-K750)/(1+I750)^5)-DCF!$C$12)/ASSUMPTIONS!$C$7</f>
        <v/>
      </c>
    </row>
    <row r="751">
      <c r="H751" s="83">
        <f>_xlfn.NORM.INV(RAND(),AVERAGE(ASSUMPTIONS!$C$38,ASSUMPTIONS!$C$39,ASSUMPTIONS!$C$40,ASSUMPTIONS!$C$41,ASSUMPTIONS!$C$42),ASSUMPTIONS!$C$68)</f>
        <v/>
      </c>
      <c r="I751" s="83">
        <f>MAX(_xlfn.NORM.INV(RAND(),DCF!$C$11,ASSUMPTIONS!$C$69),K751+0.005)</f>
        <v/>
      </c>
      <c r="J751" s="83">
        <f>_xlfn.NORM.INV(RAND(),ASSUMPTIONS!$C$19,ASSUMPTIONS!$C$70)</f>
        <v/>
      </c>
      <c r="K751" s="83">
        <f>_xlfn.NORM.INV(RAND(),ASSUMPTIONS!$C$43,ASSUMPTIONS!$C$71)</f>
        <v/>
      </c>
      <c r="L751" s="84">
        <f>(((ASSUMPTIONS!$C$18*J751*(1-ASSUMPTIONS!$C$20)+ASSUMPTIONS!$C$18*ASSUMPTIONS!$C$21-ASSUMPTIONS!$C$18*ASSUMPTIONS!$C$22)*(1+H751)*(1-((1+H751)/(1+I751))^5)/(I751-H751))+((ASSUMPTIONS!$C$18*J751*(1-ASSUMPTIONS!$C$20)+ASSUMPTIONS!$C$18*ASSUMPTIONS!$C$21-ASSUMPTIONS!$C$18*ASSUMPTIONS!$C$22)*(1+H751)^5*(1+K751)/(I751-K751)/(1+I751)^5)-DCF!$C$12)/ASSUMPTIONS!$C$7</f>
        <v/>
      </c>
    </row>
    <row r="752">
      <c r="H752" s="83">
        <f>_xlfn.NORM.INV(RAND(),AVERAGE(ASSUMPTIONS!$C$38,ASSUMPTIONS!$C$39,ASSUMPTIONS!$C$40,ASSUMPTIONS!$C$41,ASSUMPTIONS!$C$42),ASSUMPTIONS!$C$68)</f>
        <v/>
      </c>
      <c r="I752" s="83">
        <f>MAX(_xlfn.NORM.INV(RAND(),DCF!$C$11,ASSUMPTIONS!$C$69),K752+0.005)</f>
        <v/>
      </c>
      <c r="J752" s="83">
        <f>_xlfn.NORM.INV(RAND(),ASSUMPTIONS!$C$19,ASSUMPTIONS!$C$70)</f>
        <v/>
      </c>
      <c r="K752" s="83">
        <f>_xlfn.NORM.INV(RAND(),ASSUMPTIONS!$C$43,ASSUMPTIONS!$C$71)</f>
        <v/>
      </c>
      <c r="L752" s="84">
        <f>(((ASSUMPTIONS!$C$18*J752*(1-ASSUMPTIONS!$C$20)+ASSUMPTIONS!$C$18*ASSUMPTIONS!$C$21-ASSUMPTIONS!$C$18*ASSUMPTIONS!$C$22)*(1+H752)*(1-((1+H752)/(1+I752))^5)/(I752-H752))+((ASSUMPTIONS!$C$18*J752*(1-ASSUMPTIONS!$C$20)+ASSUMPTIONS!$C$18*ASSUMPTIONS!$C$21-ASSUMPTIONS!$C$18*ASSUMPTIONS!$C$22)*(1+H752)^5*(1+K752)/(I752-K752)/(1+I752)^5)-DCF!$C$12)/ASSUMPTIONS!$C$7</f>
        <v/>
      </c>
    </row>
    <row r="753">
      <c r="H753" s="83">
        <f>_xlfn.NORM.INV(RAND(),AVERAGE(ASSUMPTIONS!$C$38,ASSUMPTIONS!$C$39,ASSUMPTIONS!$C$40,ASSUMPTIONS!$C$41,ASSUMPTIONS!$C$42),ASSUMPTIONS!$C$68)</f>
        <v/>
      </c>
      <c r="I753" s="83">
        <f>MAX(_xlfn.NORM.INV(RAND(),DCF!$C$11,ASSUMPTIONS!$C$69),K753+0.005)</f>
        <v/>
      </c>
      <c r="J753" s="83">
        <f>_xlfn.NORM.INV(RAND(),ASSUMPTIONS!$C$19,ASSUMPTIONS!$C$70)</f>
        <v/>
      </c>
      <c r="K753" s="83">
        <f>_xlfn.NORM.INV(RAND(),ASSUMPTIONS!$C$43,ASSUMPTIONS!$C$71)</f>
        <v/>
      </c>
      <c r="L753" s="84">
        <f>(((ASSUMPTIONS!$C$18*J753*(1-ASSUMPTIONS!$C$20)+ASSUMPTIONS!$C$18*ASSUMPTIONS!$C$21-ASSUMPTIONS!$C$18*ASSUMPTIONS!$C$22)*(1+H753)*(1-((1+H753)/(1+I753))^5)/(I753-H753))+((ASSUMPTIONS!$C$18*J753*(1-ASSUMPTIONS!$C$20)+ASSUMPTIONS!$C$18*ASSUMPTIONS!$C$21-ASSUMPTIONS!$C$18*ASSUMPTIONS!$C$22)*(1+H753)^5*(1+K753)/(I753-K753)/(1+I753)^5)-DCF!$C$12)/ASSUMPTIONS!$C$7</f>
        <v/>
      </c>
    </row>
    <row r="754">
      <c r="H754" s="83">
        <f>_xlfn.NORM.INV(RAND(),AVERAGE(ASSUMPTIONS!$C$38,ASSUMPTIONS!$C$39,ASSUMPTIONS!$C$40,ASSUMPTIONS!$C$41,ASSUMPTIONS!$C$42),ASSUMPTIONS!$C$68)</f>
        <v/>
      </c>
      <c r="I754" s="83">
        <f>MAX(_xlfn.NORM.INV(RAND(),DCF!$C$11,ASSUMPTIONS!$C$69),K754+0.005)</f>
        <v/>
      </c>
      <c r="J754" s="83">
        <f>_xlfn.NORM.INV(RAND(),ASSUMPTIONS!$C$19,ASSUMPTIONS!$C$70)</f>
        <v/>
      </c>
      <c r="K754" s="83">
        <f>_xlfn.NORM.INV(RAND(),ASSUMPTIONS!$C$43,ASSUMPTIONS!$C$71)</f>
        <v/>
      </c>
      <c r="L754" s="84">
        <f>(((ASSUMPTIONS!$C$18*J754*(1-ASSUMPTIONS!$C$20)+ASSUMPTIONS!$C$18*ASSUMPTIONS!$C$21-ASSUMPTIONS!$C$18*ASSUMPTIONS!$C$22)*(1+H754)*(1-((1+H754)/(1+I754))^5)/(I754-H754))+((ASSUMPTIONS!$C$18*J754*(1-ASSUMPTIONS!$C$20)+ASSUMPTIONS!$C$18*ASSUMPTIONS!$C$21-ASSUMPTIONS!$C$18*ASSUMPTIONS!$C$22)*(1+H754)^5*(1+K754)/(I754-K754)/(1+I754)^5)-DCF!$C$12)/ASSUMPTIONS!$C$7</f>
        <v/>
      </c>
    </row>
    <row r="755">
      <c r="H755" s="83">
        <f>_xlfn.NORM.INV(RAND(),AVERAGE(ASSUMPTIONS!$C$38,ASSUMPTIONS!$C$39,ASSUMPTIONS!$C$40,ASSUMPTIONS!$C$41,ASSUMPTIONS!$C$42),ASSUMPTIONS!$C$68)</f>
        <v/>
      </c>
      <c r="I755" s="83">
        <f>MAX(_xlfn.NORM.INV(RAND(),DCF!$C$11,ASSUMPTIONS!$C$69),K755+0.005)</f>
        <v/>
      </c>
      <c r="J755" s="83">
        <f>_xlfn.NORM.INV(RAND(),ASSUMPTIONS!$C$19,ASSUMPTIONS!$C$70)</f>
        <v/>
      </c>
      <c r="K755" s="83">
        <f>_xlfn.NORM.INV(RAND(),ASSUMPTIONS!$C$43,ASSUMPTIONS!$C$71)</f>
        <v/>
      </c>
      <c r="L755" s="84">
        <f>(((ASSUMPTIONS!$C$18*J755*(1-ASSUMPTIONS!$C$20)+ASSUMPTIONS!$C$18*ASSUMPTIONS!$C$21-ASSUMPTIONS!$C$18*ASSUMPTIONS!$C$22)*(1+H755)*(1-((1+H755)/(1+I755))^5)/(I755-H755))+((ASSUMPTIONS!$C$18*J755*(1-ASSUMPTIONS!$C$20)+ASSUMPTIONS!$C$18*ASSUMPTIONS!$C$21-ASSUMPTIONS!$C$18*ASSUMPTIONS!$C$22)*(1+H755)^5*(1+K755)/(I755-K755)/(1+I755)^5)-DCF!$C$12)/ASSUMPTIONS!$C$7</f>
        <v/>
      </c>
    </row>
    <row r="756">
      <c r="H756" s="83">
        <f>_xlfn.NORM.INV(RAND(),AVERAGE(ASSUMPTIONS!$C$38,ASSUMPTIONS!$C$39,ASSUMPTIONS!$C$40,ASSUMPTIONS!$C$41,ASSUMPTIONS!$C$42),ASSUMPTIONS!$C$68)</f>
        <v/>
      </c>
      <c r="I756" s="83">
        <f>MAX(_xlfn.NORM.INV(RAND(),DCF!$C$11,ASSUMPTIONS!$C$69),K756+0.005)</f>
        <v/>
      </c>
      <c r="J756" s="83">
        <f>_xlfn.NORM.INV(RAND(),ASSUMPTIONS!$C$19,ASSUMPTIONS!$C$70)</f>
        <v/>
      </c>
      <c r="K756" s="83">
        <f>_xlfn.NORM.INV(RAND(),ASSUMPTIONS!$C$43,ASSUMPTIONS!$C$71)</f>
        <v/>
      </c>
      <c r="L756" s="84">
        <f>(((ASSUMPTIONS!$C$18*J756*(1-ASSUMPTIONS!$C$20)+ASSUMPTIONS!$C$18*ASSUMPTIONS!$C$21-ASSUMPTIONS!$C$18*ASSUMPTIONS!$C$22)*(1+H756)*(1-((1+H756)/(1+I756))^5)/(I756-H756))+((ASSUMPTIONS!$C$18*J756*(1-ASSUMPTIONS!$C$20)+ASSUMPTIONS!$C$18*ASSUMPTIONS!$C$21-ASSUMPTIONS!$C$18*ASSUMPTIONS!$C$22)*(1+H756)^5*(1+K756)/(I756-K756)/(1+I756)^5)-DCF!$C$12)/ASSUMPTIONS!$C$7</f>
        <v/>
      </c>
    </row>
    <row r="757">
      <c r="H757" s="83">
        <f>_xlfn.NORM.INV(RAND(),AVERAGE(ASSUMPTIONS!$C$38,ASSUMPTIONS!$C$39,ASSUMPTIONS!$C$40,ASSUMPTIONS!$C$41,ASSUMPTIONS!$C$42),ASSUMPTIONS!$C$68)</f>
        <v/>
      </c>
      <c r="I757" s="83">
        <f>MAX(_xlfn.NORM.INV(RAND(),DCF!$C$11,ASSUMPTIONS!$C$69),K757+0.005)</f>
        <v/>
      </c>
      <c r="J757" s="83">
        <f>_xlfn.NORM.INV(RAND(),ASSUMPTIONS!$C$19,ASSUMPTIONS!$C$70)</f>
        <v/>
      </c>
      <c r="K757" s="83">
        <f>_xlfn.NORM.INV(RAND(),ASSUMPTIONS!$C$43,ASSUMPTIONS!$C$71)</f>
        <v/>
      </c>
      <c r="L757" s="84">
        <f>(((ASSUMPTIONS!$C$18*J757*(1-ASSUMPTIONS!$C$20)+ASSUMPTIONS!$C$18*ASSUMPTIONS!$C$21-ASSUMPTIONS!$C$18*ASSUMPTIONS!$C$22)*(1+H757)*(1-((1+H757)/(1+I757))^5)/(I757-H757))+((ASSUMPTIONS!$C$18*J757*(1-ASSUMPTIONS!$C$20)+ASSUMPTIONS!$C$18*ASSUMPTIONS!$C$21-ASSUMPTIONS!$C$18*ASSUMPTIONS!$C$22)*(1+H757)^5*(1+K757)/(I757-K757)/(1+I757)^5)-DCF!$C$12)/ASSUMPTIONS!$C$7</f>
        <v/>
      </c>
    </row>
    <row r="758">
      <c r="H758" s="83">
        <f>_xlfn.NORM.INV(RAND(),AVERAGE(ASSUMPTIONS!$C$38,ASSUMPTIONS!$C$39,ASSUMPTIONS!$C$40,ASSUMPTIONS!$C$41,ASSUMPTIONS!$C$42),ASSUMPTIONS!$C$68)</f>
        <v/>
      </c>
      <c r="I758" s="83">
        <f>MAX(_xlfn.NORM.INV(RAND(),DCF!$C$11,ASSUMPTIONS!$C$69),K758+0.005)</f>
        <v/>
      </c>
      <c r="J758" s="83">
        <f>_xlfn.NORM.INV(RAND(),ASSUMPTIONS!$C$19,ASSUMPTIONS!$C$70)</f>
        <v/>
      </c>
      <c r="K758" s="83">
        <f>_xlfn.NORM.INV(RAND(),ASSUMPTIONS!$C$43,ASSUMPTIONS!$C$71)</f>
        <v/>
      </c>
      <c r="L758" s="84">
        <f>(((ASSUMPTIONS!$C$18*J758*(1-ASSUMPTIONS!$C$20)+ASSUMPTIONS!$C$18*ASSUMPTIONS!$C$21-ASSUMPTIONS!$C$18*ASSUMPTIONS!$C$22)*(1+H758)*(1-((1+H758)/(1+I758))^5)/(I758-H758))+((ASSUMPTIONS!$C$18*J758*(1-ASSUMPTIONS!$C$20)+ASSUMPTIONS!$C$18*ASSUMPTIONS!$C$21-ASSUMPTIONS!$C$18*ASSUMPTIONS!$C$22)*(1+H758)^5*(1+K758)/(I758-K758)/(1+I758)^5)-DCF!$C$12)/ASSUMPTIONS!$C$7</f>
        <v/>
      </c>
    </row>
    <row r="759">
      <c r="H759" s="83">
        <f>_xlfn.NORM.INV(RAND(),AVERAGE(ASSUMPTIONS!$C$38,ASSUMPTIONS!$C$39,ASSUMPTIONS!$C$40,ASSUMPTIONS!$C$41,ASSUMPTIONS!$C$42),ASSUMPTIONS!$C$68)</f>
        <v/>
      </c>
      <c r="I759" s="83">
        <f>MAX(_xlfn.NORM.INV(RAND(),DCF!$C$11,ASSUMPTIONS!$C$69),K759+0.005)</f>
        <v/>
      </c>
      <c r="J759" s="83">
        <f>_xlfn.NORM.INV(RAND(),ASSUMPTIONS!$C$19,ASSUMPTIONS!$C$70)</f>
        <v/>
      </c>
      <c r="K759" s="83">
        <f>_xlfn.NORM.INV(RAND(),ASSUMPTIONS!$C$43,ASSUMPTIONS!$C$71)</f>
        <v/>
      </c>
      <c r="L759" s="84">
        <f>(((ASSUMPTIONS!$C$18*J759*(1-ASSUMPTIONS!$C$20)+ASSUMPTIONS!$C$18*ASSUMPTIONS!$C$21-ASSUMPTIONS!$C$18*ASSUMPTIONS!$C$22)*(1+H759)*(1-((1+H759)/(1+I759))^5)/(I759-H759))+((ASSUMPTIONS!$C$18*J759*(1-ASSUMPTIONS!$C$20)+ASSUMPTIONS!$C$18*ASSUMPTIONS!$C$21-ASSUMPTIONS!$C$18*ASSUMPTIONS!$C$22)*(1+H759)^5*(1+K759)/(I759-K759)/(1+I759)^5)-DCF!$C$12)/ASSUMPTIONS!$C$7</f>
        <v/>
      </c>
    </row>
    <row r="760">
      <c r="H760" s="83">
        <f>_xlfn.NORM.INV(RAND(),AVERAGE(ASSUMPTIONS!$C$38,ASSUMPTIONS!$C$39,ASSUMPTIONS!$C$40,ASSUMPTIONS!$C$41,ASSUMPTIONS!$C$42),ASSUMPTIONS!$C$68)</f>
        <v/>
      </c>
      <c r="I760" s="83">
        <f>MAX(_xlfn.NORM.INV(RAND(),DCF!$C$11,ASSUMPTIONS!$C$69),K760+0.005)</f>
        <v/>
      </c>
      <c r="J760" s="83">
        <f>_xlfn.NORM.INV(RAND(),ASSUMPTIONS!$C$19,ASSUMPTIONS!$C$70)</f>
        <v/>
      </c>
      <c r="K760" s="83">
        <f>_xlfn.NORM.INV(RAND(),ASSUMPTIONS!$C$43,ASSUMPTIONS!$C$71)</f>
        <v/>
      </c>
      <c r="L760" s="84">
        <f>(((ASSUMPTIONS!$C$18*J760*(1-ASSUMPTIONS!$C$20)+ASSUMPTIONS!$C$18*ASSUMPTIONS!$C$21-ASSUMPTIONS!$C$18*ASSUMPTIONS!$C$22)*(1+H760)*(1-((1+H760)/(1+I760))^5)/(I760-H760))+((ASSUMPTIONS!$C$18*J760*(1-ASSUMPTIONS!$C$20)+ASSUMPTIONS!$C$18*ASSUMPTIONS!$C$21-ASSUMPTIONS!$C$18*ASSUMPTIONS!$C$22)*(1+H760)^5*(1+K760)/(I760-K760)/(1+I760)^5)-DCF!$C$12)/ASSUMPTIONS!$C$7</f>
        <v/>
      </c>
    </row>
    <row r="761">
      <c r="H761" s="83">
        <f>_xlfn.NORM.INV(RAND(),AVERAGE(ASSUMPTIONS!$C$38,ASSUMPTIONS!$C$39,ASSUMPTIONS!$C$40,ASSUMPTIONS!$C$41,ASSUMPTIONS!$C$42),ASSUMPTIONS!$C$68)</f>
        <v/>
      </c>
      <c r="I761" s="83">
        <f>MAX(_xlfn.NORM.INV(RAND(),DCF!$C$11,ASSUMPTIONS!$C$69),K761+0.005)</f>
        <v/>
      </c>
      <c r="J761" s="83">
        <f>_xlfn.NORM.INV(RAND(),ASSUMPTIONS!$C$19,ASSUMPTIONS!$C$70)</f>
        <v/>
      </c>
      <c r="K761" s="83">
        <f>_xlfn.NORM.INV(RAND(),ASSUMPTIONS!$C$43,ASSUMPTIONS!$C$71)</f>
        <v/>
      </c>
      <c r="L761" s="84">
        <f>(((ASSUMPTIONS!$C$18*J761*(1-ASSUMPTIONS!$C$20)+ASSUMPTIONS!$C$18*ASSUMPTIONS!$C$21-ASSUMPTIONS!$C$18*ASSUMPTIONS!$C$22)*(1+H761)*(1-((1+H761)/(1+I761))^5)/(I761-H761))+((ASSUMPTIONS!$C$18*J761*(1-ASSUMPTIONS!$C$20)+ASSUMPTIONS!$C$18*ASSUMPTIONS!$C$21-ASSUMPTIONS!$C$18*ASSUMPTIONS!$C$22)*(1+H761)^5*(1+K761)/(I761-K761)/(1+I761)^5)-DCF!$C$12)/ASSUMPTIONS!$C$7</f>
        <v/>
      </c>
    </row>
    <row r="762">
      <c r="H762" s="83">
        <f>_xlfn.NORM.INV(RAND(),AVERAGE(ASSUMPTIONS!$C$38,ASSUMPTIONS!$C$39,ASSUMPTIONS!$C$40,ASSUMPTIONS!$C$41,ASSUMPTIONS!$C$42),ASSUMPTIONS!$C$68)</f>
        <v/>
      </c>
      <c r="I762" s="83">
        <f>MAX(_xlfn.NORM.INV(RAND(),DCF!$C$11,ASSUMPTIONS!$C$69),K762+0.005)</f>
        <v/>
      </c>
      <c r="J762" s="83">
        <f>_xlfn.NORM.INV(RAND(),ASSUMPTIONS!$C$19,ASSUMPTIONS!$C$70)</f>
        <v/>
      </c>
      <c r="K762" s="83">
        <f>_xlfn.NORM.INV(RAND(),ASSUMPTIONS!$C$43,ASSUMPTIONS!$C$71)</f>
        <v/>
      </c>
      <c r="L762" s="84">
        <f>(((ASSUMPTIONS!$C$18*J762*(1-ASSUMPTIONS!$C$20)+ASSUMPTIONS!$C$18*ASSUMPTIONS!$C$21-ASSUMPTIONS!$C$18*ASSUMPTIONS!$C$22)*(1+H762)*(1-((1+H762)/(1+I762))^5)/(I762-H762))+((ASSUMPTIONS!$C$18*J762*(1-ASSUMPTIONS!$C$20)+ASSUMPTIONS!$C$18*ASSUMPTIONS!$C$21-ASSUMPTIONS!$C$18*ASSUMPTIONS!$C$22)*(1+H762)^5*(1+K762)/(I762-K762)/(1+I762)^5)-DCF!$C$12)/ASSUMPTIONS!$C$7</f>
        <v/>
      </c>
    </row>
    <row r="763">
      <c r="H763" s="83">
        <f>_xlfn.NORM.INV(RAND(),AVERAGE(ASSUMPTIONS!$C$38,ASSUMPTIONS!$C$39,ASSUMPTIONS!$C$40,ASSUMPTIONS!$C$41,ASSUMPTIONS!$C$42),ASSUMPTIONS!$C$68)</f>
        <v/>
      </c>
      <c r="I763" s="83">
        <f>MAX(_xlfn.NORM.INV(RAND(),DCF!$C$11,ASSUMPTIONS!$C$69),K763+0.005)</f>
        <v/>
      </c>
      <c r="J763" s="83">
        <f>_xlfn.NORM.INV(RAND(),ASSUMPTIONS!$C$19,ASSUMPTIONS!$C$70)</f>
        <v/>
      </c>
      <c r="K763" s="83">
        <f>_xlfn.NORM.INV(RAND(),ASSUMPTIONS!$C$43,ASSUMPTIONS!$C$71)</f>
        <v/>
      </c>
      <c r="L763" s="84">
        <f>(((ASSUMPTIONS!$C$18*J763*(1-ASSUMPTIONS!$C$20)+ASSUMPTIONS!$C$18*ASSUMPTIONS!$C$21-ASSUMPTIONS!$C$18*ASSUMPTIONS!$C$22)*(1+H763)*(1-((1+H763)/(1+I763))^5)/(I763-H763))+((ASSUMPTIONS!$C$18*J763*(1-ASSUMPTIONS!$C$20)+ASSUMPTIONS!$C$18*ASSUMPTIONS!$C$21-ASSUMPTIONS!$C$18*ASSUMPTIONS!$C$22)*(1+H763)^5*(1+K763)/(I763-K763)/(1+I763)^5)-DCF!$C$12)/ASSUMPTIONS!$C$7</f>
        <v/>
      </c>
    </row>
    <row r="764">
      <c r="H764" s="83">
        <f>_xlfn.NORM.INV(RAND(),AVERAGE(ASSUMPTIONS!$C$38,ASSUMPTIONS!$C$39,ASSUMPTIONS!$C$40,ASSUMPTIONS!$C$41,ASSUMPTIONS!$C$42),ASSUMPTIONS!$C$68)</f>
        <v/>
      </c>
      <c r="I764" s="83">
        <f>MAX(_xlfn.NORM.INV(RAND(),DCF!$C$11,ASSUMPTIONS!$C$69),K764+0.005)</f>
        <v/>
      </c>
      <c r="J764" s="83">
        <f>_xlfn.NORM.INV(RAND(),ASSUMPTIONS!$C$19,ASSUMPTIONS!$C$70)</f>
        <v/>
      </c>
      <c r="K764" s="83">
        <f>_xlfn.NORM.INV(RAND(),ASSUMPTIONS!$C$43,ASSUMPTIONS!$C$71)</f>
        <v/>
      </c>
      <c r="L764" s="84">
        <f>(((ASSUMPTIONS!$C$18*J764*(1-ASSUMPTIONS!$C$20)+ASSUMPTIONS!$C$18*ASSUMPTIONS!$C$21-ASSUMPTIONS!$C$18*ASSUMPTIONS!$C$22)*(1+H764)*(1-((1+H764)/(1+I764))^5)/(I764-H764))+((ASSUMPTIONS!$C$18*J764*(1-ASSUMPTIONS!$C$20)+ASSUMPTIONS!$C$18*ASSUMPTIONS!$C$21-ASSUMPTIONS!$C$18*ASSUMPTIONS!$C$22)*(1+H764)^5*(1+K764)/(I764-K764)/(1+I764)^5)-DCF!$C$12)/ASSUMPTIONS!$C$7</f>
        <v/>
      </c>
    </row>
    <row r="765">
      <c r="H765" s="83">
        <f>_xlfn.NORM.INV(RAND(),AVERAGE(ASSUMPTIONS!$C$38,ASSUMPTIONS!$C$39,ASSUMPTIONS!$C$40,ASSUMPTIONS!$C$41,ASSUMPTIONS!$C$42),ASSUMPTIONS!$C$68)</f>
        <v/>
      </c>
      <c r="I765" s="83">
        <f>MAX(_xlfn.NORM.INV(RAND(),DCF!$C$11,ASSUMPTIONS!$C$69),K765+0.005)</f>
        <v/>
      </c>
      <c r="J765" s="83">
        <f>_xlfn.NORM.INV(RAND(),ASSUMPTIONS!$C$19,ASSUMPTIONS!$C$70)</f>
        <v/>
      </c>
      <c r="K765" s="83">
        <f>_xlfn.NORM.INV(RAND(),ASSUMPTIONS!$C$43,ASSUMPTIONS!$C$71)</f>
        <v/>
      </c>
      <c r="L765" s="84">
        <f>(((ASSUMPTIONS!$C$18*J765*(1-ASSUMPTIONS!$C$20)+ASSUMPTIONS!$C$18*ASSUMPTIONS!$C$21-ASSUMPTIONS!$C$18*ASSUMPTIONS!$C$22)*(1+H765)*(1-((1+H765)/(1+I765))^5)/(I765-H765))+((ASSUMPTIONS!$C$18*J765*(1-ASSUMPTIONS!$C$20)+ASSUMPTIONS!$C$18*ASSUMPTIONS!$C$21-ASSUMPTIONS!$C$18*ASSUMPTIONS!$C$22)*(1+H765)^5*(1+K765)/(I765-K765)/(1+I765)^5)-DCF!$C$12)/ASSUMPTIONS!$C$7</f>
        <v/>
      </c>
    </row>
    <row r="766">
      <c r="H766" s="83">
        <f>_xlfn.NORM.INV(RAND(),AVERAGE(ASSUMPTIONS!$C$38,ASSUMPTIONS!$C$39,ASSUMPTIONS!$C$40,ASSUMPTIONS!$C$41,ASSUMPTIONS!$C$42),ASSUMPTIONS!$C$68)</f>
        <v/>
      </c>
      <c r="I766" s="83">
        <f>MAX(_xlfn.NORM.INV(RAND(),DCF!$C$11,ASSUMPTIONS!$C$69),K766+0.005)</f>
        <v/>
      </c>
      <c r="J766" s="83">
        <f>_xlfn.NORM.INV(RAND(),ASSUMPTIONS!$C$19,ASSUMPTIONS!$C$70)</f>
        <v/>
      </c>
      <c r="K766" s="83">
        <f>_xlfn.NORM.INV(RAND(),ASSUMPTIONS!$C$43,ASSUMPTIONS!$C$71)</f>
        <v/>
      </c>
      <c r="L766" s="84">
        <f>(((ASSUMPTIONS!$C$18*J766*(1-ASSUMPTIONS!$C$20)+ASSUMPTIONS!$C$18*ASSUMPTIONS!$C$21-ASSUMPTIONS!$C$18*ASSUMPTIONS!$C$22)*(1+H766)*(1-((1+H766)/(1+I766))^5)/(I766-H766))+((ASSUMPTIONS!$C$18*J766*(1-ASSUMPTIONS!$C$20)+ASSUMPTIONS!$C$18*ASSUMPTIONS!$C$21-ASSUMPTIONS!$C$18*ASSUMPTIONS!$C$22)*(1+H766)^5*(1+K766)/(I766-K766)/(1+I766)^5)-DCF!$C$12)/ASSUMPTIONS!$C$7</f>
        <v/>
      </c>
    </row>
    <row r="767">
      <c r="H767" s="83">
        <f>_xlfn.NORM.INV(RAND(),AVERAGE(ASSUMPTIONS!$C$38,ASSUMPTIONS!$C$39,ASSUMPTIONS!$C$40,ASSUMPTIONS!$C$41,ASSUMPTIONS!$C$42),ASSUMPTIONS!$C$68)</f>
        <v/>
      </c>
      <c r="I767" s="83">
        <f>MAX(_xlfn.NORM.INV(RAND(),DCF!$C$11,ASSUMPTIONS!$C$69),K767+0.005)</f>
        <v/>
      </c>
      <c r="J767" s="83">
        <f>_xlfn.NORM.INV(RAND(),ASSUMPTIONS!$C$19,ASSUMPTIONS!$C$70)</f>
        <v/>
      </c>
      <c r="K767" s="83">
        <f>_xlfn.NORM.INV(RAND(),ASSUMPTIONS!$C$43,ASSUMPTIONS!$C$71)</f>
        <v/>
      </c>
      <c r="L767" s="84">
        <f>(((ASSUMPTIONS!$C$18*J767*(1-ASSUMPTIONS!$C$20)+ASSUMPTIONS!$C$18*ASSUMPTIONS!$C$21-ASSUMPTIONS!$C$18*ASSUMPTIONS!$C$22)*(1+H767)*(1-((1+H767)/(1+I767))^5)/(I767-H767))+((ASSUMPTIONS!$C$18*J767*(1-ASSUMPTIONS!$C$20)+ASSUMPTIONS!$C$18*ASSUMPTIONS!$C$21-ASSUMPTIONS!$C$18*ASSUMPTIONS!$C$22)*(1+H767)^5*(1+K767)/(I767-K767)/(1+I767)^5)-DCF!$C$12)/ASSUMPTIONS!$C$7</f>
        <v/>
      </c>
    </row>
    <row r="768">
      <c r="H768" s="83">
        <f>_xlfn.NORM.INV(RAND(),AVERAGE(ASSUMPTIONS!$C$38,ASSUMPTIONS!$C$39,ASSUMPTIONS!$C$40,ASSUMPTIONS!$C$41,ASSUMPTIONS!$C$42),ASSUMPTIONS!$C$68)</f>
        <v/>
      </c>
      <c r="I768" s="83">
        <f>MAX(_xlfn.NORM.INV(RAND(),DCF!$C$11,ASSUMPTIONS!$C$69),K768+0.005)</f>
        <v/>
      </c>
      <c r="J768" s="83">
        <f>_xlfn.NORM.INV(RAND(),ASSUMPTIONS!$C$19,ASSUMPTIONS!$C$70)</f>
        <v/>
      </c>
      <c r="K768" s="83">
        <f>_xlfn.NORM.INV(RAND(),ASSUMPTIONS!$C$43,ASSUMPTIONS!$C$71)</f>
        <v/>
      </c>
      <c r="L768" s="84">
        <f>(((ASSUMPTIONS!$C$18*J768*(1-ASSUMPTIONS!$C$20)+ASSUMPTIONS!$C$18*ASSUMPTIONS!$C$21-ASSUMPTIONS!$C$18*ASSUMPTIONS!$C$22)*(1+H768)*(1-((1+H768)/(1+I768))^5)/(I768-H768))+((ASSUMPTIONS!$C$18*J768*(1-ASSUMPTIONS!$C$20)+ASSUMPTIONS!$C$18*ASSUMPTIONS!$C$21-ASSUMPTIONS!$C$18*ASSUMPTIONS!$C$22)*(1+H768)^5*(1+K768)/(I768-K768)/(1+I768)^5)-DCF!$C$12)/ASSUMPTIONS!$C$7</f>
        <v/>
      </c>
    </row>
    <row r="769">
      <c r="H769" s="83">
        <f>_xlfn.NORM.INV(RAND(),AVERAGE(ASSUMPTIONS!$C$38,ASSUMPTIONS!$C$39,ASSUMPTIONS!$C$40,ASSUMPTIONS!$C$41,ASSUMPTIONS!$C$42),ASSUMPTIONS!$C$68)</f>
        <v/>
      </c>
      <c r="I769" s="83">
        <f>MAX(_xlfn.NORM.INV(RAND(),DCF!$C$11,ASSUMPTIONS!$C$69),K769+0.005)</f>
        <v/>
      </c>
      <c r="J769" s="83">
        <f>_xlfn.NORM.INV(RAND(),ASSUMPTIONS!$C$19,ASSUMPTIONS!$C$70)</f>
        <v/>
      </c>
      <c r="K769" s="83">
        <f>_xlfn.NORM.INV(RAND(),ASSUMPTIONS!$C$43,ASSUMPTIONS!$C$71)</f>
        <v/>
      </c>
      <c r="L769" s="84">
        <f>(((ASSUMPTIONS!$C$18*J769*(1-ASSUMPTIONS!$C$20)+ASSUMPTIONS!$C$18*ASSUMPTIONS!$C$21-ASSUMPTIONS!$C$18*ASSUMPTIONS!$C$22)*(1+H769)*(1-((1+H769)/(1+I769))^5)/(I769-H769))+((ASSUMPTIONS!$C$18*J769*(1-ASSUMPTIONS!$C$20)+ASSUMPTIONS!$C$18*ASSUMPTIONS!$C$21-ASSUMPTIONS!$C$18*ASSUMPTIONS!$C$22)*(1+H769)^5*(1+K769)/(I769-K769)/(1+I769)^5)-DCF!$C$12)/ASSUMPTIONS!$C$7</f>
        <v/>
      </c>
    </row>
    <row r="770">
      <c r="H770" s="83">
        <f>_xlfn.NORM.INV(RAND(),AVERAGE(ASSUMPTIONS!$C$38,ASSUMPTIONS!$C$39,ASSUMPTIONS!$C$40,ASSUMPTIONS!$C$41,ASSUMPTIONS!$C$42),ASSUMPTIONS!$C$68)</f>
        <v/>
      </c>
      <c r="I770" s="83">
        <f>MAX(_xlfn.NORM.INV(RAND(),DCF!$C$11,ASSUMPTIONS!$C$69),K770+0.005)</f>
        <v/>
      </c>
      <c r="J770" s="83">
        <f>_xlfn.NORM.INV(RAND(),ASSUMPTIONS!$C$19,ASSUMPTIONS!$C$70)</f>
        <v/>
      </c>
      <c r="K770" s="83">
        <f>_xlfn.NORM.INV(RAND(),ASSUMPTIONS!$C$43,ASSUMPTIONS!$C$71)</f>
        <v/>
      </c>
      <c r="L770" s="84">
        <f>(((ASSUMPTIONS!$C$18*J770*(1-ASSUMPTIONS!$C$20)+ASSUMPTIONS!$C$18*ASSUMPTIONS!$C$21-ASSUMPTIONS!$C$18*ASSUMPTIONS!$C$22)*(1+H770)*(1-((1+H770)/(1+I770))^5)/(I770-H770))+((ASSUMPTIONS!$C$18*J770*(1-ASSUMPTIONS!$C$20)+ASSUMPTIONS!$C$18*ASSUMPTIONS!$C$21-ASSUMPTIONS!$C$18*ASSUMPTIONS!$C$22)*(1+H770)^5*(1+K770)/(I770-K770)/(1+I770)^5)-DCF!$C$12)/ASSUMPTIONS!$C$7</f>
        <v/>
      </c>
    </row>
    <row r="771">
      <c r="H771" s="83">
        <f>_xlfn.NORM.INV(RAND(),AVERAGE(ASSUMPTIONS!$C$38,ASSUMPTIONS!$C$39,ASSUMPTIONS!$C$40,ASSUMPTIONS!$C$41,ASSUMPTIONS!$C$42),ASSUMPTIONS!$C$68)</f>
        <v/>
      </c>
      <c r="I771" s="83">
        <f>MAX(_xlfn.NORM.INV(RAND(),DCF!$C$11,ASSUMPTIONS!$C$69),K771+0.005)</f>
        <v/>
      </c>
      <c r="J771" s="83">
        <f>_xlfn.NORM.INV(RAND(),ASSUMPTIONS!$C$19,ASSUMPTIONS!$C$70)</f>
        <v/>
      </c>
      <c r="K771" s="83">
        <f>_xlfn.NORM.INV(RAND(),ASSUMPTIONS!$C$43,ASSUMPTIONS!$C$71)</f>
        <v/>
      </c>
      <c r="L771" s="84">
        <f>(((ASSUMPTIONS!$C$18*J771*(1-ASSUMPTIONS!$C$20)+ASSUMPTIONS!$C$18*ASSUMPTIONS!$C$21-ASSUMPTIONS!$C$18*ASSUMPTIONS!$C$22)*(1+H771)*(1-((1+H771)/(1+I771))^5)/(I771-H771))+((ASSUMPTIONS!$C$18*J771*(1-ASSUMPTIONS!$C$20)+ASSUMPTIONS!$C$18*ASSUMPTIONS!$C$21-ASSUMPTIONS!$C$18*ASSUMPTIONS!$C$22)*(1+H771)^5*(1+K771)/(I771-K771)/(1+I771)^5)-DCF!$C$12)/ASSUMPTIONS!$C$7</f>
        <v/>
      </c>
    </row>
    <row r="772">
      <c r="H772" s="83">
        <f>_xlfn.NORM.INV(RAND(),AVERAGE(ASSUMPTIONS!$C$38,ASSUMPTIONS!$C$39,ASSUMPTIONS!$C$40,ASSUMPTIONS!$C$41,ASSUMPTIONS!$C$42),ASSUMPTIONS!$C$68)</f>
        <v/>
      </c>
      <c r="I772" s="83">
        <f>MAX(_xlfn.NORM.INV(RAND(),DCF!$C$11,ASSUMPTIONS!$C$69),K772+0.005)</f>
        <v/>
      </c>
      <c r="J772" s="83">
        <f>_xlfn.NORM.INV(RAND(),ASSUMPTIONS!$C$19,ASSUMPTIONS!$C$70)</f>
        <v/>
      </c>
      <c r="K772" s="83">
        <f>_xlfn.NORM.INV(RAND(),ASSUMPTIONS!$C$43,ASSUMPTIONS!$C$71)</f>
        <v/>
      </c>
      <c r="L772" s="84">
        <f>(((ASSUMPTIONS!$C$18*J772*(1-ASSUMPTIONS!$C$20)+ASSUMPTIONS!$C$18*ASSUMPTIONS!$C$21-ASSUMPTIONS!$C$18*ASSUMPTIONS!$C$22)*(1+H772)*(1-((1+H772)/(1+I772))^5)/(I772-H772))+((ASSUMPTIONS!$C$18*J772*(1-ASSUMPTIONS!$C$20)+ASSUMPTIONS!$C$18*ASSUMPTIONS!$C$21-ASSUMPTIONS!$C$18*ASSUMPTIONS!$C$22)*(1+H772)^5*(1+K772)/(I772-K772)/(1+I772)^5)-DCF!$C$12)/ASSUMPTIONS!$C$7</f>
        <v/>
      </c>
    </row>
    <row r="773">
      <c r="H773" s="83">
        <f>_xlfn.NORM.INV(RAND(),AVERAGE(ASSUMPTIONS!$C$38,ASSUMPTIONS!$C$39,ASSUMPTIONS!$C$40,ASSUMPTIONS!$C$41,ASSUMPTIONS!$C$42),ASSUMPTIONS!$C$68)</f>
        <v/>
      </c>
      <c r="I773" s="83">
        <f>MAX(_xlfn.NORM.INV(RAND(),DCF!$C$11,ASSUMPTIONS!$C$69),K773+0.005)</f>
        <v/>
      </c>
      <c r="J773" s="83">
        <f>_xlfn.NORM.INV(RAND(),ASSUMPTIONS!$C$19,ASSUMPTIONS!$C$70)</f>
        <v/>
      </c>
      <c r="K773" s="83">
        <f>_xlfn.NORM.INV(RAND(),ASSUMPTIONS!$C$43,ASSUMPTIONS!$C$71)</f>
        <v/>
      </c>
      <c r="L773" s="84">
        <f>(((ASSUMPTIONS!$C$18*J773*(1-ASSUMPTIONS!$C$20)+ASSUMPTIONS!$C$18*ASSUMPTIONS!$C$21-ASSUMPTIONS!$C$18*ASSUMPTIONS!$C$22)*(1+H773)*(1-((1+H773)/(1+I773))^5)/(I773-H773))+((ASSUMPTIONS!$C$18*J773*(1-ASSUMPTIONS!$C$20)+ASSUMPTIONS!$C$18*ASSUMPTIONS!$C$21-ASSUMPTIONS!$C$18*ASSUMPTIONS!$C$22)*(1+H773)^5*(1+K773)/(I773-K773)/(1+I773)^5)-DCF!$C$12)/ASSUMPTIONS!$C$7</f>
        <v/>
      </c>
    </row>
    <row r="774">
      <c r="H774" s="83">
        <f>_xlfn.NORM.INV(RAND(),AVERAGE(ASSUMPTIONS!$C$38,ASSUMPTIONS!$C$39,ASSUMPTIONS!$C$40,ASSUMPTIONS!$C$41,ASSUMPTIONS!$C$42),ASSUMPTIONS!$C$68)</f>
        <v/>
      </c>
      <c r="I774" s="83">
        <f>MAX(_xlfn.NORM.INV(RAND(),DCF!$C$11,ASSUMPTIONS!$C$69),K774+0.005)</f>
        <v/>
      </c>
      <c r="J774" s="83">
        <f>_xlfn.NORM.INV(RAND(),ASSUMPTIONS!$C$19,ASSUMPTIONS!$C$70)</f>
        <v/>
      </c>
      <c r="K774" s="83">
        <f>_xlfn.NORM.INV(RAND(),ASSUMPTIONS!$C$43,ASSUMPTIONS!$C$71)</f>
        <v/>
      </c>
      <c r="L774" s="84">
        <f>(((ASSUMPTIONS!$C$18*J774*(1-ASSUMPTIONS!$C$20)+ASSUMPTIONS!$C$18*ASSUMPTIONS!$C$21-ASSUMPTIONS!$C$18*ASSUMPTIONS!$C$22)*(1+H774)*(1-((1+H774)/(1+I774))^5)/(I774-H774))+((ASSUMPTIONS!$C$18*J774*(1-ASSUMPTIONS!$C$20)+ASSUMPTIONS!$C$18*ASSUMPTIONS!$C$21-ASSUMPTIONS!$C$18*ASSUMPTIONS!$C$22)*(1+H774)^5*(1+K774)/(I774-K774)/(1+I774)^5)-DCF!$C$12)/ASSUMPTIONS!$C$7</f>
        <v/>
      </c>
    </row>
    <row r="775">
      <c r="H775" s="83">
        <f>_xlfn.NORM.INV(RAND(),AVERAGE(ASSUMPTIONS!$C$38,ASSUMPTIONS!$C$39,ASSUMPTIONS!$C$40,ASSUMPTIONS!$C$41,ASSUMPTIONS!$C$42),ASSUMPTIONS!$C$68)</f>
        <v/>
      </c>
      <c r="I775" s="83">
        <f>MAX(_xlfn.NORM.INV(RAND(),DCF!$C$11,ASSUMPTIONS!$C$69),K775+0.005)</f>
        <v/>
      </c>
      <c r="J775" s="83">
        <f>_xlfn.NORM.INV(RAND(),ASSUMPTIONS!$C$19,ASSUMPTIONS!$C$70)</f>
        <v/>
      </c>
      <c r="K775" s="83">
        <f>_xlfn.NORM.INV(RAND(),ASSUMPTIONS!$C$43,ASSUMPTIONS!$C$71)</f>
        <v/>
      </c>
      <c r="L775" s="84">
        <f>(((ASSUMPTIONS!$C$18*J775*(1-ASSUMPTIONS!$C$20)+ASSUMPTIONS!$C$18*ASSUMPTIONS!$C$21-ASSUMPTIONS!$C$18*ASSUMPTIONS!$C$22)*(1+H775)*(1-((1+H775)/(1+I775))^5)/(I775-H775))+((ASSUMPTIONS!$C$18*J775*(1-ASSUMPTIONS!$C$20)+ASSUMPTIONS!$C$18*ASSUMPTIONS!$C$21-ASSUMPTIONS!$C$18*ASSUMPTIONS!$C$22)*(1+H775)^5*(1+K775)/(I775-K775)/(1+I775)^5)-DCF!$C$12)/ASSUMPTIONS!$C$7</f>
        <v/>
      </c>
    </row>
    <row r="776">
      <c r="H776" s="83">
        <f>_xlfn.NORM.INV(RAND(),AVERAGE(ASSUMPTIONS!$C$38,ASSUMPTIONS!$C$39,ASSUMPTIONS!$C$40,ASSUMPTIONS!$C$41,ASSUMPTIONS!$C$42),ASSUMPTIONS!$C$68)</f>
        <v/>
      </c>
      <c r="I776" s="83">
        <f>MAX(_xlfn.NORM.INV(RAND(),DCF!$C$11,ASSUMPTIONS!$C$69),K776+0.005)</f>
        <v/>
      </c>
      <c r="J776" s="83">
        <f>_xlfn.NORM.INV(RAND(),ASSUMPTIONS!$C$19,ASSUMPTIONS!$C$70)</f>
        <v/>
      </c>
      <c r="K776" s="83">
        <f>_xlfn.NORM.INV(RAND(),ASSUMPTIONS!$C$43,ASSUMPTIONS!$C$71)</f>
        <v/>
      </c>
      <c r="L776" s="84">
        <f>(((ASSUMPTIONS!$C$18*J776*(1-ASSUMPTIONS!$C$20)+ASSUMPTIONS!$C$18*ASSUMPTIONS!$C$21-ASSUMPTIONS!$C$18*ASSUMPTIONS!$C$22)*(1+H776)*(1-((1+H776)/(1+I776))^5)/(I776-H776))+((ASSUMPTIONS!$C$18*J776*(1-ASSUMPTIONS!$C$20)+ASSUMPTIONS!$C$18*ASSUMPTIONS!$C$21-ASSUMPTIONS!$C$18*ASSUMPTIONS!$C$22)*(1+H776)^5*(1+K776)/(I776-K776)/(1+I776)^5)-DCF!$C$12)/ASSUMPTIONS!$C$7</f>
        <v/>
      </c>
    </row>
    <row r="777">
      <c r="H777" s="83">
        <f>_xlfn.NORM.INV(RAND(),AVERAGE(ASSUMPTIONS!$C$38,ASSUMPTIONS!$C$39,ASSUMPTIONS!$C$40,ASSUMPTIONS!$C$41,ASSUMPTIONS!$C$42),ASSUMPTIONS!$C$68)</f>
        <v/>
      </c>
      <c r="I777" s="83">
        <f>MAX(_xlfn.NORM.INV(RAND(),DCF!$C$11,ASSUMPTIONS!$C$69),K777+0.005)</f>
        <v/>
      </c>
      <c r="J777" s="83">
        <f>_xlfn.NORM.INV(RAND(),ASSUMPTIONS!$C$19,ASSUMPTIONS!$C$70)</f>
        <v/>
      </c>
      <c r="K777" s="83">
        <f>_xlfn.NORM.INV(RAND(),ASSUMPTIONS!$C$43,ASSUMPTIONS!$C$71)</f>
        <v/>
      </c>
      <c r="L777" s="84">
        <f>(((ASSUMPTIONS!$C$18*J777*(1-ASSUMPTIONS!$C$20)+ASSUMPTIONS!$C$18*ASSUMPTIONS!$C$21-ASSUMPTIONS!$C$18*ASSUMPTIONS!$C$22)*(1+H777)*(1-((1+H777)/(1+I777))^5)/(I777-H777))+((ASSUMPTIONS!$C$18*J777*(1-ASSUMPTIONS!$C$20)+ASSUMPTIONS!$C$18*ASSUMPTIONS!$C$21-ASSUMPTIONS!$C$18*ASSUMPTIONS!$C$22)*(1+H777)^5*(1+K777)/(I777-K777)/(1+I777)^5)-DCF!$C$12)/ASSUMPTIONS!$C$7</f>
        <v/>
      </c>
    </row>
    <row r="778">
      <c r="H778" s="83">
        <f>_xlfn.NORM.INV(RAND(),AVERAGE(ASSUMPTIONS!$C$38,ASSUMPTIONS!$C$39,ASSUMPTIONS!$C$40,ASSUMPTIONS!$C$41,ASSUMPTIONS!$C$42),ASSUMPTIONS!$C$68)</f>
        <v/>
      </c>
      <c r="I778" s="83">
        <f>MAX(_xlfn.NORM.INV(RAND(),DCF!$C$11,ASSUMPTIONS!$C$69),K778+0.005)</f>
        <v/>
      </c>
      <c r="J778" s="83">
        <f>_xlfn.NORM.INV(RAND(),ASSUMPTIONS!$C$19,ASSUMPTIONS!$C$70)</f>
        <v/>
      </c>
      <c r="K778" s="83">
        <f>_xlfn.NORM.INV(RAND(),ASSUMPTIONS!$C$43,ASSUMPTIONS!$C$71)</f>
        <v/>
      </c>
      <c r="L778" s="84">
        <f>(((ASSUMPTIONS!$C$18*J778*(1-ASSUMPTIONS!$C$20)+ASSUMPTIONS!$C$18*ASSUMPTIONS!$C$21-ASSUMPTIONS!$C$18*ASSUMPTIONS!$C$22)*(1+H778)*(1-((1+H778)/(1+I778))^5)/(I778-H778))+((ASSUMPTIONS!$C$18*J778*(1-ASSUMPTIONS!$C$20)+ASSUMPTIONS!$C$18*ASSUMPTIONS!$C$21-ASSUMPTIONS!$C$18*ASSUMPTIONS!$C$22)*(1+H778)^5*(1+K778)/(I778-K778)/(1+I778)^5)-DCF!$C$12)/ASSUMPTIONS!$C$7</f>
        <v/>
      </c>
    </row>
    <row r="779">
      <c r="H779" s="83">
        <f>_xlfn.NORM.INV(RAND(),AVERAGE(ASSUMPTIONS!$C$38,ASSUMPTIONS!$C$39,ASSUMPTIONS!$C$40,ASSUMPTIONS!$C$41,ASSUMPTIONS!$C$42),ASSUMPTIONS!$C$68)</f>
        <v/>
      </c>
      <c r="I779" s="83">
        <f>MAX(_xlfn.NORM.INV(RAND(),DCF!$C$11,ASSUMPTIONS!$C$69),K779+0.005)</f>
        <v/>
      </c>
      <c r="J779" s="83">
        <f>_xlfn.NORM.INV(RAND(),ASSUMPTIONS!$C$19,ASSUMPTIONS!$C$70)</f>
        <v/>
      </c>
      <c r="K779" s="83">
        <f>_xlfn.NORM.INV(RAND(),ASSUMPTIONS!$C$43,ASSUMPTIONS!$C$71)</f>
        <v/>
      </c>
      <c r="L779" s="84">
        <f>(((ASSUMPTIONS!$C$18*J779*(1-ASSUMPTIONS!$C$20)+ASSUMPTIONS!$C$18*ASSUMPTIONS!$C$21-ASSUMPTIONS!$C$18*ASSUMPTIONS!$C$22)*(1+H779)*(1-((1+H779)/(1+I779))^5)/(I779-H779))+((ASSUMPTIONS!$C$18*J779*(1-ASSUMPTIONS!$C$20)+ASSUMPTIONS!$C$18*ASSUMPTIONS!$C$21-ASSUMPTIONS!$C$18*ASSUMPTIONS!$C$22)*(1+H779)^5*(1+K779)/(I779-K779)/(1+I779)^5)-DCF!$C$12)/ASSUMPTIONS!$C$7</f>
        <v/>
      </c>
    </row>
    <row r="780">
      <c r="H780" s="83">
        <f>_xlfn.NORM.INV(RAND(),AVERAGE(ASSUMPTIONS!$C$38,ASSUMPTIONS!$C$39,ASSUMPTIONS!$C$40,ASSUMPTIONS!$C$41,ASSUMPTIONS!$C$42),ASSUMPTIONS!$C$68)</f>
        <v/>
      </c>
      <c r="I780" s="83">
        <f>MAX(_xlfn.NORM.INV(RAND(),DCF!$C$11,ASSUMPTIONS!$C$69),K780+0.005)</f>
        <v/>
      </c>
      <c r="J780" s="83">
        <f>_xlfn.NORM.INV(RAND(),ASSUMPTIONS!$C$19,ASSUMPTIONS!$C$70)</f>
        <v/>
      </c>
      <c r="K780" s="83">
        <f>_xlfn.NORM.INV(RAND(),ASSUMPTIONS!$C$43,ASSUMPTIONS!$C$71)</f>
        <v/>
      </c>
      <c r="L780" s="84">
        <f>(((ASSUMPTIONS!$C$18*J780*(1-ASSUMPTIONS!$C$20)+ASSUMPTIONS!$C$18*ASSUMPTIONS!$C$21-ASSUMPTIONS!$C$18*ASSUMPTIONS!$C$22)*(1+H780)*(1-((1+H780)/(1+I780))^5)/(I780-H780))+((ASSUMPTIONS!$C$18*J780*(1-ASSUMPTIONS!$C$20)+ASSUMPTIONS!$C$18*ASSUMPTIONS!$C$21-ASSUMPTIONS!$C$18*ASSUMPTIONS!$C$22)*(1+H780)^5*(1+K780)/(I780-K780)/(1+I780)^5)-DCF!$C$12)/ASSUMPTIONS!$C$7</f>
        <v/>
      </c>
    </row>
    <row r="781">
      <c r="H781" s="83">
        <f>_xlfn.NORM.INV(RAND(),AVERAGE(ASSUMPTIONS!$C$38,ASSUMPTIONS!$C$39,ASSUMPTIONS!$C$40,ASSUMPTIONS!$C$41,ASSUMPTIONS!$C$42),ASSUMPTIONS!$C$68)</f>
        <v/>
      </c>
      <c r="I781" s="83">
        <f>MAX(_xlfn.NORM.INV(RAND(),DCF!$C$11,ASSUMPTIONS!$C$69),K781+0.005)</f>
        <v/>
      </c>
      <c r="J781" s="83">
        <f>_xlfn.NORM.INV(RAND(),ASSUMPTIONS!$C$19,ASSUMPTIONS!$C$70)</f>
        <v/>
      </c>
      <c r="K781" s="83">
        <f>_xlfn.NORM.INV(RAND(),ASSUMPTIONS!$C$43,ASSUMPTIONS!$C$71)</f>
        <v/>
      </c>
      <c r="L781" s="84">
        <f>(((ASSUMPTIONS!$C$18*J781*(1-ASSUMPTIONS!$C$20)+ASSUMPTIONS!$C$18*ASSUMPTIONS!$C$21-ASSUMPTIONS!$C$18*ASSUMPTIONS!$C$22)*(1+H781)*(1-((1+H781)/(1+I781))^5)/(I781-H781))+((ASSUMPTIONS!$C$18*J781*(1-ASSUMPTIONS!$C$20)+ASSUMPTIONS!$C$18*ASSUMPTIONS!$C$21-ASSUMPTIONS!$C$18*ASSUMPTIONS!$C$22)*(1+H781)^5*(1+K781)/(I781-K781)/(1+I781)^5)-DCF!$C$12)/ASSUMPTIONS!$C$7</f>
        <v/>
      </c>
    </row>
    <row r="782">
      <c r="H782" s="83">
        <f>_xlfn.NORM.INV(RAND(),AVERAGE(ASSUMPTIONS!$C$38,ASSUMPTIONS!$C$39,ASSUMPTIONS!$C$40,ASSUMPTIONS!$C$41,ASSUMPTIONS!$C$42),ASSUMPTIONS!$C$68)</f>
        <v/>
      </c>
      <c r="I782" s="83">
        <f>MAX(_xlfn.NORM.INV(RAND(),DCF!$C$11,ASSUMPTIONS!$C$69),K782+0.005)</f>
        <v/>
      </c>
      <c r="J782" s="83">
        <f>_xlfn.NORM.INV(RAND(),ASSUMPTIONS!$C$19,ASSUMPTIONS!$C$70)</f>
        <v/>
      </c>
      <c r="K782" s="83">
        <f>_xlfn.NORM.INV(RAND(),ASSUMPTIONS!$C$43,ASSUMPTIONS!$C$71)</f>
        <v/>
      </c>
      <c r="L782" s="84">
        <f>(((ASSUMPTIONS!$C$18*J782*(1-ASSUMPTIONS!$C$20)+ASSUMPTIONS!$C$18*ASSUMPTIONS!$C$21-ASSUMPTIONS!$C$18*ASSUMPTIONS!$C$22)*(1+H782)*(1-((1+H782)/(1+I782))^5)/(I782-H782))+((ASSUMPTIONS!$C$18*J782*(1-ASSUMPTIONS!$C$20)+ASSUMPTIONS!$C$18*ASSUMPTIONS!$C$21-ASSUMPTIONS!$C$18*ASSUMPTIONS!$C$22)*(1+H782)^5*(1+K782)/(I782-K782)/(1+I782)^5)-DCF!$C$12)/ASSUMPTIONS!$C$7</f>
        <v/>
      </c>
    </row>
    <row r="783">
      <c r="H783" s="83">
        <f>_xlfn.NORM.INV(RAND(),AVERAGE(ASSUMPTIONS!$C$38,ASSUMPTIONS!$C$39,ASSUMPTIONS!$C$40,ASSUMPTIONS!$C$41,ASSUMPTIONS!$C$42),ASSUMPTIONS!$C$68)</f>
        <v/>
      </c>
      <c r="I783" s="83">
        <f>MAX(_xlfn.NORM.INV(RAND(),DCF!$C$11,ASSUMPTIONS!$C$69),K783+0.005)</f>
        <v/>
      </c>
      <c r="J783" s="83">
        <f>_xlfn.NORM.INV(RAND(),ASSUMPTIONS!$C$19,ASSUMPTIONS!$C$70)</f>
        <v/>
      </c>
      <c r="K783" s="83">
        <f>_xlfn.NORM.INV(RAND(),ASSUMPTIONS!$C$43,ASSUMPTIONS!$C$71)</f>
        <v/>
      </c>
      <c r="L783" s="84">
        <f>(((ASSUMPTIONS!$C$18*J783*(1-ASSUMPTIONS!$C$20)+ASSUMPTIONS!$C$18*ASSUMPTIONS!$C$21-ASSUMPTIONS!$C$18*ASSUMPTIONS!$C$22)*(1+H783)*(1-((1+H783)/(1+I783))^5)/(I783-H783))+((ASSUMPTIONS!$C$18*J783*(1-ASSUMPTIONS!$C$20)+ASSUMPTIONS!$C$18*ASSUMPTIONS!$C$21-ASSUMPTIONS!$C$18*ASSUMPTIONS!$C$22)*(1+H783)^5*(1+K783)/(I783-K783)/(1+I783)^5)-DCF!$C$12)/ASSUMPTIONS!$C$7</f>
        <v/>
      </c>
    </row>
    <row r="784">
      <c r="H784" s="83">
        <f>_xlfn.NORM.INV(RAND(),AVERAGE(ASSUMPTIONS!$C$38,ASSUMPTIONS!$C$39,ASSUMPTIONS!$C$40,ASSUMPTIONS!$C$41,ASSUMPTIONS!$C$42),ASSUMPTIONS!$C$68)</f>
        <v/>
      </c>
      <c r="I784" s="83">
        <f>MAX(_xlfn.NORM.INV(RAND(),DCF!$C$11,ASSUMPTIONS!$C$69),K784+0.005)</f>
        <v/>
      </c>
      <c r="J784" s="83">
        <f>_xlfn.NORM.INV(RAND(),ASSUMPTIONS!$C$19,ASSUMPTIONS!$C$70)</f>
        <v/>
      </c>
      <c r="K784" s="83">
        <f>_xlfn.NORM.INV(RAND(),ASSUMPTIONS!$C$43,ASSUMPTIONS!$C$71)</f>
        <v/>
      </c>
      <c r="L784" s="84">
        <f>(((ASSUMPTIONS!$C$18*J784*(1-ASSUMPTIONS!$C$20)+ASSUMPTIONS!$C$18*ASSUMPTIONS!$C$21-ASSUMPTIONS!$C$18*ASSUMPTIONS!$C$22)*(1+H784)*(1-((1+H784)/(1+I784))^5)/(I784-H784))+((ASSUMPTIONS!$C$18*J784*(1-ASSUMPTIONS!$C$20)+ASSUMPTIONS!$C$18*ASSUMPTIONS!$C$21-ASSUMPTIONS!$C$18*ASSUMPTIONS!$C$22)*(1+H784)^5*(1+K784)/(I784-K784)/(1+I784)^5)-DCF!$C$12)/ASSUMPTIONS!$C$7</f>
        <v/>
      </c>
    </row>
    <row r="785">
      <c r="H785" s="83">
        <f>_xlfn.NORM.INV(RAND(),AVERAGE(ASSUMPTIONS!$C$38,ASSUMPTIONS!$C$39,ASSUMPTIONS!$C$40,ASSUMPTIONS!$C$41,ASSUMPTIONS!$C$42),ASSUMPTIONS!$C$68)</f>
        <v/>
      </c>
      <c r="I785" s="83">
        <f>MAX(_xlfn.NORM.INV(RAND(),DCF!$C$11,ASSUMPTIONS!$C$69),K785+0.005)</f>
        <v/>
      </c>
      <c r="J785" s="83">
        <f>_xlfn.NORM.INV(RAND(),ASSUMPTIONS!$C$19,ASSUMPTIONS!$C$70)</f>
        <v/>
      </c>
      <c r="K785" s="83">
        <f>_xlfn.NORM.INV(RAND(),ASSUMPTIONS!$C$43,ASSUMPTIONS!$C$71)</f>
        <v/>
      </c>
      <c r="L785" s="84">
        <f>(((ASSUMPTIONS!$C$18*J785*(1-ASSUMPTIONS!$C$20)+ASSUMPTIONS!$C$18*ASSUMPTIONS!$C$21-ASSUMPTIONS!$C$18*ASSUMPTIONS!$C$22)*(1+H785)*(1-((1+H785)/(1+I785))^5)/(I785-H785))+((ASSUMPTIONS!$C$18*J785*(1-ASSUMPTIONS!$C$20)+ASSUMPTIONS!$C$18*ASSUMPTIONS!$C$21-ASSUMPTIONS!$C$18*ASSUMPTIONS!$C$22)*(1+H785)^5*(1+K785)/(I785-K785)/(1+I785)^5)-DCF!$C$12)/ASSUMPTIONS!$C$7</f>
        <v/>
      </c>
    </row>
    <row r="786">
      <c r="H786" s="83">
        <f>_xlfn.NORM.INV(RAND(),AVERAGE(ASSUMPTIONS!$C$38,ASSUMPTIONS!$C$39,ASSUMPTIONS!$C$40,ASSUMPTIONS!$C$41,ASSUMPTIONS!$C$42),ASSUMPTIONS!$C$68)</f>
        <v/>
      </c>
      <c r="I786" s="83">
        <f>MAX(_xlfn.NORM.INV(RAND(),DCF!$C$11,ASSUMPTIONS!$C$69),K786+0.005)</f>
        <v/>
      </c>
      <c r="J786" s="83">
        <f>_xlfn.NORM.INV(RAND(),ASSUMPTIONS!$C$19,ASSUMPTIONS!$C$70)</f>
        <v/>
      </c>
      <c r="K786" s="83">
        <f>_xlfn.NORM.INV(RAND(),ASSUMPTIONS!$C$43,ASSUMPTIONS!$C$71)</f>
        <v/>
      </c>
      <c r="L786" s="84">
        <f>(((ASSUMPTIONS!$C$18*J786*(1-ASSUMPTIONS!$C$20)+ASSUMPTIONS!$C$18*ASSUMPTIONS!$C$21-ASSUMPTIONS!$C$18*ASSUMPTIONS!$C$22)*(1+H786)*(1-((1+H786)/(1+I786))^5)/(I786-H786))+((ASSUMPTIONS!$C$18*J786*(1-ASSUMPTIONS!$C$20)+ASSUMPTIONS!$C$18*ASSUMPTIONS!$C$21-ASSUMPTIONS!$C$18*ASSUMPTIONS!$C$22)*(1+H786)^5*(1+K786)/(I786-K786)/(1+I786)^5)-DCF!$C$12)/ASSUMPTIONS!$C$7</f>
        <v/>
      </c>
    </row>
    <row r="787">
      <c r="H787" s="83">
        <f>_xlfn.NORM.INV(RAND(),AVERAGE(ASSUMPTIONS!$C$38,ASSUMPTIONS!$C$39,ASSUMPTIONS!$C$40,ASSUMPTIONS!$C$41,ASSUMPTIONS!$C$42),ASSUMPTIONS!$C$68)</f>
        <v/>
      </c>
      <c r="I787" s="83">
        <f>MAX(_xlfn.NORM.INV(RAND(),DCF!$C$11,ASSUMPTIONS!$C$69),K787+0.005)</f>
        <v/>
      </c>
      <c r="J787" s="83">
        <f>_xlfn.NORM.INV(RAND(),ASSUMPTIONS!$C$19,ASSUMPTIONS!$C$70)</f>
        <v/>
      </c>
      <c r="K787" s="83">
        <f>_xlfn.NORM.INV(RAND(),ASSUMPTIONS!$C$43,ASSUMPTIONS!$C$71)</f>
        <v/>
      </c>
      <c r="L787" s="84">
        <f>(((ASSUMPTIONS!$C$18*J787*(1-ASSUMPTIONS!$C$20)+ASSUMPTIONS!$C$18*ASSUMPTIONS!$C$21-ASSUMPTIONS!$C$18*ASSUMPTIONS!$C$22)*(1+H787)*(1-((1+H787)/(1+I787))^5)/(I787-H787))+((ASSUMPTIONS!$C$18*J787*(1-ASSUMPTIONS!$C$20)+ASSUMPTIONS!$C$18*ASSUMPTIONS!$C$21-ASSUMPTIONS!$C$18*ASSUMPTIONS!$C$22)*(1+H787)^5*(1+K787)/(I787-K787)/(1+I787)^5)-DCF!$C$12)/ASSUMPTIONS!$C$7</f>
        <v/>
      </c>
    </row>
    <row r="788">
      <c r="H788" s="83">
        <f>_xlfn.NORM.INV(RAND(),AVERAGE(ASSUMPTIONS!$C$38,ASSUMPTIONS!$C$39,ASSUMPTIONS!$C$40,ASSUMPTIONS!$C$41,ASSUMPTIONS!$C$42),ASSUMPTIONS!$C$68)</f>
        <v/>
      </c>
      <c r="I788" s="83">
        <f>MAX(_xlfn.NORM.INV(RAND(),DCF!$C$11,ASSUMPTIONS!$C$69),K788+0.005)</f>
        <v/>
      </c>
      <c r="J788" s="83">
        <f>_xlfn.NORM.INV(RAND(),ASSUMPTIONS!$C$19,ASSUMPTIONS!$C$70)</f>
        <v/>
      </c>
      <c r="K788" s="83">
        <f>_xlfn.NORM.INV(RAND(),ASSUMPTIONS!$C$43,ASSUMPTIONS!$C$71)</f>
        <v/>
      </c>
      <c r="L788" s="84">
        <f>(((ASSUMPTIONS!$C$18*J788*(1-ASSUMPTIONS!$C$20)+ASSUMPTIONS!$C$18*ASSUMPTIONS!$C$21-ASSUMPTIONS!$C$18*ASSUMPTIONS!$C$22)*(1+H788)*(1-((1+H788)/(1+I788))^5)/(I788-H788))+((ASSUMPTIONS!$C$18*J788*(1-ASSUMPTIONS!$C$20)+ASSUMPTIONS!$C$18*ASSUMPTIONS!$C$21-ASSUMPTIONS!$C$18*ASSUMPTIONS!$C$22)*(1+H788)^5*(1+K788)/(I788-K788)/(1+I788)^5)-DCF!$C$12)/ASSUMPTIONS!$C$7</f>
        <v/>
      </c>
    </row>
    <row r="789">
      <c r="H789" s="83">
        <f>_xlfn.NORM.INV(RAND(),AVERAGE(ASSUMPTIONS!$C$38,ASSUMPTIONS!$C$39,ASSUMPTIONS!$C$40,ASSUMPTIONS!$C$41,ASSUMPTIONS!$C$42),ASSUMPTIONS!$C$68)</f>
        <v/>
      </c>
      <c r="I789" s="83">
        <f>MAX(_xlfn.NORM.INV(RAND(),DCF!$C$11,ASSUMPTIONS!$C$69),K789+0.005)</f>
        <v/>
      </c>
      <c r="J789" s="83">
        <f>_xlfn.NORM.INV(RAND(),ASSUMPTIONS!$C$19,ASSUMPTIONS!$C$70)</f>
        <v/>
      </c>
      <c r="K789" s="83">
        <f>_xlfn.NORM.INV(RAND(),ASSUMPTIONS!$C$43,ASSUMPTIONS!$C$71)</f>
        <v/>
      </c>
      <c r="L789" s="84">
        <f>(((ASSUMPTIONS!$C$18*J789*(1-ASSUMPTIONS!$C$20)+ASSUMPTIONS!$C$18*ASSUMPTIONS!$C$21-ASSUMPTIONS!$C$18*ASSUMPTIONS!$C$22)*(1+H789)*(1-((1+H789)/(1+I789))^5)/(I789-H789))+((ASSUMPTIONS!$C$18*J789*(1-ASSUMPTIONS!$C$20)+ASSUMPTIONS!$C$18*ASSUMPTIONS!$C$21-ASSUMPTIONS!$C$18*ASSUMPTIONS!$C$22)*(1+H789)^5*(1+K789)/(I789-K789)/(1+I789)^5)-DCF!$C$12)/ASSUMPTIONS!$C$7</f>
        <v/>
      </c>
    </row>
    <row r="790">
      <c r="H790" s="83">
        <f>_xlfn.NORM.INV(RAND(),AVERAGE(ASSUMPTIONS!$C$38,ASSUMPTIONS!$C$39,ASSUMPTIONS!$C$40,ASSUMPTIONS!$C$41,ASSUMPTIONS!$C$42),ASSUMPTIONS!$C$68)</f>
        <v/>
      </c>
      <c r="I790" s="83">
        <f>MAX(_xlfn.NORM.INV(RAND(),DCF!$C$11,ASSUMPTIONS!$C$69),K790+0.005)</f>
        <v/>
      </c>
      <c r="J790" s="83">
        <f>_xlfn.NORM.INV(RAND(),ASSUMPTIONS!$C$19,ASSUMPTIONS!$C$70)</f>
        <v/>
      </c>
      <c r="K790" s="83">
        <f>_xlfn.NORM.INV(RAND(),ASSUMPTIONS!$C$43,ASSUMPTIONS!$C$71)</f>
        <v/>
      </c>
      <c r="L790" s="84">
        <f>(((ASSUMPTIONS!$C$18*J790*(1-ASSUMPTIONS!$C$20)+ASSUMPTIONS!$C$18*ASSUMPTIONS!$C$21-ASSUMPTIONS!$C$18*ASSUMPTIONS!$C$22)*(1+H790)*(1-((1+H790)/(1+I790))^5)/(I790-H790))+((ASSUMPTIONS!$C$18*J790*(1-ASSUMPTIONS!$C$20)+ASSUMPTIONS!$C$18*ASSUMPTIONS!$C$21-ASSUMPTIONS!$C$18*ASSUMPTIONS!$C$22)*(1+H790)^5*(1+K790)/(I790-K790)/(1+I790)^5)-DCF!$C$12)/ASSUMPTIONS!$C$7</f>
        <v/>
      </c>
    </row>
    <row r="791">
      <c r="H791" s="83">
        <f>_xlfn.NORM.INV(RAND(),AVERAGE(ASSUMPTIONS!$C$38,ASSUMPTIONS!$C$39,ASSUMPTIONS!$C$40,ASSUMPTIONS!$C$41,ASSUMPTIONS!$C$42),ASSUMPTIONS!$C$68)</f>
        <v/>
      </c>
      <c r="I791" s="83">
        <f>MAX(_xlfn.NORM.INV(RAND(),DCF!$C$11,ASSUMPTIONS!$C$69),K791+0.005)</f>
        <v/>
      </c>
      <c r="J791" s="83">
        <f>_xlfn.NORM.INV(RAND(),ASSUMPTIONS!$C$19,ASSUMPTIONS!$C$70)</f>
        <v/>
      </c>
      <c r="K791" s="83">
        <f>_xlfn.NORM.INV(RAND(),ASSUMPTIONS!$C$43,ASSUMPTIONS!$C$71)</f>
        <v/>
      </c>
      <c r="L791" s="84">
        <f>(((ASSUMPTIONS!$C$18*J791*(1-ASSUMPTIONS!$C$20)+ASSUMPTIONS!$C$18*ASSUMPTIONS!$C$21-ASSUMPTIONS!$C$18*ASSUMPTIONS!$C$22)*(1+H791)*(1-((1+H791)/(1+I791))^5)/(I791-H791))+((ASSUMPTIONS!$C$18*J791*(1-ASSUMPTIONS!$C$20)+ASSUMPTIONS!$C$18*ASSUMPTIONS!$C$21-ASSUMPTIONS!$C$18*ASSUMPTIONS!$C$22)*(1+H791)^5*(1+K791)/(I791-K791)/(1+I791)^5)-DCF!$C$12)/ASSUMPTIONS!$C$7</f>
        <v/>
      </c>
    </row>
    <row r="792">
      <c r="H792" s="83">
        <f>_xlfn.NORM.INV(RAND(),AVERAGE(ASSUMPTIONS!$C$38,ASSUMPTIONS!$C$39,ASSUMPTIONS!$C$40,ASSUMPTIONS!$C$41,ASSUMPTIONS!$C$42),ASSUMPTIONS!$C$68)</f>
        <v/>
      </c>
      <c r="I792" s="83">
        <f>MAX(_xlfn.NORM.INV(RAND(),DCF!$C$11,ASSUMPTIONS!$C$69),K792+0.005)</f>
        <v/>
      </c>
      <c r="J792" s="83">
        <f>_xlfn.NORM.INV(RAND(),ASSUMPTIONS!$C$19,ASSUMPTIONS!$C$70)</f>
        <v/>
      </c>
      <c r="K792" s="83">
        <f>_xlfn.NORM.INV(RAND(),ASSUMPTIONS!$C$43,ASSUMPTIONS!$C$71)</f>
        <v/>
      </c>
      <c r="L792" s="84">
        <f>(((ASSUMPTIONS!$C$18*J792*(1-ASSUMPTIONS!$C$20)+ASSUMPTIONS!$C$18*ASSUMPTIONS!$C$21-ASSUMPTIONS!$C$18*ASSUMPTIONS!$C$22)*(1+H792)*(1-((1+H792)/(1+I792))^5)/(I792-H792))+((ASSUMPTIONS!$C$18*J792*(1-ASSUMPTIONS!$C$20)+ASSUMPTIONS!$C$18*ASSUMPTIONS!$C$21-ASSUMPTIONS!$C$18*ASSUMPTIONS!$C$22)*(1+H792)^5*(1+K792)/(I792-K792)/(1+I792)^5)-DCF!$C$12)/ASSUMPTIONS!$C$7</f>
        <v/>
      </c>
    </row>
    <row r="793">
      <c r="H793" s="83">
        <f>_xlfn.NORM.INV(RAND(),AVERAGE(ASSUMPTIONS!$C$38,ASSUMPTIONS!$C$39,ASSUMPTIONS!$C$40,ASSUMPTIONS!$C$41,ASSUMPTIONS!$C$42),ASSUMPTIONS!$C$68)</f>
        <v/>
      </c>
      <c r="I793" s="83">
        <f>MAX(_xlfn.NORM.INV(RAND(),DCF!$C$11,ASSUMPTIONS!$C$69),K793+0.005)</f>
        <v/>
      </c>
      <c r="J793" s="83">
        <f>_xlfn.NORM.INV(RAND(),ASSUMPTIONS!$C$19,ASSUMPTIONS!$C$70)</f>
        <v/>
      </c>
      <c r="K793" s="83">
        <f>_xlfn.NORM.INV(RAND(),ASSUMPTIONS!$C$43,ASSUMPTIONS!$C$71)</f>
        <v/>
      </c>
      <c r="L793" s="84">
        <f>(((ASSUMPTIONS!$C$18*J793*(1-ASSUMPTIONS!$C$20)+ASSUMPTIONS!$C$18*ASSUMPTIONS!$C$21-ASSUMPTIONS!$C$18*ASSUMPTIONS!$C$22)*(1+H793)*(1-((1+H793)/(1+I793))^5)/(I793-H793))+((ASSUMPTIONS!$C$18*J793*(1-ASSUMPTIONS!$C$20)+ASSUMPTIONS!$C$18*ASSUMPTIONS!$C$21-ASSUMPTIONS!$C$18*ASSUMPTIONS!$C$22)*(1+H793)^5*(1+K793)/(I793-K793)/(1+I793)^5)-DCF!$C$12)/ASSUMPTIONS!$C$7</f>
        <v/>
      </c>
    </row>
    <row r="794">
      <c r="H794" s="83">
        <f>_xlfn.NORM.INV(RAND(),AVERAGE(ASSUMPTIONS!$C$38,ASSUMPTIONS!$C$39,ASSUMPTIONS!$C$40,ASSUMPTIONS!$C$41,ASSUMPTIONS!$C$42),ASSUMPTIONS!$C$68)</f>
        <v/>
      </c>
      <c r="I794" s="83">
        <f>MAX(_xlfn.NORM.INV(RAND(),DCF!$C$11,ASSUMPTIONS!$C$69),K794+0.005)</f>
        <v/>
      </c>
      <c r="J794" s="83">
        <f>_xlfn.NORM.INV(RAND(),ASSUMPTIONS!$C$19,ASSUMPTIONS!$C$70)</f>
        <v/>
      </c>
      <c r="K794" s="83">
        <f>_xlfn.NORM.INV(RAND(),ASSUMPTIONS!$C$43,ASSUMPTIONS!$C$71)</f>
        <v/>
      </c>
      <c r="L794" s="84">
        <f>(((ASSUMPTIONS!$C$18*J794*(1-ASSUMPTIONS!$C$20)+ASSUMPTIONS!$C$18*ASSUMPTIONS!$C$21-ASSUMPTIONS!$C$18*ASSUMPTIONS!$C$22)*(1+H794)*(1-((1+H794)/(1+I794))^5)/(I794-H794))+((ASSUMPTIONS!$C$18*J794*(1-ASSUMPTIONS!$C$20)+ASSUMPTIONS!$C$18*ASSUMPTIONS!$C$21-ASSUMPTIONS!$C$18*ASSUMPTIONS!$C$22)*(1+H794)^5*(1+K794)/(I794-K794)/(1+I794)^5)-DCF!$C$12)/ASSUMPTIONS!$C$7</f>
        <v/>
      </c>
    </row>
    <row r="795">
      <c r="H795" s="83">
        <f>_xlfn.NORM.INV(RAND(),AVERAGE(ASSUMPTIONS!$C$38,ASSUMPTIONS!$C$39,ASSUMPTIONS!$C$40,ASSUMPTIONS!$C$41,ASSUMPTIONS!$C$42),ASSUMPTIONS!$C$68)</f>
        <v/>
      </c>
      <c r="I795" s="83">
        <f>MAX(_xlfn.NORM.INV(RAND(),DCF!$C$11,ASSUMPTIONS!$C$69),K795+0.005)</f>
        <v/>
      </c>
      <c r="J795" s="83">
        <f>_xlfn.NORM.INV(RAND(),ASSUMPTIONS!$C$19,ASSUMPTIONS!$C$70)</f>
        <v/>
      </c>
      <c r="K795" s="83">
        <f>_xlfn.NORM.INV(RAND(),ASSUMPTIONS!$C$43,ASSUMPTIONS!$C$71)</f>
        <v/>
      </c>
      <c r="L795" s="84">
        <f>(((ASSUMPTIONS!$C$18*J795*(1-ASSUMPTIONS!$C$20)+ASSUMPTIONS!$C$18*ASSUMPTIONS!$C$21-ASSUMPTIONS!$C$18*ASSUMPTIONS!$C$22)*(1+H795)*(1-((1+H795)/(1+I795))^5)/(I795-H795))+((ASSUMPTIONS!$C$18*J795*(1-ASSUMPTIONS!$C$20)+ASSUMPTIONS!$C$18*ASSUMPTIONS!$C$21-ASSUMPTIONS!$C$18*ASSUMPTIONS!$C$22)*(1+H795)^5*(1+K795)/(I795-K795)/(1+I795)^5)-DCF!$C$12)/ASSUMPTIONS!$C$7</f>
        <v/>
      </c>
    </row>
    <row r="796">
      <c r="H796" s="83">
        <f>_xlfn.NORM.INV(RAND(),AVERAGE(ASSUMPTIONS!$C$38,ASSUMPTIONS!$C$39,ASSUMPTIONS!$C$40,ASSUMPTIONS!$C$41,ASSUMPTIONS!$C$42),ASSUMPTIONS!$C$68)</f>
        <v/>
      </c>
      <c r="I796" s="83">
        <f>MAX(_xlfn.NORM.INV(RAND(),DCF!$C$11,ASSUMPTIONS!$C$69),K796+0.005)</f>
        <v/>
      </c>
      <c r="J796" s="83">
        <f>_xlfn.NORM.INV(RAND(),ASSUMPTIONS!$C$19,ASSUMPTIONS!$C$70)</f>
        <v/>
      </c>
      <c r="K796" s="83">
        <f>_xlfn.NORM.INV(RAND(),ASSUMPTIONS!$C$43,ASSUMPTIONS!$C$71)</f>
        <v/>
      </c>
      <c r="L796" s="84">
        <f>(((ASSUMPTIONS!$C$18*J796*(1-ASSUMPTIONS!$C$20)+ASSUMPTIONS!$C$18*ASSUMPTIONS!$C$21-ASSUMPTIONS!$C$18*ASSUMPTIONS!$C$22)*(1+H796)*(1-((1+H796)/(1+I796))^5)/(I796-H796))+((ASSUMPTIONS!$C$18*J796*(1-ASSUMPTIONS!$C$20)+ASSUMPTIONS!$C$18*ASSUMPTIONS!$C$21-ASSUMPTIONS!$C$18*ASSUMPTIONS!$C$22)*(1+H796)^5*(1+K796)/(I796-K796)/(1+I796)^5)-DCF!$C$12)/ASSUMPTIONS!$C$7</f>
        <v/>
      </c>
    </row>
    <row r="797">
      <c r="H797" s="83">
        <f>_xlfn.NORM.INV(RAND(),AVERAGE(ASSUMPTIONS!$C$38,ASSUMPTIONS!$C$39,ASSUMPTIONS!$C$40,ASSUMPTIONS!$C$41,ASSUMPTIONS!$C$42),ASSUMPTIONS!$C$68)</f>
        <v/>
      </c>
      <c r="I797" s="83">
        <f>MAX(_xlfn.NORM.INV(RAND(),DCF!$C$11,ASSUMPTIONS!$C$69),K797+0.005)</f>
        <v/>
      </c>
      <c r="J797" s="83">
        <f>_xlfn.NORM.INV(RAND(),ASSUMPTIONS!$C$19,ASSUMPTIONS!$C$70)</f>
        <v/>
      </c>
      <c r="K797" s="83">
        <f>_xlfn.NORM.INV(RAND(),ASSUMPTIONS!$C$43,ASSUMPTIONS!$C$71)</f>
        <v/>
      </c>
      <c r="L797" s="84">
        <f>(((ASSUMPTIONS!$C$18*J797*(1-ASSUMPTIONS!$C$20)+ASSUMPTIONS!$C$18*ASSUMPTIONS!$C$21-ASSUMPTIONS!$C$18*ASSUMPTIONS!$C$22)*(1+H797)*(1-((1+H797)/(1+I797))^5)/(I797-H797))+((ASSUMPTIONS!$C$18*J797*(1-ASSUMPTIONS!$C$20)+ASSUMPTIONS!$C$18*ASSUMPTIONS!$C$21-ASSUMPTIONS!$C$18*ASSUMPTIONS!$C$22)*(1+H797)^5*(1+K797)/(I797-K797)/(1+I797)^5)-DCF!$C$12)/ASSUMPTIONS!$C$7</f>
        <v/>
      </c>
    </row>
    <row r="798">
      <c r="H798" s="83">
        <f>_xlfn.NORM.INV(RAND(),AVERAGE(ASSUMPTIONS!$C$38,ASSUMPTIONS!$C$39,ASSUMPTIONS!$C$40,ASSUMPTIONS!$C$41,ASSUMPTIONS!$C$42),ASSUMPTIONS!$C$68)</f>
        <v/>
      </c>
      <c r="I798" s="83">
        <f>MAX(_xlfn.NORM.INV(RAND(),DCF!$C$11,ASSUMPTIONS!$C$69),K798+0.005)</f>
        <v/>
      </c>
      <c r="J798" s="83">
        <f>_xlfn.NORM.INV(RAND(),ASSUMPTIONS!$C$19,ASSUMPTIONS!$C$70)</f>
        <v/>
      </c>
      <c r="K798" s="83">
        <f>_xlfn.NORM.INV(RAND(),ASSUMPTIONS!$C$43,ASSUMPTIONS!$C$71)</f>
        <v/>
      </c>
      <c r="L798" s="84">
        <f>(((ASSUMPTIONS!$C$18*J798*(1-ASSUMPTIONS!$C$20)+ASSUMPTIONS!$C$18*ASSUMPTIONS!$C$21-ASSUMPTIONS!$C$18*ASSUMPTIONS!$C$22)*(1+H798)*(1-((1+H798)/(1+I798))^5)/(I798-H798))+((ASSUMPTIONS!$C$18*J798*(1-ASSUMPTIONS!$C$20)+ASSUMPTIONS!$C$18*ASSUMPTIONS!$C$21-ASSUMPTIONS!$C$18*ASSUMPTIONS!$C$22)*(1+H798)^5*(1+K798)/(I798-K798)/(1+I798)^5)-DCF!$C$12)/ASSUMPTIONS!$C$7</f>
        <v/>
      </c>
    </row>
    <row r="799">
      <c r="H799" s="83">
        <f>_xlfn.NORM.INV(RAND(),AVERAGE(ASSUMPTIONS!$C$38,ASSUMPTIONS!$C$39,ASSUMPTIONS!$C$40,ASSUMPTIONS!$C$41,ASSUMPTIONS!$C$42),ASSUMPTIONS!$C$68)</f>
        <v/>
      </c>
      <c r="I799" s="83">
        <f>MAX(_xlfn.NORM.INV(RAND(),DCF!$C$11,ASSUMPTIONS!$C$69),K799+0.005)</f>
        <v/>
      </c>
      <c r="J799" s="83">
        <f>_xlfn.NORM.INV(RAND(),ASSUMPTIONS!$C$19,ASSUMPTIONS!$C$70)</f>
        <v/>
      </c>
      <c r="K799" s="83">
        <f>_xlfn.NORM.INV(RAND(),ASSUMPTIONS!$C$43,ASSUMPTIONS!$C$71)</f>
        <v/>
      </c>
      <c r="L799" s="84">
        <f>(((ASSUMPTIONS!$C$18*J799*(1-ASSUMPTIONS!$C$20)+ASSUMPTIONS!$C$18*ASSUMPTIONS!$C$21-ASSUMPTIONS!$C$18*ASSUMPTIONS!$C$22)*(1+H799)*(1-((1+H799)/(1+I799))^5)/(I799-H799))+((ASSUMPTIONS!$C$18*J799*(1-ASSUMPTIONS!$C$20)+ASSUMPTIONS!$C$18*ASSUMPTIONS!$C$21-ASSUMPTIONS!$C$18*ASSUMPTIONS!$C$22)*(1+H799)^5*(1+K799)/(I799-K799)/(1+I799)^5)-DCF!$C$12)/ASSUMPTIONS!$C$7</f>
        <v/>
      </c>
    </row>
    <row r="800">
      <c r="H800" s="83">
        <f>_xlfn.NORM.INV(RAND(),AVERAGE(ASSUMPTIONS!$C$38,ASSUMPTIONS!$C$39,ASSUMPTIONS!$C$40,ASSUMPTIONS!$C$41,ASSUMPTIONS!$C$42),ASSUMPTIONS!$C$68)</f>
        <v/>
      </c>
      <c r="I800" s="83">
        <f>MAX(_xlfn.NORM.INV(RAND(),DCF!$C$11,ASSUMPTIONS!$C$69),K800+0.005)</f>
        <v/>
      </c>
      <c r="J800" s="83">
        <f>_xlfn.NORM.INV(RAND(),ASSUMPTIONS!$C$19,ASSUMPTIONS!$C$70)</f>
        <v/>
      </c>
      <c r="K800" s="83">
        <f>_xlfn.NORM.INV(RAND(),ASSUMPTIONS!$C$43,ASSUMPTIONS!$C$71)</f>
        <v/>
      </c>
      <c r="L800" s="84">
        <f>(((ASSUMPTIONS!$C$18*J800*(1-ASSUMPTIONS!$C$20)+ASSUMPTIONS!$C$18*ASSUMPTIONS!$C$21-ASSUMPTIONS!$C$18*ASSUMPTIONS!$C$22)*(1+H800)*(1-((1+H800)/(1+I800))^5)/(I800-H800))+((ASSUMPTIONS!$C$18*J800*(1-ASSUMPTIONS!$C$20)+ASSUMPTIONS!$C$18*ASSUMPTIONS!$C$21-ASSUMPTIONS!$C$18*ASSUMPTIONS!$C$22)*(1+H800)^5*(1+K800)/(I800-K800)/(1+I800)^5)-DCF!$C$12)/ASSUMPTIONS!$C$7</f>
        <v/>
      </c>
    </row>
    <row r="801">
      <c r="H801" s="83">
        <f>_xlfn.NORM.INV(RAND(),AVERAGE(ASSUMPTIONS!$C$38,ASSUMPTIONS!$C$39,ASSUMPTIONS!$C$40,ASSUMPTIONS!$C$41,ASSUMPTIONS!$C$42),ASSUMPTIONS!$C$68)</f>
        <v/>
      </c>
      <c r="I801" s="83">
        <f>MAX(_xlfn.NORM.INV(RAND(),DCF!$C$11,ASSUMPTIONS!$C$69),K801+0.005)</f>
        <v/>
      </c>
      <c r="J801" s="83">
        <f>_xlfn.NORM.INV(RAND(),ASSUMPTIONS!$C$19,ASSUMPTIONS!$C$70)</f>
        <v/>
      </c>
      <c r="K801" s="83">
        <f>_xlfn.NORM.INV(RAND(),ASSUMPTIONS!$C$43,ASSUMPTIONS!$C$71)</f>
        <v/>
      </c>
      <c r="L801" s="84">
        <f>(((ASSUMPTIONS!$C$18*J801*(1-ASSUMPTIONS!$C$20)+ASSUMPTIONS!$C$18*ASSUMPTIONS!$C$21-ASSUMPTIONS!$C$18*ASSUMPTIONS!$C$22)*(1+H801)*(1-((1+H801)/(1+I801))^5)/(I801-H801))+((ASSUMPTIONS!$C$18*J801*(1-ASSUMPTIONS!$C$20)+ASSUMPTIONS!$C$18*ASSUMPTIONS!$C$21-ASSUMPTIONS!$C$18*ASSUMPTIONS!$C$22)*(1+H801)^5*(1+K801)/(I801-K801)/(1+I801)^5)-DCF!$C$12)/ASSUMPTIONS!$C$7</f>
        <v/>
      </c>
    </row>
    <row r="802">
      <c r="H802" s="83">
        <f>_xlfn.NORM.INV(RAND(),AVERAGE(ASSUMPTIONS!$C$38,ASSUMPTIONS!$C$39,ASSUMPTIONS!$C$40,ASSUMPTIONS!$C$41,ASSUMPTIONS!$C$42),ASSUMPTIONS!$C$68)</f>
        <v/>
      </c>
      <c r="I802" s="83">
        <f>MAX(_xlfn.NORM.INV(RAND(),DCF!$C$11,ASSUMPTIONS!$C$69),K802+0.005)</f>
        <v/>
      </c>
      <c r="J802" s="83">
        <f>_xlfn.NORM.INV(RAND(),ASSUMPTIONS!$C$19,ASSUMPTIONS!$C$70)</f>
        <v/>
      </c>
      <c r="K802" s="83">
        <f>_xlfn.NORM.INV(RAND(),ASSUMPTIONS!$C$43,ASSUMPTIONS!$C$71)</f>
        <v/>
      </c>
      <c r="L802" s="84">
        <f>(((ASSUMPTIONS!$C$18*J802*(1-ASSUMPTIONS!$C$20)+ASSUMPTIONS!$C$18*ASSUMPTIONS!$C$21-ASSUMPTIONS!$C$18*ASSUMPTIONS!$C$22)*(1+H802)*(1-((1+H802)/(1+I802))^5)/(I802-H802))+((ASSUMPTIONS!$C$18*J802*(1-ASSUMPTIONS!$C$20)+ASSUMPTIONS!$C$18*ASSUMPTIONS!$C$21-ASSUMPTIONS!$C$18*ASSUMPTIONS!$C$22)*(1+H802)^5*(1+K802)/(I802-K802)/(1+I802)^5)-DCF!$C$12)/ASSUMPTIONS!$C$7</f>
        <v/>
      </c>
    </row>
    <row r="803">
      <c r="H803" s="83">
        <f>_xlfn.NORM.INV(RAND(),AVERAGE(ASSUMPTIONS!$C$38,ASSUMPTIONS!$C$39,ASSUMPTIONS!$C$40,ASSUMPTIONS!$C$41,ASSUMPTIONS!$C$42),ASSUMPTIONS!$C$68)</f>
        <v/>
      </c>
      <c r="I803" s="83">
        <f>MAX(_xlfn.NORM.INV(RAND(),DCF!$C$11,ASSUMPTIONS!$C$69),K803+0.005)</f>
        <v/>
      </c>
      <c r="J803" s="83">
        <f>_xlfn.NORM.INV(RAND(),ASSUMPTIONS!$C$19,ASSUMPTIONS!$C$70)</f>
        <v/>
      </c>
      <c r="K803" s="83">
        <f>_xlfn.NORM.INV(RAND(),ASSUMPTIONS!$C$43,ASSUMPTIONS!$C$71)</f>
        <v/>
      </c>
      <c r="L803" s="84">
        <f>(((ASSUMPTIONS!$C$18*J803*(1-ASSUMPTIONS!$C$20)+ASSUMPTIONS!$C$18*ASSUMPTIONS!$C$21-ASSUMPTIONS!$C$18*ASSUMPTIONS!$C$22)*(1+H803)*(1-((1+H803)/(1+I803))^5)/(I803-H803))+((ASSUMPTIONS!$C$18*J803*(1-ASSUMPTIONS!$C$20)+ASSUMPTIONS!$C$18*ASSUMPTIONS!$C$21-ASSUMPTIONS!$C$18*ASSUMPTIONS!$C$22)*(1+H803)^5*(1+K803)/(I803-K803)/(1+I803)^5)-DCF!$C$12)/ASSUMPTIONS!$C$7</f>
        <v/>
      </c>
    </row>
    <row r="804">
      <c r="H804" s="83">
        <f>_xlfn.NORM.INV(RAND(),AVERAGE(ASSUMPTIONS!$C$38,ASSUMPTIONS!$C$39,ASSUMPTIONS!$C$40,ASSUMPTIONS!$C$41,ASSUMPTIONS!$C$42),ASSUMPTIONS!$C$68)</f>
        <v/>
      </c>
      <c r="I804" s="83">
        <f>MAX(_xlfn.NORM.INV(RAND(),DCF!$C$11,ASSUMPTIONS!$C$69),K804+0.005)</f>
        <v/>
      </c>
      <c r="J804" s="83">
        <f>_xlfn.NORM.INV(RAND(),ASSUMPTIONS!$C$19,ASSUMPTIONS!$C$70)</f>
        <v/>
      </c>
      <c r="K804" s="83">
        <f>_xlfn.NORM.INV(RAND(),ASSUMPTIONS!$C$43,ASSUMPTIONS!$C$71)</f>
        <v/>
      </c>
      <c r="L804" s="84">
        <f>(((ASSUMPTIONS!$C$18*J804*(1-ASSUMPTIONS!$C$20)+ASSUMPTIONS!$C$18*ASSUMPTIONS!$C$21-ASSUMPTIONS!$C$18*ASSUMPTIONS!$C$22)*(1+H804)*(1-((1+H804)/(1+I804))^5)/(I804-H804))+((ASSUMPTIONS!$C$18*J804*(1-ASSUMPTIONS!$C$20)+ASSUMPTIONS!$C$18*ASSUMPTIONS!$C$21-ASSUMPTIONS!$C$18*ASSUMPTIONS!$C$22)*(1+H804)^5*(1+K804)/(I804-K804)/(1+I804)^5)-DCF!$C$12)/ASSUMPTIONS!$C$7</f>
        <v/>
      </c>
    </row>
    <row r="805">
      <c r="H805" s="83">
        <f>_xlfn.NORM.INV(RAND(),AVERAGE(ASSUMPTIONS!$C$38,ASSUMPTIONS!$C$39,ASSUMPTIONS!$C$40,ASSUMPTIONS!$C$41,ASSUMPTIONS!$C$42),ASSUMPTIONS!$C$68)</f>
        <v/>
      </c>
      <c r="I805" s="83">
        <f>MAX(_xlfn.NORM.INV(RAND(),DCF!$C$11,ASSUMPTIONS!$C$69),K805+0.005)</f>
        <v/>
      </c>
      <c r="J805" s="83">
        <f>_xlfn.NORM.INV(RAND(),ASSUMPTIONS!$C$19,ASSUMPTIONS!$C$70)</f>
        <v/>
      </c>
      <c r="K805" s="83">
        <f>_xlfn.NORM.INV(RAND(),ASSUMPTIONS!$C$43,ASSUMPTIONS!$C$71)</f>
        <v/>
      </c>
      <c r="L805" s="84">
        <f>(((ASSUMPTIONS!$C$18*J805*(1-ASSUMPTIONS!$C$20)+ASSUMPTIONS!$C$18*ASSUMPTIONS!$C$21-ASSUMPTIONS!$C$18*ASSUMPTIONS!$C$22)*(1+H805)*(1-((1+H805)/(1+I805))^5)/(I805-H805))+((ASSUMPTIONS!$C$18*J805*(1-ASSUMPTIONS!$C$20)+ASSUMPTIONS!$C$18*ASSUMPTIONS!$C$21-ASSUMPTIONS!$C$18*ASSUMPTIONS!$C$22)*(1+H805)^5*(1+K805)/(I805-K805)/(1+I805)^5)-DCF!$C$12)/ASSUMPTIONS!$C$7</f>
        <v/>
      </c>
    </row>
    <row r="806">
      <c r="H806" s="83">
        <f>_xlfn.NORM.INV(RAND(),AVERAGE(ASSUMPTIONS!$C$38,ASSUMPTIONS!$C$39,ASSUMPTIONS!$C$40,ASSUMPTIONS!$C$41,ASSUMPTIONS!$C$42),ASSUMPTIONS!$C$68)</f>
        <v/>
      </c>
      <c r="I806" s="83">
        <f>MAX(_xlfn.NORM.INV(RAND(),DCF!$C$11,ASSUMPTIONS!$C$69),K806+0.005)</f>
        <v/>
      </c>
      <c r="J806" s="83">
        <f>_xlfn.NORM.INV(RAND(),ASSUMPTIONS!$C$19,ASSUMPTIONS!$C$70)</f>
        <v/>
      </c>
      <c r="K806" s="83">
        <f>_xlfn.NORM.INV(RAND(),ASSUMPTIONS!$C$43,ASSUMPTIONS!$C$71)</f>
        <v/>
      </c>
      <c r="L806" s="84">
        <f>(((ASSUMPTIONS!$C$18*J806*(1-ASSUMPTIONS!$C$20)+ASSUMPTIONS!$C$18*ASSUMPTIONS!$C$21-ASSUMPTIONS!$C$18*ASSUMPTIONS!$C$22)*(1+H806)*(1-((1+H806)/(1+I806))^5)/(I806-H806))+((ASSUMPTIONS!$C$18*J806*(1-ASSUMPTIONS!$C$20)+ASSUMPTIONS!$C$18*ASSUMPTIONS!$C$21-ASSUMPTIONS!$C$18*ASSUMPTIONS!$C$22)*(1+H806)^5*(1+K806)/(I806-K806)/(1+I806)^5)-DCF!$C$12)/ASSUMPTIONS!$C$7</f>
        <v/>
      </c>
    </row>
    <row r="807">
      <c r="H807" s="83">
        <f>_xlfn.NORM.INV(RAND(),AVERAGE(ASSUMPTIONS!$C$38,ASSUMPTIONS!$C$39,ASSUMPTIONS!$C$40,ASSUMPTIONS!$C$41,ASSUMPTIONS!$C$42),ASSUMPTIONS!$C$68)</f>
        <v/>
      </c>
      <c r="I807" s="83">
        <f>MAX(_xlfn.NORM.INV(RAND(),DCF!$C$11,ASSUMPTIONS!$C$69),K807+0.005)</f>
        <v/>
      </c>
      <c r="J807" s="83">
        <f>_xlfn.NORM.INV(RAND(),ASSUMPTIONS!$C$19,ASSUMPTIONS!$C$70)</f>
        <v/>
      </c>
      <c r="K807" s="83">
        <f>_xlfn.NORM.INV(RAND(),ASSUMPTIONS!$C$43,ASSUMPTIONS!$C$71)</f>
        <v/>
      </c>
      <c r="L807" s="84">
        <f>(((ASSUMPTIONS!$C$18*J807*(1-ASSUMPTIONS!$C$20)+ASSUMPTIONS!$C$18*ASSUMPTIONS!$C$21-ASSUMPTIONS!$C$18*ASSUMPTIONS!$C$22)*(1+H807)*(1-((1+H807)/(1+I807))^5)/(I807-H807))+((ASSUMPTIONS!$C$18*J807*(1-ASSUMPTIONS!$C$20)+ASSUMPTIONS!$C$18*ASSUMPTIONS!$C$21-ASSUMPTIONS!$C$18*ASSUMPTIONS!$C$22)*(1+H807)^5*(1+K807)/(I807-K807)/(1+I807)^5)-DCF!$C$12)/ASSUMPTIONS!$C$7</f>
        <v/>
      </c>
    </row>
    <row r="808">
      <c r="H808" s="83">
        <f>_xlfn.NORM.INV(RAND(),AVERAGE(ASSUMPTIONS!$C$38,ASSUMPTIONS!$C$39,ASSUMPTIONS!$C$40,ASSUMPTIONS!$C$41,ASSUMPTIONS!$C$42),ASSUMPTIONS!$C$68)</f>
        <v/>
      </c>
      <c r="I808" s="83">
        <f>MAX(_xlfn.NORM.INV(RAND(),DCF!$C$11,ASSUMPTIONS!$C$69),K808+0.005)</f>
        <v/>
      </c>
      <c r="J808" s="83">
        <f>_xlfn.NORM.INV(RAND(),ASSUMPTIONS!$C$19,ASSUMPTIONS!$C$70)</f>
        <v/>
      </c>
      <c r="K808" s="83">
        <f>_xlfn.NORM.INV(RAND(),ASSUMPTIONS!$C$43,ASSUMPTIONS!$C$71)</f>
        <v/>
      </c>
      <c r="L808" s="84">
        <f>(((ASSUMPTIONS!$C$18*J808*(1-ASSUMPTIONS!$C$20)+ASSUMPTIONS!$C$18*ASSUMPTIONS!$C$21-ASSUMPTIONS!$C$18*ASSUMPTIONS!$C$22)*(1+H808)*(1-((1+H808)/(1+I808))^5)/(I808-H808))+((ASSUMPTIONS!$C$18*J808*(1-ASSUMPTIONS!$C$20)+ASSUMPTIONS!$C$18*ASSUMPTIONS!$C$21-ASSUMPTIONS!$C$18*ASSUMPTIONS!$C$22)*(1+H808)^5*(1+K808)/(I808-K808)/(1+I808)^5)-DCF!$C$12)/ASSUMPTIONS!$C$7</f>
        <v/>
      </c>
    </row>
    <row r="809">
      <c r="H809" s="83">
        <f>_xlfn.NORM.INV(RAND(),AVERAGE(ASSUMPTIONS!$C$38,ASSUMPTIONS!$C$39,ASSUMPTIONS!$C$40,ASSUMPTIONS!$C$41,ASSUMPTIONS!$C$42),ASSUMPTIONS!$C$68)</f>
        <v/>
      </c>
      <c r="I809" s="83">
        <f>MAX(_xlfn.NORM.INV(RAND(),DCF!$C$11,ASSUMPTIONS!$C$69),K809+0.005)</f>
        <v/>
      </c>
      <c r="J809" s="83">
        <f>_xlfn.NORM.INV(RAND(),ASSUMPTIONS!$C$19,ASSUMPTIONS!$C$70)</f>
        <v/>
      </c>
      <c r="K809" s="83">
        <f>_xlfn.NORM.INV(RAND(),ASSUMPTIONS!$C$43,ASSUMPTIONS!$C$71)</f>
        <v/>
      </c>
      <c r="L809" s="84">
        <f>(((ASSUMPTIONS!$C$18*J809*(1-ASSUMPTIONS!$C$20)+ASSUMPTIONS!$C$18*ASSUMPTIONS!$C$21-ASSUMPTIONS!$C$18*ASSUMPTIONS!$C$22)*(1+H809)*(1-((1+H809)/(1+I809))^5)/(I809-H809))+((ASSUMPTIONS!$C$18*J809*(1-ASSUMPTIONS!$C$20)+ASSUMPTIONS!$C$18*ASSUMPTIONS!$C$21-ASSUMPTIONS!$C$18*ASSUMPTIONS!$C$22)*(1+H809)^5*(1+K809)/(I809-K809)/(1+I809)^5)-DCF!$C$12)/ASSUMPTIONS!$C$7</f>
        <v/>
      </c>
    </row>
    <row r="810">
      <c r="H810" s="83">
        <f>_xlfn.NORM.INV(RAND(),AVERAGE(ASSUMPTIONS!$C$38,ASSUMPTIONS!$C$39,ASSUMPTIONS!$C$40,ASSUMPTIONS!$C$41,ASSUMPTIONS!$C$42),ASSUMPTIONS!$C$68)</f>
        <v/>
      </c>
      <c r="I810" s="83">
        <f>MAX(_xlfn.NORM.INV(RAND(),DCF!$C$11,ASSUMPTIONS!$C$69),K810+0.005)</f>
        <v/>
      </c>
      <c r="J810" s="83">
        <f>_xlfn.NORM.INV(RAND(),ASSUMPTIONS!$C$19,ASSUMPTIONS!$C$70)</f>
        <v/>
      </c>
      <c r="K810" s="83">
        <f>_xlfn.NORM.INV(RAND(),ASSUMPTIONS!$C$43,ASSUMPTIONS!$C$71)</f>
        <v/>
      </c>
      <c r="L810" s="84">
        <f>(((ASSUMPTIONS!$C$18*J810*(1-ASSUMPTIONS!$C$20)+ASSUMPTIONS!$C$18*ASSUMPTIONS!$C$21-ASSUMPTIONS!$C$18*ASSUMPTIONS!$C$22)*(1+H810)*(1-((1+H810)/(1+I810))^5)/(I810-H810))+((ASSUMPTIONS!$C$18*J810*(1-ASSUMPTIONS!$C$20)+ASSUMPTIONS!$C$18*ASSUMPTIONS!$C$21-ASSUMPTIONS!$C$18*ASSUMPTIONS!$C$22)*(1+H810)^5*(1+K810)/(I810-K810)/(1+I810)^5)-DCF!$C$12)/ASSUMPTIONS!$C$7</f>
        <v/>
      </c>
    </row>
    <row r="811">
      <c r="H811" s="83">
        <f>_xlfn.NORM.INV(RAND(),AVERAGE(ASSUMPTIONS!$C$38,ASSUMPTIONS!$C$39,ASSUMPTIONS!$C$40,ASSUMPTIONS!$C$41,ASSUMPTIONS!$C$42),ASSUMPTIONS!$C$68)</f>
        <v/>
      </c>
      <c r="I811" s="83">
        <f>MAX(_xlfn.NORM.INV(RAND(),DCF!$C$11,ASSUMPTIONS!$C$69),K811+0.005)</f>
        <v/>
      </c>
      <c r="J811" s="83">
        <f>_xlfn.NORM.INV(RAND(),ASSUMPTIONS!$C$19,ASSUMPTIONS!$C$70)</f>
        <v/>
      </c>
      <c r="K811" s="83">
        <f>_xlfn.NORM.INV(RAND(),ASSUMPTIONS!$C$43,ASSUMPTIONS!$C$71)</f>
        <v/>
      </c>
      <c r="L811" s="84">
        <f>(((ASSUMPTIONS!$C$18*J811*(1-ASSUMPTIONS!$C$20)+ASSUMPTIONS!$C$18*ASSUMPTIONS!$C$21-ASSUMPTIONS!$C$18*ASSUMPTIONS!$C$22)*(1+H811)*(1-((1+H811)/(1+I811))^5)/(I811-H811))+((ASSUMPTIONS!$C$18*J811*(1-ASSUMPTIONS!$C$20)+ASSUMPTIONS!$C$18*ASSUMPTIONS!$C$21-ASSUMPTIONS!$C$18*ASSUMPTIONS!$C$22)*(1+H811)^5*(1+K811)/(I811-K811)/(1+I811)^5)-DCF!$C$12)/ASSUMPTIONS!$C$7</f>
        <v/>
      </c>
    </row>
    <row r="812">
      <c r="H812" s="83">
        <f>_xlfn.NORM.INV(RAND(),AVERAGE(ASSUMPTIONS!$C$38,ASSUMPTIONS!$C$39,ASSUMPTIONS!$C$40,ASSUMPTIONS!$C$41,ASSUMPTIONS!$C$42),ASSUMPTIONS!$C$68)</f>
        <v/>
      </c>
      <c r="I812" s="83">
        <f>MAX(_xlfn.NORM.INV(RAND(),DCF!$C$11,ASSUMPTIONS!$C$69),K812+0.005)</f>
        <v/>
      </c>
      <c r="J812" s="83">
        <f>_xlfn.NORM.INV(RAND(),ASSUMPTIONS!$C$19,ASSUMPTIONS!$C$70)</f>
        <v/>
      </c>
      <c r="K812" s="83">
        <f>_xlfn.NORM.INV(RAND(),ASSUMPTIONS!$C$43,ASSUMPTIONS!$C$71)</f>
        <v/>
      </c>
      <c r="L812" s="84">
        <f>(((ASSUMPTIONS!$C$18*J812*(1-ASSUMPTIONS!$C$20)+ASSUMPTIONS!$C$18*ASSUMPTIONS!$C$21-ASSUMPTIONS!$C$18*ASSUMPTIONS!$C$22)*(1+H812)*(1-((1+H812)/(1+I812))^5)/(I812-H812))+((ASSUMPTIONS!$C$18*J812*(1-ASSUMPTIONS!$C$20)+ASSUMPTIONS!$C$18*ASSUMPTIONS!$C$21-ASSUMPTIONS!$C$18*ASSUMPTIONS!$C$22)*(1+H812)^5*(1+K812)/(I812-K812)/(1+I812)^5)-DCF!$C$12)/ASSUMPTIONS!$C$7</f>
        <v/>
      </c>
    </row>
    <row r="813">
      <c r="H813" s="83">
        <f>_xlfn.NORM.INV(RAND(),AVERAGE(ASSUMPTIONS!$C$38,ASSUMPTIONS!$C$39,ASSUMPTIONS!$C$40,ASSUMPTIONS!$C$41,ASSUMPTIONS!$C$42),ASSUMPTIONS!$C$68)</f>
        <v/>
      </c>
      <c r="I813" s="83">
        <f>MAX(_xlfn.NORM.INV(RAND(),DCF!$C$11,ASSUMPTIONS!$C$69),K813+0.005)</f>
        <v/>
      </c>
      <c r="J813" s="83">
        <f>_xlfn.NORM.INV(RAND(),ASSUMPTIONS!$C$19,ASSUMPTIONS!$C$70)</f>
        <v/>
      </c>
      <c r="K813" s="83">
        <f>_xlfn.NORM.INV(RAND(),ASSUMPTIONS!$C$43,ASSUMPTIONS!$C$71)</f>
        <v/>
      </c>
      <c r="L813" s="84">
        <f>(((ASSUMPTIONS!$C$18*J813*(1-ASSUMPTIONS!$C$20)+ASSUMPTIONS!$C$18*ASSUMPTIONS!$C$21-ASSUMPTIONS!$C$18*ASSUMPTIONS!$C$22)*(1+H813)*(1-((1+H813)/(1+I813))^5)/(I813-H813))+((ASSUMPTIONS!$C$18*J813*(1-ASSUMPTIONS!$C$20)+ASSUMPTIONS!$C$18*ASSUMPTIONS!$C$21-ASSUMPTIONS!$C$18*ASSUMPTIONS!$C$22)*(1+H813)^5*(1+K813)/(I813-K813)/(1+I813)^5)-DCF!$C$12)/ASSUMPTIONS!$C$7</f>
        <v/>
      </c>
    </row>
    <row r="814">
      <c r="H814" s="83">
        <f>_xlfn.NORM.INV(RAND(),AVERAGE(ASSUMPTIONS!$C$38,ASSUMPTIONS!$C$39,ASSUMPTIONS!$C$40,ASSUMPTIONS!$C$41,ASSUMPTIONS!$C$42),ASSUMPTIONS!$C$68)</f>
        <v/>
      </c>
      <c r="I814" s="83">
        <f>MAX(_xlfn.NORM.INV(RAND(),DCF!$C$11,ASSUMPTIONS!$C$69),K814+0.005)</f>
        <v/>
      </c>
      <c r="J814" s="83">
        <f>_xlfn.NORM.INV(RAND(),ASSUMPTIONS!$C$19,ASSUMPTIONS!$C$70)</f>
        <v/>
      </c>
      <c r="K814" s="83">
        <f>_xlfn.NORM.INV(RAND(),ASSUMPTIONS!$C$43,ASSUMPTIONS!$C$71)</f>
        <v/>
      </c>
      <c r="L814" s="84">
        <f>(((ASSUMPTIONS!$C$18*J814*(1-ASSUMPTIONS!$C$20)+ASSUMPTIONS!$C$18*ASSUMPTIONS!$C$21-ASSUMPTIONS!$C$18*ASSUMPTIONS!$C$22)*(1+H814)*(1-((1+H814)/(1+I814))^5)/(I814-H814))+((ASSUMPTIONS!$C$18*J814*(1-ASSUMPTIONS!$C$20)+ASSUMPTIONS!$C$18*ASSUMPTIONS!$C$21-ASSUMPTIONS!$C$18*ASSUMPTIONS!$C$22)*(1+H814)^5*(1+K814)/(I814-K814)/(1+I814)^5)-DCF!$C$12)/ASSUMPTIONS!$C$7</f>
        <v/>
      </c>
    </row>
    <row r="815">
      <c r="H815" s="83">
        <f>_xlfn.NORM.INV(RAND(),AVERAGE(ASSUMPTIONS!$C$38,ASSUMPTIONS!$C$39,ASSUMPTIONS!$C$40,ASSUMPTIONS!$C$41,ASSUMPTIONS!$C$42),ASSUMPTIONS!$C$68)</f>
        <v/>
      </c>
      <c r="I815" s="83">
        <f>MAX(_xlfn.NORM.INV(RAND(),DCF!$C$11,ASSUMPTIONS!$C$69),K815+0.005)</f>
        <v/>
      </c>
      <c r="J815" s="83">
        <f>_xlfn.NORM.INV(RAND(),ASSUMPTIONS!$C$19,ASSUMPTIONS!$C$70)</f>
        <v/>
      </c>
      <c r="K815" s="83">
        <f>_xlfn.NORM.INV(RAND(),ASSUMPTIONS!$C$43,ASSUMPTIONS!$C$71)</f>
        <v/>
      </c>
      <c r="L815" s="84">
        <f>(((ASSUMPTIONS!$C$18*J815*(1-ASSUMPTIONS!$C$20)+ASSUMPTIONS!$C$18*ASSUMPTIONS!$C$21-ASSUMPTIONS!$C$18*ASSUMPTIONS!$C$22)*(1+H815)*(1-((1+H815)/(1+I815))^5)/(I815-H815))+((ASSUMPTIONS!$C$18*J815*(1-ASSUMPTIONS!$C$20)+ASSUMPTIONS!$C$18*ASSUMPTIONS!$C$21-ASSUMPTIONS!$C$18*ASSUMPTIONS!$C$22)*(1+H815)^5*(1+K815)/(I815-K815)/(1+I815)^5)-DCF!$C$12)/ASSUMPTIONS!$C$7</f>
        <v/>
      </c>
    </row>
    <row r="816">
      <c r="H816" s="83">
        <f>_xlfn.NORM.INV(RAND(),AVERAGE(ASSUMPTIONS!$C$38,ASSUMPTIONS!$C$39,ASSUMPTIONS!$C$40,ASSUMPTIONS!$C$41,ASSUMPTIONS!$C$42),ASSUMPTIONS!$C$68)</f>
        <v/>
      </c>
      <c r="I816" s="83">
        <f>MAX(_xlfn.NORM.INV(RAND(),DCF!$C$11,ASSUMPTIONS!$C$69),K816+0.005)</f>
        <v/>
      </c>
      <c r="J816" s="83">
        <f>_xlfn.NORM.INV(RAND(),ASSUMPTIONS!$C$19,ASSUMPTIONS!$C$70)</f>
        <v/>
      </c>
      <c r="K816" s="83">
        <f>_xlfn.NORM.INV(RAND(),ASSUMPTIONS!$C$43,ASSUMPTIONS!$C$71)</f>
        <v/>
      </c>
      <c r="L816" s="84">
        <f>(((ASSUMPTIONS!$C$18*J816*(1-ASSUMPTIONS!$C$20)+ASSUMPTIONS!$C$18*ASSUMPTIONS!$C$21-ASSUMPTIONS!$C$18*ASSUMPTIONS!$C$22)*(1+H816)*(1-((1+H816)/(1+I816))^5)/(I816-H816))+((ASSUMPTIONS!$C$18*J816*(1-ASSUMPTIONS!$C$20)+ASSUMPTIONS!$C$18*ASSUMPTIONS!$C$21-ASSUMPTIONS!$C$18*ASSUMPTIONS!$C$22)*(1+H816)^5*(1+K816)/(I816-K816)/(1+I816)^5)-DCF!$C$12)/ASSUMPTIONS!$C$7</f>
        <v/>
      </c>
    </row>
    <row r="817">
      <c r="H817" s="83">
        <f>_xlfn.NORM.INV(RAND(),AVERAGE(ASSUMPTIONS!$C$38,ASSUMPTIONS!$C$39,ASSUMPTIONS!$C$40,ASSUMPTIONS!$C$41,ASSUMPTIONS!$C$42),ASSUMPTIONS!$C$68)</f>
        <v/>
      </c>
      <c r="I817" s="83">
        <f>MAX(_xlfn.NORM.INV(RAND(),DCF!$C$11,ASSUMPTIONS!$C$69),K817+0.005)</f>
        <v/>
      </c>
      <c r="J817" s="83">
        <f>_xlfn.NORM.INV(RAND(),ASSUMPTIONS!$C$19,ASSUMPTIONS!$C$70)</f>
        <v/>
      </c>
      <c r="K817" s="83">
        <f>_xlfn.NORM.INV(RAND(),ASSUMPTIONS!$C$43,ASSUMPTIONS!$C$71)</f>
        <v/>
      </c>
      <c r="L817" s="84">
        <f>(((ASSUMPTIONS!$C$18*J817*(1-ASSUMPTIONS!$C$20)+ASSUMPTIONS!$C$18*ASSUMPTIONS!$C$21-ASSUMPTIONS!$C$18*ASSUMPTIONS!$C$22)*(1+H817)*(1-((1+H817)/(1+I817))^5)/(I817-H817))+((ASSUMPTIONS!$C$18*J817*(1-ASSUMPTIONS!$C$20)+ASSUMPTIONS!$C$18*ASSUMPTIONS!$C$21-ASSUMPTIONS!$C$18*ASSUMPTIONS!$C$22)*(1+H817)^5*(1+K817)/(I817-K817)/(1+I817)^5)-DCF!$C$12)/ASSUMPTIONS!$C$7</f>
        <v/>
      </c>
    </row>
    <row r="818">
      <c r="H818" s="83">
        <f>_xlfn.NORM.INV(RAND(),AVERAGE(ASSUMPTIONS!$C$38,ASSUMPTIONS!$C$39,ASSUMPTIONS!$C$40,ASSUMPTIONS!$C$41,ASSUMPTIONS!$C$42),ASSUMPTIONS!$C$68)</f>
        <v/>
      </c>
      <c r="I818" s="83">
        <f>MAX(_xlfn.NORM.INV(RAND(),DCF!$C$11,ASSUMPTIONS!$C$69),K818+0.005)</f>
        <v/>
      </c>
      <c r="J818" s="83">
        <f>_xlfn.NORM.INV(RAND(),ASSUMPTIONS!$C$19,ASSUMPTIONS!$C$70)</f>
        <v/>
      </c>
      <c r="K818" s="83">
        <f>_xlfn.NORM.INV(RAND(),ASSUMPTIONS!$C$43,ASSUMPTIONS!$C$71)</f>
        <v/>
      </c>
      <c r="L818" s="84">
        <f>(((ASSUMPTIONS!$C$18*J818*(1-ASSUMPTIONS!$C$20)+ASSUMPTIONS!$C$18*ASSUMPTIONS!$C$21-ASSUMPTIONS!$C$18*ASSUMPTIONS!$C$22)*(1+H818)*(1-((1+H818)/(1+I818))^5)/(I818-H818))+((ASSUMPTIONS!$C$18*J818*(1-ASSUMPTIONS!$C$20)+ASSUMPTIONS!$C$18*ASSUMPTIONS!$C$21-ASSUMPTIONS!$C$18*ASSUMPTIONS!$C$22)*(1+H818)^5*(1+K818)/(I818-K818)/(1+I818)^5)-DCF!$C$12)/ASSUMPTIONS!$C$7</f>
        <v/>
      </c>
    </row>
    <row r="819">
      <c r="H819" s="83">
        <f>_xlfn.NORM.INV(RAND(),AVERAGE(ASSUMPTIONS!$C$38,ASSUMPTIONS!$C$39,ASSUMPTIONS!$C$40,ASSUMPTIONS!$C$41,ASSUMPTIONS!$C$42),ASSUMPTIONS!$C$68)</f>
        <v/>
      </c>
      <c r="I819" s="83">
        <f>MAX(_xlfn.NORM.INV(RAND(),DCF!$C$11,ASSUMPTIONS!$C$69),K819+0.005)</f>
        <v/>
      </c>
      <c r="J819" s="83">
        <f>_xlfn.NORM.INV(RAND(),ASSUMPTIONS!$C$19,ASSUMPTIONS!$C$70)</f>
        <v/>
      </c>
      <c r="K819" s="83">
        <f>_xlfn.NORM.INV(RAND(),ASSUMPTIONS!$C$43,ASSUMPTIONS!$C$71)</f>
        <v/>
      </c>
      <c r="L819" s="84">
        <f>(((ASSUMPTIONS!$C$18*J819*(1-ASSUMPTIONS!$C$20)+ASSUMPTIONS!$C$18*ASSUMPTIONS!$C$21-ASSUMPTIONS!$C$18*ASSUMPTIONS!$C$22)*(1+H819)*(1-((1+H819)/(1+I819))^5)/(I819-H819))+((ASSUMPTIONS!$C$18*J819*(1-ASSUMPTIONS!$C$20)+ASSUMPTIONS!$C$18*ASSUMPTIONS!$C$21-ASSUMPTIONS!$C$18*ASSUMPTIONS!$C$22)*(1+H819)^5*(1+K819)/(I819-K819)/(1+I819)^5)-DCF!$C$12)/ASSUMPTIONS!$C$7</f>
        <v/>
      </c>
    </row>
    <row r="820">
      <c r="H820" s="83">
        <f>_xlfn.NORM.INV(RAND(),AVERAGE(ASSUMPTIONS!$C$38,ASSUMPTIONS!$C$39,ASSUMPTIONS!$C$40,ASSUMPTIONS!$C$41,ASSUMPTIONS!$C$42),ASSUMPTIONS!$C$68)</f>
        <v/>
      </c>
      <c r="I820" s="83">
        <f>MAX(_xlfn.NORM.INV(RAND(),DCF!$C$11,ASSUMPTIONS!$C$69),K820+0.005)</f>
        <v/>
      </c>
      <c r="J820" s="83">
        <f>_xlfn.NORM.INV(RAND(),ASSUMPTIONS!$C$19,ASSUMPTIONS!$C$70)</f>
        <v/>
      </c>
      <c r="K820" s="83">
        <f>_xlfn.NORM.INV(RAND(),ASSUMPTIONS!$C$43,ASSUMPTIONS!$C$71)</f>
        <v/>
      </c>
      <c r="L820" s="84">
        <f>(((ASSUMPTIONS!$C$18*J820*(1-ASSUMPTIONS!$C$20)+ASSUMPTIONS!$C$18*ASSUMPTIONS!$C$21-ASSUMPTIONS!$C$18*ASSUMPTIONS!$C$22)*(1+H820)*(1-((1+H820)/(1+I820))^5)/(I820-H820))+((ASSUMPTIONS!$C$18*J820*(1-ASSUMPTIONS!$C$20)+ASSUMPTIONS!$C$18*ASSUMPTIONS!$C$21-ASSUMPTIONS!$C$18*ASSUMPTIONS!$C$22)*(1+H820)^5*(1+K820)/(I820-K820)/(1+I820)^5)-DCF!$C$12)/ASSUMPTIONS!$C$7</f>
        <v/>
      </c>
    </row>
    <row r="821">
      <c r="H821" s="83">
        <f>_xlfn.NORM.INV(RAND(),AVERAGE(ASSUMPTIONS!$C$38,ASSUMPTIONS!$C$39,ASSUMPTIONS!$C$40,ASSUMPTIONS!$C$41,ASSUMPTIONS!$C$42),ASSUMPTIONS!$C$68)</f>
        <v/>
      </c>
      <c r="I821" s="83">
        <f>MAX(_xlfn.NORM.INV(RAND(),DCF!$C$11,ASSUMPTIONS!$C$69),K821+0.005)</f>
        <v/>
      </c>
      <c r="J821" s="83">
        <f>_xlfn.NORM.INV(RAND(),ASSUMPTIONS!$C$19,ASSUMPTIONS!$C$70)</f>
        <v/>
      </c>
      <c r="K821" s="83">
        <f>_xlfn.NORM.INV(RAND(),ASSUMPTIONS!$C$43,ASSUMPTIONS!$C$71)</f>
        <v/>
      </c>
      <c r="L821" s="84">
        <f>(((ASSUMPTIONS!$C$18*J821*(1-ASSUMPTIONS!$C$20)+ASSUMPTIONS!$C$18*ASSUMPTIONS!$C$21-ASSUMPTIONS!$C$18*ASSUMPTIONS!$C$22)*(1+H821)*(1-((1+H821)/(1+I821))^5)/(I821-H821))+((ASSUMPTIONS!$C$18*J821*(1-ASSUMPTIONS!$C$20)+ASSUMPTIONS!$C$18*ASSUMPTIONS!$C$21-ASSUMPTIONS!$C$18*ASSUMPTIONS!$C$22)*(1+H821)^5*(1+K821)/(I821-K821)/(1+I821)^5)-DCF!$C$12)/ASSUMPTIONS!$C$7</f>
        <v/>
      </c>
    </row>
    <row r="822">
      <c r="H822" s="83">
        <f>_xlfn.NORM.INV(RAND(),AVERAGE(ASSUMPTIONS!$C$38,ASSUMPTIONS!$C$39,ASSUMPTIONS!$C$40,ASSUMPTIONS!$C$41,ASSUMPTIONS!$C$42),ASSUMPTIONS!$C$68)</f>
        <v/>
      </c>
      <c r="I822" s="83">
        <f>MAX(_xlfn.NORM.INV(RAND(),DCF!$C$11,ASSUMPTIONS!$C$69),K822+0.005)</f>
        <v/>
      </c>
      <c r="J822" s="83">
        <f>_xlfn.NORM.INV(RAND(),ASSUMPTIONS!$C$19,ASSUMPTIONS!$C$70)</f>
        <v/>
      </c>
      <c r="K822" s="83">
        <f>_xlfn.NORM.INV(RAND(),ASSUMPTIONS!$C$43,ASSUMPTIONS!$C$71)</f>
        <v/>
      </c>
      <c r="L822" s="84">
        <f>(((ASSUMPTIONS!$C$18*J822*(1-ASSUMPTIONS!$C$20)+ASSUMPTIONS!$C$18*ASSUMPTIONS!$C$21-ASSUMPTIONS!$C$18*ASSUMPTIONS!$C$22)*(1+H822)*(1-((1+H822)/(1+I822))^5)/(I822-H822))+((ASSUMPTIONS!$C$18*J822*(1-ASSUMPTIONS!$C$20)+ASSUMPTIONS!$C$18*ASSUMPTIONS!$C$21-ASSUMPTIONS!$C$18*ASSUMPTIONS!$C$22)*(1+H822)^5*(1+K822)/(I822-K822)/(1+I822)^5)-DCF!$C$12)/ASSUMPTIONS!$C$7</f>
        <v/>
      </c>
    </row>
    <row r="823">
      <c r="H823" s="83">
        <f>_xlfn.NORM.INV(RAND(),AVERAGE(ASSUMPTIONS!$C$38,ASSUMPTIONS!$C$39,ASSUMPTIONS!$C$40,ASSUMPTIONS!$C$41,ASSUMPTIONS!$C$42),ASSUMPTIONS!$C$68)</f>
        <v/>
      </c>
      <c r="I823" s="83">
        <f>MAX(_xlfn.NORM.INV(RAND(),DCF!$C$11,ASSUMPTIONS!$C$69),K823+0.005)</f>
        <v/>
      </c>
      <c r="J823" s="83">
        <f>_xlfn.NORM.INV(RAND(),ASSUMPTIONS!$C$19,ASSUMPTIONS!$C$70)</f>
        <v/>
      </c>
      <c r="K823" s="83">
        <f>_xlfn.NORM.INV(RAND(),ASSUMPTIONS!$C$43,ASSUMPTIONS!$C$71)</f>
        <v/>
      </c>
      <c r="L823" s="84">
        <f>(((ASSUMPTIONS!$C$18*J823*(1-ASSUMPTIONS!$C$20)+ASSUMPTIONS!$C$18*ASSUMPTIONS!$C$21-ASSUMPTIONS!$C$18*ASSUMPTIONS!$C$22)*(1+H823)*(1-((1+H823)/(1+I823))^5)/(I823-H823))+((ASSUMPTIONS!$C$18*J823*(1-ASSUMPTIONS!$C$20)+ASSUMPTIONS!$C$18*ASSUMPTIONS!$C$21-ASSUMPTIONS!$C$18*ASSUMPTIONS!$C$22)*(1+H823)^5*(1+K823)/(I823-K823)/(1+I823)^5)-DCF!$C$12)/ASSUMPTIONS!$C$7</f>
        <v/>
      </c>
    </row>
    <row r="824">
      <c r="H824" s="83">
        <f>_xlfn.NORM.INV(RAND(),AVERAGE(ASSUMPTIONS!$C$38,ASSUMPTIONS!$C$39,ASSUMPTIONS!$C$40,ASSUMPTIONS!$C$41,ASSUMPTIONS!$C$42),ASSUMPTIONS!$C$68)</f>
        <v/>
      </c>
      <c r="I824" s="83">
        <f>MAX(_xlfn.NORM.INV(RAND(),DCF!$C$11,ASSUMPTIONS!$C$69),K824+0.005)</f>
        <v/>
      </c>
      <c r="J824" s="83">
        <f>_xlfn.NORM.INV(RAND(),ASSUMPTIONS!$C$19,ASSUMPTIONS!$C$70)</f>
        <v/>
      </c>
      <c r="K824" s="83">
        <f>_xlfn.NORM.INV(RAND(),ASSUMPTIONS!$C$43,ASSUMPTIONS!$C$71)</f>
        <v/>
      </c>
      <c r="L824" s="84">
        <f>(((ASSUMPTIONS!$C$18*J824*(1-ASSUMPTIONS!$C$20)+ASSUMPTIONS!$C$18*ASSUMPTIONS!$C$21-ASSUMPTIONS!$C$18*ASSUMPTIONS!$C$22)*(1+H824)*(1-((1+H824)/(1+I824))^5)/(I824-H824))+((ASSUMPTIONS!$C$18*J824*(1-ASSUMPTIONS!$C$20)+ASSUMPTIONS!$C$18*ASSUMPTIONS!$C$21-ASSUMPTIONS!$C$18*ASSUMPTIONS!$C$22)*(1+H824)^5*(1+K824)/(I824-K824)/(1+I824)^5)-DCF!$C$12)/ASSUMPTIONS!$C$7</f>
        <v/>
      </c>
    </row>
    <row r="825">
      <c r="H825" s="83">
        <f>_xlfn.NORM.INV(RAND(),AVERAGE(ASSUMPTIONS!$C$38,ASSUMPTIONS!$C$39,ASSUMPTIONS!$C$40,ASSUMPTIONS!$C$41,ASSUMPTIONS!$C$42),ASSUMPTIONS!$C$68)</f>
        <v/>
      </c>
      <c r="I825" s="83">
        <f>MAX(_xlfn.NORM.INV(RAND(),DCF!$C$11,ASSUMPTIONS!$C$69),K825+0.005)</f>
        <v/>
      </c>
      <c r="J825" s="83">
        <f>_xlfn.NORM.INV(RAND(),ASSUMPTIONS!$C$19,ASSUMPTIONS!$C$70)</f>
        <v/>
      </c>
      <c r="K825" s="83">
        <f>_xlfn.NORM.INV(RAND(),ASSUMPTIONS!$C$43,ASSUMPTIONS!$C$71)</f>
        <v/>
      </c>
      <c r="L825" s="84">
        <f>(((ASSUMPTIONS!$C$18*J825*(1-ASSUMPTIONS!$C$20)+ASSUMPTIONS!$C$18*ASSUMPTIONS!$C$21-ASSUMPTIONS!$C$18*ASSUMPTIONS!$C$22)*(1+H825)*(1-((1+H825)/(1+I825))^5)/(I825-H825))+((ASSUMPTIONS!$C$18*J825*(1-ASSUMPTIONS!$C$20)+ASSUMPTIONS!$C$18*ASSUMPTIONS!$C$21-ASSUMPTIONS!$C$18*ASSUMPTIONS!$C$22)*(1+H825)^5*(1+K825)/(I825-K825)/(1+I825)^5)-DCF!$C$12)/ASSUMPTIONS!$C$7</f>
        <v/>
      </c>
    </row>
    <row r="826">
      <c r="H826" s="83">
        <f>_xlfn.NORM.INV(RAND(),AVERAGE(ASSUMPTIONS!$C$38,ASSUMPTIONS!$C$39,ASSUMPTIONS!$C$40,ASSUMPTIONS!$C$41,ASSUMPTIONS!$C$42),ASSUMPTIONS!$C$68)</f>
        <v/>
      </c>
      <c r="I826" s="83">
        <f>MAX(_xlfn.NORM.INV(RAND(),DCF!$C$11,ASSUMPTIONS!$C$69),K826+0.005)</f>
        <v/>
      </c>
      <c r="J826" s="83">
        <f>_xlfn.NORM.INV(RAND(),ASSUMPTIONS!$C$19,ASSUMPTIONS!$C$70)</f>
        <v/>
      </c>
      <c r="K826" s="83">
        <f>_xlfn.NORM.INV(RAND(),ASSUMPTIONS!$C$43,ASSUMPTIONS!$C$71)</f>
        <v/>
      </c>
      <c r="L826" s="84">
        <f>(((ASSUMPTIONS!$C$18*J826*(1-ASSUMPTIONS!$C$20)+ASSUMPTIONS!$C$18*ASSUMPTIONS!$C$21-ASSUMPTIONS!$C$18*ASSUMPTIONS!$C$22)*(1+H826)*(1-((1+H826)/(1+I826))^5)/(I826-H826))+((ASSUMPTIONS!$C$18*J826*(1-ASSUMPTIONS!$C$20)+ASSUMPTIONS!$C$18*ASSUMPTIONS!$C$21-ASSUMPTIONS!$C$18*ASSUMPTIONS!$C$22)*(1+H826)^5*(1+K826)/(I826-K826)/(1+I826)^5)-DCF!$C$12)/ASSUMPTIONS!$C$7</f>
        <v/>
      </c>
    </row>
    <row r="827">
      <c r="H827" s="83">
        <f>_xlfn.NORM.INV(RAND(),AVERAGE(ASSUMPTIONS!$C$38,ASSUMPTIONS!$C$39,ASSUMPTIONS!$C$40,ASSUMPTIONS!$C$41,ASSUMPTIONS!$C$42),ASSUMPTIONS!$C$68)</f>
        <v/>
      </c>
      <c r="I827" s="83">
        <f>MAX(_xlfn.NORM.INV(RAND(),DCF!$C$11,ASSUMPTIONS!$C$69),K827+0.005)</f>
        <v/>
      </c>
      <c r="J827" s="83">
        <f>_xlfn.NORM.INV(RAND(),ASSUMPTIONS!$C$19,ASSUMPTIONS!$C$70)</f>
        <v/>
      </c>
      <c r="K827" s="83">
        <f>_xlfn.NORM.INV(RAND(),ASSUMPTIONS!$C$43,ASSUMPTIONS!$C$71)</f>
        <v/>
      </c>
      <c r="L827" s="84">
        <f>(((ASSUMPTIONS!$C$18*J827*(1-ASSUMPTIONS!$C$20)+ASSUMPTIONS!$C$18*ASSUMPTIONS!$C$21-ASSUMPTIONS!$C$18*ASSUMPTIONS!$C$22)*(1+H827)*(1-((1+H827)/(1+I827))^5)/(I827-H827))+((ASSUMPTIONS!$C$18*J827*(1-ASSUMPTIONS!$C$20)+ASSUMPTIONS!$C$18*ASSUMPTIONS!$C$21-ASSUMPTIONS!$C$18*ASSUMPTIONS!$C$22)*(1+H827)^5*(1+K827)/(I827-K827)/(1+I827)^5)-DCF!$C$12)/ASSUMPTIONS!$C$7</f>
        <v/>
      </c>
    </row>
    <row r="828">
      <c r="H828" s="83">
        <f>_xlfn.NORM.INV(RAND(),AVERAGE(ASSUMPTIONS!$C$38,ASSUMPTIONS!$C$39,ASSUMPTIONS!$C$40,ASSUMPTIONS!$C$41,ASSUMPTIONS!$C$42),ASSUMPTIONS!$C$68)</f>
        <v/>
      </c>
      <c r="I828" s="83">
        <f>MAX(_xlfn.NORM.INV(RAND(),DCF!$C$11,ASSUMPTIONS!$C$69),K828+0.005)</f>
        <v/>
      </c>
      <c r="J828" s="83">
        <f>_xlfn.NORM.INV(RAND(),ASSUMPTIONS!$C$19,ASSUMPTIONS!$C$70)</f>
        <v/>
      </c>
      <c r="K828" s="83">
        <f>_xlfn.NORM.INV(RAND(),ASSUMPTIONS!$C$43,ASSUMPTIONS!$C$71)</f>
        <v/>
      </c>
      <c r="L828" s="84">
        <f>(((ASSUMPTIONS!$C$18*J828*(1-ASSUMPTIONS!$C$20)+ASSUMPTIONS!$C$18*ASSUMPTIONS!$C$21-ASSUMPTIONS!$C$18*ASSUMPTIONS!$C$22)*(1+H828)*(1-((1+H828)/(1+I828))^5)/(I828-H828))+((ASSUMPTIONS!$C$18*J828*(1-ASSUMPTIONS!$C$20)+ASSUMPTIONS!$C$18*ASSUMPTIONS!$C$21-ASSUMPTIONS!$C$18*ASSUMPTIONS!$C$22)*(1+H828)^5*(1+K828)/(I828-K828)/(1+I828)^5)-DCF!$C$12)/ASSUMPTIONS!$C$7</f>
        <v/>
      </c>
    </row>
    <row r="829">
      <c r="H829" s="83">
        <f>_xlfn.NORM.INV(RAND(),AVERAGE(ASSUMPTIONS!$C$38,ASSUMPTIONS!$C$39,ASSUMPTIONS!$C$40,ASSUMPTIONS!$C$41,ASSUMPTIONS!$C$42),ASSUMPTIONS!$C$68)</f>
        <v/>
      </c>
      <c r="I829" s="83">
        <f>MAX(_xlfn.NORM.INV(RAND(),DCF!$C$11,ASSUMPTIONS!$C$69),K829+0.005)</f>
        <v/>
      </c>
      <c r="J829" s="83">
        <f>_xlfn.NORM.INV(RAND(),ASSUMPTIONS!$C$19,ASSUMPTIONS!$C$70)</f>
        <v/>
      </c>
      <c r="K829" s="83">
        <f>_xlfn.NORM.INV(RAND(),ASSUMPTIONS!$C$43,ASSUMPTIONS!$C$71)</f>
        <v/>
      </c>
      <c r="L829" s="84">
        <f>(((ASSUMPTIONS!$C$18*J829*(1-ASSUMPTIONS!$C$20)+ASSUMPTIONS!$C$18*ASSUMPTIONS!$C$21-ASSUMPTIONS!$C$18*ASSUMPTIONS!$C$22)*(1+H829)*(1-((1+H829)/(1+I829))^5)/(I829-H829))+((ASSUMPTIONS!$C$18*J829*(1-ASSUMPTIONS!$C$20)+ASSUMPTIONS!$C$18*ASSUMPTIONS!$C$21-ASSUMPTIONS!$C$18*ASSUMPTIONS!$C$22)*(1+H829)^5*(1+K829)/(I829-K829)/(1+I829)^5)-DCF!$C$12)/ASSUMPTIONS!$C$7</f>
        <v/>
      </c>
    </row>
    <row r="830">
      <c r="H830" s="83">
        <f>_xlfn.NORM.INV(RAND(),AVERAGE(ASSUMPTIONS!$C$38,ASSUMPTIONS!$C$39,ASSUMPTIONS!$C$40,ASSUMPTIONS!$C$41,ASSUMPTIONS!$C$42),ASSUMPTIONS!$C$68)</f>
        <v/>
      </c>
      <c r="I830" s="83">
        <f>MAX(_xlfn.NORM.INV(RAND(),DCF!$C$11,ASSUMPTIONS!$C$69),K830+0.005)</f>
        <v/>
      </c>
      <c r="J830" s="83">
        <f>_xlfn.NORM.INV(RAND(),ASSUMPTIONS!$C$19,ASSUMPTIONS!$C$70)</f>
        <v/>
      </c>
      <c r="K830" s="83">
        <f>_xlfn.NORM.INV(RAND(),ASSUMPTIONS!$C$43,ASSUMPTIONS!$C$71)</f>
        <v/>
      </c>
      <c r="L830" s="84">
        <f>(((ASSUMPTIONS!$C$18*J830*(1-ASSUMPTIONS!$C$20)+ASSUMPTIONS!$C$18*ASSUMPTIONS!$C$21-ASSUMPTIONS!$C$18*ASSUMPTIONS!$C$22)*(1+H830)*(1-((1+H830)/(1+I830))^5)/(I830-H830))+((ASSUMPTIONS!$C$18*J830*(1-ASSUMPTIONS!$C$20)+ASSUMPTIONS!$C$18*ASSUMPTIONS!$C$21-ASSUMPTIONS!$C$18*ASSUMPTIONS!$C$22)*(1+H830)^5*(1+K830)/(I830-K830)/(1+I830)^5)-DCF!$C$12)/ASSUMPTIONS!$C$7</f>
        <v/>
      </c>
    </row>
    <row r="831">
      <c r="H831" s="83">
        <f>_xlfn.NORM.INV(RAND(),AVERAGE(ASSUMPTIONS!$C$38,ASSUMPTIONS!$C$39,ASSUMPTIONS!$C$40,ASSUMPTIONS!$C$41,ASSUMPTIONS!$C$42),ASSUMPTIONS!$C$68)</f>
        <v/>
      </c>
      <c r="I831" s="83">
        <f>MAX(_xlfn.NORM.INV(RAND(),DCF!$C$11,ASSUMPTIONS!$C$69),K831+0.005)</f>
        <v/>
      </c>
      <c r="J831" s="83">
        <f>_xlfn.NORM.INV(RAND(),ASSUMPTIONS!$C$19,ASSUMPTIONS!$C$70)</f>
        <v/>
      </c>
      <c r="K831" s="83">
        <f>_xlfn.NORM.INV(RAND(),ASSUMPTIONS!$C$43,ASSUMPTIONS!$C$71)</f>
        <v/>
      </c>
      <c r="L831" s="84">
        <f>(((ASSUMPTIONS!$C$18*J831*(1-ASSUMPTIONS!$C$20)+ASSUMPTIONS!$C$18*ASSUMPTIONS!$C$21-ASSUMPTIONS!$C$18*ASSUMPTIONS!$C$22)*(1+H831)*(1-((1+H831)/(1+I831))^5)/(I831-H831))+((ASSUMPTIONS!$C$18*J831*(1-ASSUMPTIONS!$C$20)+ASSUMPTIONS!$C$18*ASSUMPTIONS!$C$21-ASSUMPTIONS!$C$18*ASSUMPTIONS!$C$22)*(1+H831)^5*(1+K831)/(I831-K831)/(1+I831)^5)-DCF!$C$12)/ASSUMPTIONS!$C$7</f>
        <v/>
      </c>
    </row>
    <row r="832">
      <c r="H832" s="83">
        <f>_xlfn.NORM.INV(RAND(),AVERAGE(ASSUMPTIONS!$C$38,ASSUMPTIONS!$C$39,ASSUMPTIONS!$C$40,ASSUMPTIONS!$C$41,ASSUMPTIONS!$C$42),ASSUMPTIONS!$C$68)</f>
        <v/>
      </c>
      <c r="I832" s="83">
        <f>MAX(_xlfn.NORM.INV(RAND(),DCF!$C$11,ASSUMPTIONS!$C$69),K832+0.005)</f>
        <v/>
      </c>
      <c r="J832" s="83">
        <f>_xlfn.NORM.INV(RAND(),ASSUMPTIONS!$C$19,ASSUMPTIONS!$C$70)</f>
        <v/>
      </c>
      <c r="K832" s="83">
        <f>_xlfn.NORM.INV(RAND(),ASSUMPTIONS!$C$43,ASSUMPTIONS!$C$71)</f>
        <v/>
      </c>
      <c r="L832" s="84">
        <f>(((ASSUMPTIONS!$C$18*J832*(1-ASSUMPTIONS!$C$20)+ASSUMPTIONS!$C$18*ASSUMPTIONS!$C$21-ASSUMPTIONS!$C$18*ASSUMPTIONS!$C$22)*(1+H832)*(1-((1+H832)/(1+I832))^5)/(I832-H832))+((ASSUMPTIONS!$C$18*J832*(1-ASSUMPTIONS!$C$20)+ASSUMPTIONS!$C$18*ASSUMPTIONS!$C$21-ASSUMPTIONS!$C$18*ASSUMPTIONS!$C$22)*(1+H832)^5*(1+K832)/(I832-K832)/(1+I832)^5)-DCF!$C$12)/ASSUMPTIONS!$C$7</f>
        <v/>
      </c>
    </row>
    <row r="833">
      <c r="H833" s="83">
        <f>_xlfn.NORM.INV(RAND(),AVERAGE(ASSUMPTIONS!$C$38,ASSUMPTIONS!$C$39,ASSUMPTIONS!$C$40,ASSUMPTIONS!$C$41,ASSUMPTIONS!$C$42),ASSUMPTIONS!$C$68)</f>
        <v/>
      </c>
      <c r="I833" s="83">
        <f>MAX(_xlfn.NORM.INV(RAND(),DCF!$C$11,ASSUMPTIONS!$C$69),K833+0.005)</f>
        <v/>
      </c>
      <c r="J833" s="83">
        <f>_xlfn.NORM.INV(RAND(),ASSUMPTIONS!$C$19,ASSUMPTIONS!$C$70)</f>
        <v/>
      </c>
      <c r="K833" s="83">
        <f>_xlfn.NORM.INV(RAND(),ASSUMPTIONS!$C$43,ASSUMPTIONS!$C$71)</f>
        <v/>
      </c>
      <c r="L833" s="84">
        <f>(((ASSUMPTIONS!$C$18*J833*(1-ASSUMPTIONS!$C$20)+ASSUMPTIONS!$C$18*ASSUMPTIONS!$C$21-ASSUMPTIONS!$C$18*ASSUMPTIONS!$C$22)*(1+H833)*(1-((1+H833)/(1+I833))^5)/(I833-H833))+((ASSUMPTIONS!$C$18*J833*(1-ASSUMPTIONS!$C$20)+ASSUMPTIONS!$C$18*ASSUMPTIONS!$C$21-ASSUMPTIONS!$C$18*ASSUMPTIONS!$C$22)*(1+H833)^5*(1+K833)/(I833-K833)/(1+I833)^5)-DCF!$C$12)/ASSUMPTIONS!$C$7</f>
        <v/>
      </c>
    </row>
    <row r="834">
      <c r="H834" s="83">
        <f>_xlfn.NORM.INV(RAND(),AVERAGE(ASSUMPTIONS!$C$38,ASSUMPTIONS!$C$39,ASSUMPTIONS!$C$40,ASSUMPTIONS!$C$41,ASSUMPTIONS!$C$42),ASSUMPTIONS!$C$68)</f>
        <v/>
      </c>
      <c r="I834" s="83">
        <f>MAX(_xlfn.NORM.INV(RAND(),DCF!$C$11,ASSUMPTIONS!$C$69),K834+0.005)</f>
        <v/>
      </c>
      <c r="J834" s="83">
        <f>_xlfn.NORM.INV(RAND(),ASSUMPTIONS!$C$19,ASSUMPTIONS!$C$70)</f>
        <v/>
      </c>
      <c r="K834" s="83">
        <f>_xlfn.NORM.INV(RAND(),ASSUMPTIONS!$C$43,ASSUMPTIONS!$C$71)</f>
        <v/>
      </c>
      <c r="L834" s="84">
        <f>(((ASSUMPTIONS!$C$18*J834*(1-ASSUMPTIONS!$C$20)+ASSUMPTIONS!$C$18*ASSUMPTIONS!$C$21-ASSUMPTIONS!$C$18*ASSUMPTIONS!$C$22)*(1+H834)*(1-((1+H834)/(1+I834))^5)/(I834-H834))+((ASSUMPTIONS!$C$18*J834*(1-ASSUMPTIONS!$C$20)+ASSUMPTIONS!$C$18*ASSUMPTIONS!$C$21-ASSUMPTIONS!$C$18*ASSUMPTIONS!$C$22)*(1+H834)^5*(1+K834)/(I834-K834)/(1+I834)^5)-DCF!$C$12)/ASSUMPTIONS!$C$7</f>
        <v/>
      </c>
    </row>
    <row r="835">
      <c r="H835" s="83">
        <f>_xlfn.NORM.INV(RAND(),AVERAGE(ASSUMPTIONS!$C$38,ASSUMPTIONS!$C$39,ASSUMPTIONS!$C$40,ASSUMPTIONS!$C$41,ASSUMPTIONS!$C$42),ASSUMPTIONS!$C$68)</f>
        <v/>
      </c>
      <c r="I835" s="83">
        <f>MAX(_xlfn.NORM.INV(RAND(),DCF!$C$11,ASSUMPTIONS!$C$69),K835+0.005)</f>
        <v/>
      </c>
      <c r="J835" s="83">
        <f>_xlfn.NORM.INV(RAND(),ASSUMPTIONS!$C$19,ASSUMPTIONS!$C$70)</f>
        <v/>
      </c>
      <c r="K835" s="83">
        <f>_xlfn.NORM.INV(RAND(),ASSUMPTIONS!$C$43,ASSUMPTIONS!$C$71)</f>
        <v/>
      </c>
      <c r="L835" s="84">
        <f>(((ASSUMPTIONS!$C$18*J835*(1-ASSUMPTIONS!$C$20)+ASSUMPTIONS!$C$18*ASSUMPTIONS!$C$21-ASSUMPTIONS!$C$18*ASSUMPTIONS!$C$22)*(1+H835)*(1-((1+H835)/(1+I835))^5)/(I835-H835))+((ASSUMPTIONS!$C$18*J835*(1-ASSUMPTIONS!$C$20)+ASSUMPTIONS!$C$18*ASSUMPTIONS!$C$21-ASSUMPTIONS!$C$18*ASSUMPTIONS!$C$22)*(1+H835)^5*(1+K835)/(I835-K835)/(1+I835)^5)-DCF!$C$12)/ASSUMPTIONS!$C$7</f>
        <v/>
      </c>
    </row>
    <row r="836">
      <c r="H836" s="83">
        <f>_xlfn.NORM.INV(RAND(),AVERAGE(ASSUMPTIONS!$C$38,ASSUMPTIONS!$C$39,ASSUMPTIONS!$C$40,ASSUMPTIONS!$C$41,ASSUMPTIONS!$C$42),ASSUMPTIONS!$C$68)</f>
        <v/>
      </c>
      <c r="I836" s="83">
        <f>MAX(_xlfn.NORM.INV(RAND(),DCF!$C$11,ASSUMPTIONS!$C$69),K836+0.005)</f>
        <v/>
      </c>
      <c r="J836" s="83">
        <f>_xlfn.NORM.INV(RAND(),ASSUMPTIONS!$C$19,ASSUMPTIONS!$C$70)</f>
        <v/>
      </c>
      <c r="K836" s="83">
        <f>_xlfn.NORM.INV(RAND(),ASSUMPTIONS!$C$43,ASSUMPTIONS!$C$71)</f>
        <v/>
      </c>
      <c r="L836" s="84">
        <f>(((ASSUMPTIONS!$C$18*J836*(1-ASSUMPTIONS!$C$20)+ASSUMPTIONS!$C$18*ASSUMPTIONS!$C$21-ASSUMPTIONS!$C$18*ASSUMPTIONS!$C$22)*(1+H836)*(1-((1+H836)/(1+I836))^5)/(I836-H836))+((ASSUMPTIONS!$C$18*J836*(1-ASSUMPTIONS!$C$20)+ASSUMPTIONS!$C$18*ASSUMPTIONS!$C$21-ASSUMPTIONS!$C$18*ASSUMPTIONS!$C$22)*(1+H836)^5*(1+K836)/(I836-K836)/(1+I836)^5)-DCF!$C$12)/ASSUMPTIONS!$C$7</f>
        <v/>
      </c>
    </row>
    <row r="837">
      <c r="H837" s="83">
        <f>_xlfn.NORM.INV(RAND(),AVERAGE(ASSUMPTIONS!$C$38,ASSUMPTIONS!$C$39,ASSUMPTIONS!$C$40,ASSUMPTIONS!$C$41,ASSUMPTIONS!$C$42),ASSUMPTIONS!$C$68)</f>
        <v/>
      </c>
      <c r="I837" s="83">
        <f>MAX(_xlfn.NORM.INV(RAND(),DCF!$C$11,ASSUMPTIONS!$C$69),K837+0.005)</f>
        <v/>
      </c>
      <c r="J837" s="83">
        <f>_xlfn.NORM.INV(RAND(),ASSUMPTIONS!$C$19,ASSUMPTIONS!$C$70)</f>
        <v/>
      </c>
      <c r="K837" s="83">
        <f>_xlfn.NORM.INV(RAND(),ASSUMPTIONS!$C$43,ASSUMPTIONS!$C$71)</f>
        <v/>
      </c>
      <c r="L837" s="84">
        <f>(((ASSUMPTIONS!$C$18*J837*(1-ASSUMPTIONS!$C$20)+ASSUMPTIONS!$C$18*ASSUMPTIONS!$C$21-ASSUMPTIONS!$C$18*ASSUMPTIONS!$C$22)*(1+H837)*(1-((1+H837)/(1+I837))^5)/(I837-H837))+((ASSUMPTIONS!$C$18*J837*(1-ASSUMPTIONS!$C$20)+ASSUMPTIONS!$C$18*ASSUMPTIONS!$C$21-ASSUMPTIONS!$C$18*ASSUMPTIONS!$C$22)*(1+H837)^5*(1+K837)/(I837-K837)/(1+I837)^5)-DCF!$C$12)/ASSUMPTIONS!$C$7</f>
        <v/>
      </c>
    </row>
    <row r="838">
      <c r="H838" s="83">
        <f>_xlfn.NORM.INV(RAND(),AVERAGE(ASSUMPTIONS!$C$38,ASSUMPTIONS!$C$39,ASSUMPTIONS!$C$40,ASSUMPTIONS!$C$41,ASSUMPTIONS!$C$42),ASSUMPTIONS!$C$68)</f>
        <v/>
      </c>
      <c r="I838" s="83">
        <f>MAX(_xlfn.NORM.INV(RAND(),DCF!$C$11,ASSUMPTIONS!$C$69),K838+0.005)</f>
        <v/>
      </c>
      <c r="J838" s="83">
        <f>_xlfn.NORM.INV(RAND(),ASSUMPTIONS!$C$19,ASSUMPTIONS!$C$70)</f>
        <v/>
      </c>
      <c r="K838" s="83">
        <f>_xlfn.NORM.INV(RAND(),ASSUMPTIONS!$C$43,ASSUMPTIONS!$C$71)</f>
        <v/>
      </c>
      <c r="L838" s="84">
        <f>(((ASSUMPTIONS!$C$18*J838*(1-ASSUMPTIONS!$C$20)+ASSUMPTIONS!$C$18*ASSUMPTIONS!$C$21-ASSUMPTIONS!$C$18*ASSUMPTIONS!$C$22)*(1+H838)*(1-((1+H838)/(1+I838))^5)/(I838-H838))+((ASSUMPTIONS!$C$18*J838*(1-ASSUMPTIONS!$C$20)+ASSUMPTIONS!$C$18*ASSUMPTIONS!$C$21-ASSUMPTIONS!$C$18*ASSUMPTIONS!$C$22)*(1+H838)^5*(1+K838)/(I838-K838)/(1+I838)^5)-DCF!$C$12)/ASSUMPTIONS!$C$7</f>
        <v/>
      </c>
    </row>
    <row r="839">
      <c r="H839" s="83">
        <f>_xlfn.NORM.INV(RAND(),AVERAGE(ASSUMPTIONS!$C$38,ASSUMPTIONS!$C$39,ASSUMPTIONS!$C$40,ASSUMPTIONS!$C$41,ASSUMPTIONS!$C$42),ASSUMPTIONS!$C$68)</f>
        <v/>
      </c>
      <c r="I839" s="83">
        <f>MAX(_xlfn.NORM.INV(RAND(),DCF!$C$11,ASSUMPTIONS!$C$69),K839+0.005)</f>
        <v/>
      </c>
      <c r="J839" s="83">
        <f>_xlfn.NORM.INV(RAND(),ASSUMPTIONS!$C$19,ASSUMPTIONS!$C$70)</f>
        <v/>
      </c>
      <c r="K839" s="83">
        <f>_xlfn.NORM.INV(RAND(),ASSUMPTIONS!$C$43,ASSUMPTIONS!$C$71)</f>
        <v/>
      </c>
      <c r="L839" s="84">
        <f>(((ASSUMPTIONS!$C$18*J839*(1-ASSUMPTIONS!$C$20)+ASSUMPTIONS!$C$18*ASSUMPTIONS!$C$21-ASSUMPTIONS!$C$18*ASSUMPTIONS!$C$22)*(1+H839)*(1-((1+H839)/(1+I839))^5)/(I839-H839))+((ASSUMPTIONS!$C$18*J839*(1-ASSUMPTIONS!$C$20)+ASSUMPTIONS!$C$18*ASSUMPTIONS!$C$21-ASSUMPTIONS!$C$18*ASSUMPTIONS!$C$22)*(1+H839)^5*(1+K839)/(I839-K839)/(1+I839)^5)-DCF!$C$12)/ASSUMPTIONS!$C$7</f>
        <v/>
      </c>
    </row>
    <row r="840">
      <c r="H840" s="83">
        <f>_xlfn.NORM.INV(RAND(),AVERAGE(ASSUMPTIONS!$C$38,ASSUMPTIONS!$C$39,ASSUMPTIONS!$C$40,ASSUMPTIONS!$C$41,ASSUMPTIONS!$C$42),ASSUMPTIONS!$C$68)</f>
        <v/>
      </c>
      <c r="I840" s="83">
        <f>MAX(_xlfn.NORM.INV(RAND(),DCF!$C$11,ASSUMPTIONS!$C$69),K840+0.005)</f>
        <v/>
      </c>
      <c r="J840" s="83">
        <f>_xlfn.NORM.INV(RAND(),ASSUMPTIONS!$C$19,ASSUMPTIONS!$C$70)</f>
        <v/>
      </c>
      <c r="K840" s="83">
        <f>_xlfn.NORM.INV(RAND(),ASSUMPTIONS!$C$43,ASSUMPTIONS!$C$71)</f>
        <v/>
      </c>
      <c r="L840" s="84">
        <f>(((ASSUMPTIONS!$C$18*J840*(1-ASSUMPTIONS!$C$20)+ASSUMPTIONS!$C$18*ASSUMPTIONS!$C$21-ASSUMPTIONS!$C$18*ASSUMPTIONS!$C$22)*(1+H840)*(1-((1+H840)/(1+I840))^5)/(I840-H840))+((ASSUMPTIONS!$C$18*J840*(1-ASSUMPTIONS!$C$20)+ASSUMPTIONS!$C$18*ASSUMPTIONS!$C$21-ASSUMPTIONS!$C$18*ASSUMPTIONS!$C$22)*(1+H840)^5*(1+K840)/(I840-K840)/(1+I840)^5)-DCF!$C$12)/ASSUMPTIONS!$C$7</f>
        <v/>
      </c>
    </row>
    <row r="841">
      <c r="H841" s="83">
        <f>_xlfn.NORM.INV(RAND(),AVERAGE(ASSUMPTIONS!$C$38,ASSUMPTIONS!$C$39,ASSUMPTIONS!$C$40,ASSUMPTIONS!$C$41,ASSUMPTIONS!$C$42),ASSUMPTIONS!$C$68)</f>
        <v/>
      </c>
      <c r="I841" s="83">
        <f>MAX(_xlfn.NORM.INV(RAND(),DCF!$C$11,ASSUMPTIONS!$C$69),K841+0.005)</f>
        <v/>
      </c>
      <c r="J841" s="83">
        <f>_xlfn.NORM.INV(RAND(),ASSUMPTIONS!$C$19,ASSUMPTIONS!$C$70)</f>
        <v/>
      </c>
      <c r="K841" s="83">
        <f>_xlfn.NORM.INV(RAND(),ASSUMPTIONS!$C$43,ASSUMPTIONS!$C$71)</f>
        <v/>
      </c>
      <c r="L841" s="84">
        <f>(((ASSUMPTIONS!$C$18*J841*(1-ASSUMPTIONS!$C$20)+ASSUMPTIONS!$C$18*ASSUMPTIONS!$C$21-ASSUMPTIONS!$C$18*ASSUMPTIONS!$C$22)*(1+H841)*(1-((1+H841)/(1+I841))^5)/(I841-H841))+((ASSUMPTIONS!$C$18*J841*(1-ASSUMPTIONS!$C$20)+ASSUMPTIONS!$C$18*ASSUMPTIONS!$C$21-ASSUMPTIONS!$C$18*ASSUMPTIONS!$C$22)*(1+H841)^5*(1+K841)/(I841-K841)/(1+I841)^5)-DCF!$C$12)/ASSUMPTIONS!$C$7</f>
        <v/>
      </c>
    </row>
    <row r="842">
      <c r="H842" s="83">
        <f>_xlfn.NORM.INV(RAND(),AVERAGE(ASSUMPTIONS!$C$38,ASSUMPTIONS!$C$39,ASSUMPTIONS!$C$40,ASSUMPTIONS!$C$41,ASSUMPTIONS!$C$42),ASSUMPTIONS!$C$68)</f>
        <v/>
      </c>
      <c r="I842" s="83">
        <f>MAX(_xlfn.NORM.INV(RAND(),DCF!$C$11,ASSUMPTIONS!$C$69),K842+0.005)</f>
        <v/>
      </c>
      <c r="J842" s="83">
        <f>_xlfn.NORM.INV(RAND(),ASSUMPTIONS!$C$19,ASSUMPTIONS!$C$70)</f>
        <v/>
      </c>
      <c r="K842" s="83">
        <f>_xlfn.NORM.INV(RAND(),ASSUMPTIONS!$C$43,ASSUMPTIONS!$C$71)</f>
        <v/>
      </c>
      <c r="L842" s="84">
        <f>(((ASSUMPTIONS!$C$18*J842*(1-ASSUMPTIONS!$C$20)+ASSUMPTIONS!$C$18*ASSUMPTIONS!$C$21-ASSUMPTIONS!$C$18*ASSUMPTIONS!$C$22)*(1+H842)*(1-((1+H842)/(1+I842))^5)/(I842-H842))+((ASSUMPTIONS!$C$18*J842*(1-ASSUMPTIONS!$C$20)+ASSUMPTIONS!$C$18*ASSUMPTIONS!$C$21-ASSUMPTIONS!$C$18*ASSUMPTIONS!$C$22)*(1+H842)^5*(1+K842)/(I842-K842)/(1+I842)^5)-DCF!$C$12)/ASSUMPTIONS!$C$7</f>
        <v/>
      </c>
    </row>
    <row r="843">
      <c r="H843" s="83">
        <f>_xlfn.NORM.INV(RAND(),AVERAGE(ASSUMPTIONS!$C$38,ASSUMPTIONS!$C$39,ASSUMPTIONS!$C$40,ASSUMPTIONS!$C$41,ASSUMPTIONS!$C$42),ASSUMPTIONS!$C$68)</f>
        <v/>
      </c>
      <c r="I843" s="83">
        <f>MAX(_xlfn.NORM.INV(RAND(),DCF!$C$11,ASSUMPTIONS!$C$69),K843+0.005)</f>
        <v/>
      </c>
      <c r="J843" s="83">
        <f>_xlfn.NORM.INV(RAND(),ASSUMPTIONS!$C$19,ASSUMPTIONS!$C$70)</f>
        <v/>
      </c>
      <c r="K843" s="83">
        <f>_xlfn.NORM.INV(RAND(),ASSUMPTIONS!$C$43,ASSUMPTIONS!$C$71)</f>
        <v/>
      </c>
      <c r="L843" s="84">
        <f>(((ASSUMPTIONS!$C$18*J843*(1-ASSUMPTIONS!$C$20)+ASSUMPTIONS!$C$18*ASSUMPTIONS!$C$21-ASSUMPTIONS!$C$18*ASSUMPTIONS!$C$22)*(1+H843)*(1-((1+H843)/(1+I843))^5)/(I843-H843))+((ASSUMPTIONS!$C$18*J843*(1-ASSUMPTIONS!$C$20)+ASSUMPTIONS!$C$18*ASSUMPTIONS!$C$21-ASSUMPTIONS!$C$18*ASSUMPTIONS!$C$22)*(1+H843)^5*(1+K843)/(I843-K843)/(1+I843)^5)-DCF!$C$12)/ASSUMPTIONS!$C$7</f>
        <v/>
      </c>
    </row>
    <row r="844">
      <c r="H844" s="83">
        <f>_xlfn.NORM.INV(RAND(),AVERAGE(ASSUMPTIONS!$C$38,ASSUMPTIONS!$C$39,ASSUMPTIONS!$C$40,ASSUMPTIONS!$C$41,ASSUMPTIONS!$C$42),ASSUMPTIONS!$C$68)</f>
        <v/>
      </c>
      <c r="I844" s="83">
        <f>MAX(_xlfn.NORM.INV(RAND(),DCF!$C$11,ASSUMPTIONS!$C$69),K844+0.005)</f>
        <v/>
      </c>
      <c r="J844" s="83">
        <f>_xlfn.NORM.INV(RAND(),ASSUMPTIONS!$C$19,ASSUMPTIONS!$C$70)</f>
        <v/>
      </c>
      <c r="K844" s="83">
        <f>_xlfn.NORM.INV(RAND(),ASSUMPTIONS!$C$43,ASSUMPTIONS!$C$71)</f>
        <v/>
      </c>
      <c r="L844" s="84">
        <f>(((ASSUMPTIONS!$C$18*J844*(1-ASSUMPTIONS!$C$20)+ASSUMPTIONS!$C$18*ASSUMPTIONS!$C$21-ASSUMPTIONS!$C$18*ASSUMPTIONS!$C$22)*(1+H844)*(1-((1+H844)/(1+I844))^5)/(I844-H844))+((ASSUMPTIONS!$C$18*J844*(1-ASSUMPTIONS!$C$20)+ASSUMPTIONS!$C$18*ASSUMPTIONS!$C$21-ASSUMPTIONS!$C$18*ASSUMPTIONS!$C$22)*(1+H844)^5*(1+K844)/(I844-K844)/(1+I844)^5)-DCF!$C$12)/ASSUMPTIONS!$C$7</f>
        <v/>
      </c>
    </row>
    <row r="845">
      <c r="H845" s="83">
        <f>_xlfn.NORM.INV(RAND(),AVERAGE(ASSUMPTIONS!$C$38,ASSUMPTIONS!$C$39,ASSUMPTIONS!$C$40,ASSUMPTIONS!$C$41,ASSUMPTIONS!$C$42),ASSUMPTIONS!$C$68)</f>
        <v/>
      </c>
      <c r="I845" s="83">
        <f>MAX(_xlfn.NORM.INV(RAND(),DCF!$C$11,ASSUMPTIONS!$C$69),K845+0.005)</f>
        <v/>
      </c>
      <c r="J845" s="83">
        <f>_xlfn.NORM.INV(RAND(),ASSUMPTIONS!$C$19,ASSUMPTIONS!$C$70)</f>
        <v/>
      </c>
      <c r="K845" s="83">
        <f>_xlfn.NORM.INV(RAND(),ASSUMPTIONS!$C$43,ASSUMPTIONS!$C$71)</f>
        <v/>
      </c>
      <c r="L845" s="84">
        <f>(((ASSUMPTIONS!$C$18*J845*(1-ASSUMPTIONS!$C$20)+ASSUMPTIONS!$C$18*ASSUMPTIONS!$C$21-ASSUMPTIONS!$C$18*ASSUMPTIONS!$C$22)*(1+H845)*(1-((1+H845)/(1+I845))^5)/(I845-H845))+((ASSUMPTIONS!$C$18*J845*(1-ASSUMPTIONS!$C$20)+ASSUMPTIONS!$C$18*ASSUMPTIONS!$C$21-ASSUMPTIONS!$C$18*ASSUMPTIONS!$C$22)*(1+H845)^5*(1+K845)/(I845-K845)/(1+I845)^5)-DCF!$C$12)/ASSUMPTIONS!$C$7</f>
        <v/>
      </c>
    </row>
    <row r="846">
      <c r="H846" s="83">
        <f>_xlfn.NORM.INV(RAND(),AVERAGE(ASSUMPTIONS!$C$38,ASSUMPTIONS!$C$39,ASSUMPTIONS!$C$40,ASSUMPTIONS!$C$41,ASSUMPTIONS!$C$42),ASSUMPTIONS!$C$68)</f>
        <v/>
      </c>
      <c r="I846" s="83">
        <f>MAX(_xlfn.NORM.INV(RAND(),DCF!$C$11,ASSUMPTIONS!$C$69),K846+0.005)</f>
        <v/>
      </c>
      <c r="J846" s="83">
        <f>_xlfn.NORM.INV(RAND(),ASSUMPTIONS!$C$19,ASSUMPTIONS!$C$70)</f>
        <v/>
      </c>
      <c r="K846" s="83">
        <f>_xlfn.NORM.INV(RAND(),ASSUMPTIONS!$C$43,ASSUMPTIONS!$C$71)</f>
        <v/>
      </c>
      <c r="L846" s="84">
        <f>(((ASSUMPTIONS!$C$18*J846*(1-ASSUMPTIONS!$C$20)+ASSUMPTIONS!$C$18*ASSUMPTIONS!$C$21-ASSUMPTIONS!$C$18*ASSUMPTIONS!$C$22)*(1+H846)*(1-((1+H846)/(1+I846))^5)/(I846-H846))+((ASSUMPTIONS!$C$18*J846*(1-ASSUMPTIONS!$C$20)+ASSUMPTIONS!$C$18*ASSUMPTIONS!$C$21-ASSUMPTIONS!$C$18*ASSUMPTIONS!$C$22)*(1+H846)^5*(1+K846)/(I846-K846)/(1+I846)^5)-DCF!$C$12)/ASSUMPTIONS!$C$7</f>
        <v/>
      </c>
    </row>
    <row r="847">
      <c r="H847" s="83">
        <f>_xlfn.NORM.INV(RAND(),AVERAGE(ASSUMPTIONS!$C$38,ASSUMPTIONS!$C$39,ASSUMPTIONS!$C$40,ASSUMPTIONS!$C$41,ASSUMPTIONS!$C$42),ASSUMPTIONS!$C$68)</f>
        <v/>
      </c>
      <c r="I847" s="83">
        <f>MAX(_xlfn.NORM.INV(RAND(),DCF!$C$11,ASSUMPTIONS!$C$69),K847+0.005)</f>
        <v/>
      </c>
      <c r="J847" s="83">
        <f>_xlfn.NORM.INV(RAND(),ASSUMPTIONS!$C$19,ASSUMPTIONS!$C$70)</f>
        <v/>
      </c>
      <c r="K847" s="83">
        <f>_xlfn.NORM.INV(RAND(),ASSUMPTIONS!$C$43,ASSUMPTIONS!$C$71)</f>
        <v/>
      </c>
      <c r="L847" s="84">
        <f>(((ASSUMPTIONS!$C$18*J847*(1-ASSUMPTIONS!$C$20)+ASSUMPTIONS!$C$18*ASSUMPTIONS!$C$21-ASSUMPTIONS!$C$18*ASSUMPTIONS!$C$22)*(1+H847)*(1-((1+H847)/(1+I847))^5)/(I847-H847))+((ASSUMPTIONS!$C$18*J847*(1-ASSUMPTIONS!$C$20)+ASSUMPTIONS!$C$18*ASSUMPTIONS!$C$21-ASSUMPTIONS!$C$18*ASSUMPTIONS!$C$22)*(1+H847)^5*(1+K847)/(I847-K847)/(1+I847)^5)-DCF!$C$12)/ASSUMPTIONS!$C$7</f>
        <v/>
      </c>
    </row>
    <row r="848">
      <c r="H848" s="83">
        <f>_xlfn.NORM.INV(RAND(),AVERAGE(ASSUMPTIONS!$C$38,ASSUMPTIONS!$C$39,ASSUMPTIONS!$C$40,ASSUMPTIONS!$C$41,ASSUMPTIONS!$C$42),ASSUMPTIONS!$C$68)</f>
        <v/>
      </c>
      <c r="I848" s="83">
        <f>MAX(_xlfn.NORM.INV(RAND(),DCF!$C$11,ASSUMPTIONS!$C$69),K848+0.005)</f>
        <v/>
      </c>
      <c r="J848" s="83">
        <f>_xlfn.NORM.INV(RAND(),ASSUMPTIONS!$C$19,ASSUMPTIONS!$C$70)</f>
        <v/>
      </c>
      <c r="K848" s="83">
        <f>_xlfn.NORM.INV(RAND(),ASSUMPTIONS!$C$43,ASSUMPTIONS!$C$71)</f>
        <v/>
      </c>
      <c r="L848" s="84">
        <f>(((ASSUMPTIONS!$C$18*J848*(1-ASSUMPTIONS!$C$20)+ASSUMPTIONS!$C$18*ASSUMPTIONS!$C$21-ASSUMPTIONS!$C$18*ASSUMPTIONS!$C$22)*(1+H848)*(1-((1+H848)/(1+I848))^5)/(I848-H848))+((ASSUMPTIONS!$C$18*J848*(1-ASSUMPTIONS!$C$20)+ASSUMPTIONS!$C$18*ASSUMPTIONS!$C$21-ASSUMPTIONS!$C$18*ASSUMPTIONS!$C$22)*(1+H848)^5*(1+K848)/(I848-K848)/(1+I848)^5)-DCF!$C$12)/ASSUMPTIONS!$C$7</f>
        <v/>
      </c>
    </row>
    <row r="849">
      <c r="H849" s="83">
        <f>_xlfn.NORM.INV(RAND(),AVERAGE(ASSUMPTIONS!$C$38,ASSUMPTIONS!$C$39,ASSUMPTIONS!$C$40,ASSUMPTIONS!$C$41,ASSUMPTIONS!$C$42),ASSUMPTIONS!$C$68)</f>
        <v/>
      </c>
      <c r="I849" s="83">
        <f>MAX(_xlfn.NORM.INV(RAND(),DCF!$C$11,ASSUMPTIONS!$C$69),K849+0.005)</f>
        <v/>
      </c>
      <c r="J849" s="83">
        <f>_xlfn.NORM.INV(RAND(),ASSUMPTIONS!$C$19,ASSUMPTIONS!$C$70)</f>
        <v/>
      </c>
      <c r="K849" s="83">
        <f>_xlfn.NORM.INV(RAND(),ASSUMPTIONS!$C$43,ASSUMPTIONS!$C$71)</f>
        <v/>
      </c>
      <c r="L849" s="84">
        <f>(((ASSUMPTIONS!$C$18*J849*(1-ASSUMPTIONS!$C$20)+ASSUMPTIONS!$C$18*ASSUMPTIONS!$C$21-ASSUMPTIONS!$C$18*ASSUMPTIONS!$C$22)*(1+H849)*(1-((1+H849)/(1+I849))^5)/(I849-H849))+((ASSUMPTIONS!$C$18*J849*(1-ASSUMPTIONS!$C$20)+ASSUMPTIONS!$C$18*ASSUMPTIONS!$C$21-ASSUMPTIONS!$C$18*ASSUMPTIONS!$C$22)*(1+H849)^5*(1+K849)/(I849-K849)/(1+I849)^5)-DCF!$C$12)/ASSUMPTIONS!$C$7</f>
        <v/>
      </c>
    </row>
    <row r="850">
      <c r="H850" s="83">
        <f>_xlfn.NORM.INV(RAND(),AVERAGE(ASSUMPTIONS!$C$38,ASSUMPTIONS!$C$39,ASSUMPTIONS!$C$40,ASSUMPTIONS!$C$41,ASSUMPTIONS!$C$42),ASSUMPTIONS!$C$68)</f>
        <v/>
      </c>
      <c r="I850" s="83">
        <f>MAX(_xlfn.NORM.INV(RAND(),DCF!$C$11,ASSUMPTIONS!$C$69),K850+0.005)</f>
        <v/>
      </c>
      <c r="J850" s="83">
        <f>_xlfn.NORM.INV(RAND(),ASSUMPTIONS!$C$19,ASSUMPTIONS!$C$70)</f>
        <v/>
      </c>
      <c r="K850" s="83">
        <f>_xlfn.NORM.INV(RAND(),ASSUMPTIONS!$C$43,ASSUMPTIONS!$C$71)</f>
        <v/>
      </c>
      <c r="L850" s="84">
        <f>(((ASSUMPTIONS!$C$18*J850*(1-ASSUMPTIONS!$C$20)+ASSUMPTIONS!$C$18*ASSUMPTIONS!$C$21-ASSUMPTIONS!$C$18*ASSUMPTIONS!$C$22)*(1+H850)*(1-((1+H850)/(1+I850))^5)/(I850-H850))+((ASSUMPTIONS!$C$18*J850*(1-ASSUMPTIONS!$C$20)+ASSUMPTIONS!$C$18*ASSUMPTIONS!$C$21-ASSUMPTIONS!$C$18*ASSUMPTIONS!$C$22)*(1+H850)^5*(1+K850)/(I850-K850)/(1+I850)^5)-DCF!$C$12)/ASSUMPTIONS!$C$7</f>
        <v/>
      </c>
    </row>
    <row r="851">
      <c r="H851" s="83">
        <f>_xlfn.NORM.INV(RAND(),AVERAGE(ASSUMPTIONS!$C$38,ASSUMPTIONS!$C$39,ASSUMPTIONS!$C$40,ASSUMPTIONS!$C$41,ASSUMPTIONS!$C$42),ASSUMPTIONS!$C$68)</f>
        <v/>
      </c>
      <c r="I851" s="83">
        <f>MAX(_xlfn.NORM.INV(RAND(),DCF!$C$11,ASSUMPTIONS!$C$69),K851+0.005)</f>
        <v/>
      </c>
      <c r="J851" s="83">
        <f>_xlfn.NORM.INV(RAND(),ASSUMPTIONS!$C$19,ASSUMPTIONS!$C$70)</f>
        <v/>
      </c>
      <c r="K851" s="83">
        <f>_xlfn.NORM.INV(RAND(),ASSUMPTIONS!$C$43,ASSUMPTIONS!$C$71)</f>
        <v/>
      </c>
      <c r="L851" s="84">
        <f>(((ASSUMPTIONS!$C$18*J851*(1-ASSUMPTIONS!$C$20)+ASSUMPTIONS!$C$18*ASSUMPTIONS!$C$21-ASSUMPTIONS!$C$18*ASSUMPTIONS!$C$22)*(1+H851)*(1-((1+H851)/(1+I851))^5)/(I851-H851))+((ASSUMPTIONS!$C$18*J851*(1-ASSUMPTIONS!$C$20)+ASSUMPTIONS!$C$18*ASSUMPTIONS!$C$21-ASSUMPTIONS!$C$18*ASSUMPTIONS!$C$22)*(1+H851)^5*(1+K851)/(I851-K851)/(1+I851)^5)-DCF!$C$12)/ASSUMPTIONS!$C$7</f>
        <v/>
      </c>
    </row>
    <row r="852">
      <c r="H852" s="83">
        <f>_xlfn.NORM.INV(RAND(),AVERAGE(ASSUMPTIONS!$C$38,ASSUMPTIONS!$C$39,ASSUMPTIONS!$C$40,ASSUMPTIONS!$C$41,ASSUMPTIONS!$C$42),ASSUMPTIONS!$C$68)</f>
        <v/>
      </c>
      <c r="I852" s="83">
        <f>MAX(_xlfn.NORM.INV(RAND(),DCF!$C$11,ASSUMPTIONS!$C$69),K852+0.005)</f>
        <v/>
      </c>
      <c r="J852" s="83">
        <f>_xlfn.NORM.INV(RAND(),ASSUMPTIONS!$C$19,ASSUMPTIONS!$C$70)</f>
        <v/>
      </c>
      <c r="K852" s="83">
        <f>_xlfn.NORM.INV(RAND(),ASSUMPTIONS!$C$43,ASSUMPTIONS!$C$71)</f>
        <v/>
      </c>
      <c r="L852" s="84">
        <f>(((ASSUMPTIONS!$C$18*J852*(1-ASSUMPTIONS!$C$20)+ASSUMPTIONS!$C$18*ASSUMPTIONS!$C$21-ASSUMPTIONS!$C$18*ASSUMPTIONS!$C$22)*(1+H852)*(1-((1+H852)/(1+I852))^5)/(I852-H852))+((ASSUMPTIONS!$C$18*J852*(1-ASSUMPTIONS!$C$20)+ASSUMPTIONS!$C$18*ASSUMPTIONS!$C$21-ASSUMPTIONS!$C$18*ASSUMPTIONS!$C$22)*(1+H852)^5*(1+K852)/(I852-K852)/(1+I852)^5)-DCF!$C$12)/ASSUMPTIONS!$C$7</f>
        <v/>
      </c>
    </row>
    <row r="853">
      <c r="H853" s="83">
        <f>_xlfn.NORM.INV(RAND(),AVERAGE(ASSUMPTIONS!$C$38,ASSUMPTIONS!$C$39,ASSUMPTIONS!$C$40,ASSUMPTIONS!$C$41,ASSUMPTIONS!$C$42),ASSUMPTIONS!$C$68)</f>
        <v/>
      </c>
      <c r="I853" s="83">
        <f>MAX(_xlfn.NORM.INV(RAND(),DCF!$C$11,ASSUMPTIONS!$C$69),K853+0.005)</f>
        <v/>
      </c>
      <c r="J853" s="83">
        <f>_xlfn.NORM.INV(RAND(),ASSUMPTIONS!$C$19,ASSUMPTIONS!$C$70)</f>
        <v/>
      </c>
      <c r="K853" s="83">
        <f>_xlfn.NORM.INV(RAND(),ASSUMPTIONS!$C$43,ASSUMPTIONS!$C$71)</f>
        <v/>
      </c>
      <c r="L853" s="84">
        <f>(((ASSUMPTIONS!$C$18*J853*(1-ASSUMPTIONS!$C$20)+ASSUMPTIONS!$C$18*ASSUMPTIONS!$C$21-ASSUMPTIONS!$C$18*ASSUMPTIONS!$C$22)*(1+H853)*(1-((1+H853)/(1+I853))^5)/(I853-H853))+((ASSUMPTIONS!$C$18*J853*(1-ASSUMPTIONS!$C$20)+ASSUMPTIONS!$C$18*ASSUMPTIONS!$C$21-ASSUMPTIONS!$C$18*ASSUMPTIONS!$C$22)*(1+H853)^5*(1+K853)/(I853-K853)/(1+I853)^5)-DCF!$C$12)/ASSUMPTIONS!$C$7</f>
        <v/>
      </c>
    </row>
    <row r="854">
      <c r="H854" s="83">
        <f>_xlfn.NORM.INV(RAND(),AVERAGE(ASSUMPTIONS!$C$38,ASSUMPTIONS!$C$39,ASSUMPTIONS!$C$40,ASSUMPTIONS!$C$41,ASSUMPTIONS!$C$42),ASSUMPTIONS!$C$68)</f>
        <v/>
      </c>
      <c r="I854" s="83">
        <f>MAX(_xlfn.NORM.INV(RAND(),DCF!$C$11,ASSUMPTIONS!$C$69),K854+0.005)</f>
        <v/>
      </c>
      <c r="J854" s="83">
        <f>_xlfn.NORM.INV(RAND(),ASSUMPTIONS!$C$19,ASSUMPTIONS!$C$70)</f>
        <v/>
      </c>
      <c r="K854" s="83">
        <f>_xlfn.NORM.INV(RAND(),ASSUMPTIONS!$C$43,ASSUMPTIONS!$C$71)</f>
        <v/>
      </c>
      <c r="L854" s="84">
        <f>(((ASSUMPTIONS!$C$18*J854*(1-ASSUMPTIONS!$C$20)+ASSUMPTIONS!$C$18*ASSUMPTIONS!$C$21-ASSUMPTIONS!$C$18*ASSUMPTIONS!$C$22)*(1+H854)*(1-((1+H854)/(1+I854))^5)/(I854-H854))+((ASSUMPTIONS!$C$18*J854*(1-ASSUMPTIONS!$C$20)+ASSUMPTIONS!$C$18*ASSUMPTIONS!$C$21-ASSUMPTIONS!$C$18*ASSUMPTIONS!$C$22)*(1+H854)^5*(1+K854)/(I854-K854)/(1+I854)^5)-DCF!$C$12)/ASSUMPTIONS!$C$7</f>
        <v/>
      </c>
    </row>
    <row r="855">
      <c r="H855" s="83">
        <f>_xlfn.NORM.INV(RAND(),AVERAGE(ASSUMPTIONS!$C$38,ASSUMPTIONS!$C$39,ASSUMPTIONS!$C$40,ASSUMPTIONS!$C$41,ASSUMPTIONS!$C$42),ASSUMPTIONS!$C$68)</f>
        <v/>
      </c>
      <c r="I855" s="83">
        <f>MAX(_xlfn.NORM.INV(RAND(),DCF!$C$11,ASSUMPTIONS!$C$69),K855+0.005)</f>
        <v/>
      </c>
      <c r="J855" s="83">
        <f>_xlfn.NORM.INV(RAND(),ASSUMPTIONS!$C$19,ASSUMPTIONS!$C$70)</f>
        <v/>
      </c>
      <c r="K855" s="83">
        <f>_xlfn.NORM.INV(RAND(),ASSUMPTIONS!$C$43,ASSUMPTIONS!$C$71)</f>
        <v/>
      </c>
      <c r="L855" s="84">
        <f>(((ASSUMPTIONS!$C$18*J855*(1-ASSUMPTIONS!$C$20)+ASSUMPTIONS!$C$18*ASSUMPTIONS!$C$21-ASSUMPTIONS!$C$18*ASSUMPTIONS!$C$22)*(1+H855)*(1-((1+H855)/(1+I855))^5)/(I855-H855))+((ASSUMPTIONS!$C$18*J855*(1-ASSUMPTIONS!$C$20)+ASSUMPTIONS!$C$18*ASSUMPTIONS!$C$21-ASSUMPTIONS!$C$18*ASSUMPTIONS!$C$22)*(1+H855)^5*(1+K855)/(I855-K855)/(1+I855)^5)-DCF!$C$12)/ASSUMPTIONS!$C$7</f>
        <v/>
      </c>
    </row>
    <row r="856">
      <c r="H856" s="83">
        <f>_xlfn.NORM.INV(RAND(),AVERAGE(ASSUMPTIONS!$C$38,ASSUMPTIONS!$C$39,ASSUMPTIONS!$C$40,ASSUMPTIONS!$C$41,ASSUMPTIONS!$C$42),ASSUMPTIONS!$C$68)</f>
        <v/>
      </c>
      <c r="I856" s="83">
        <f>MAX(_xlfn.NORM.INV(RAND(),DCF!$C$11,ASSUMPTIONS!$C$69),K856+0.005)</f>
        <v/>
      </c>
      <c r="J856" s="83">
        <f>_xlfn.NORM.INV(RAND(),ASSUMPTIONS!$C$19,ASSUMPTIONS!$C$70)</f>
        <v/>
      </c>
      <c r="K856" s="83">
        <f>_xlfn.NORM.INV(RAND(),ASSUMPTIONS!$C$43,ASSUMPTIONS!$C$71)</f>
        <v/>
      </c>
      <c r="L856" s="84">
        <f>(((ASSUMPTIONS!$C$18*J856*(1-ASSUMPTIONS!$C$20)+ASSUMPTIONS!$C$18*ASSUMPTIONS!$C$21-ASSUMPTIONS!$C$18*ASSUMPTIONS!$C$22)*(1+H856)*(1-((1+H856)/(1+I856))^5)/(I856-H856))+((ASSUMPTIONS!$C$18*J856*(1-ASSUMPTIONS!$C$20)+ASSUMPTIONS!$C$18*ASSUMPTIONS!$C$21-ASSUMPTIONS!$C$18*ASSUMPTIONS!$C$22)*(1+H856)^5*(1+K856)/(I856-K856)/(1+I856)^5)-DCF!$C$12)/ASSUMPTIONS!$C$7</f>
        <v/>
      </c>
    </row>
    <row r="857">
      <c r="H857" s="83">
        <f>_xlfn.NORM.INV(RAND(),AVERAGE(ASSUMPTIONS!$C$38,ASSUMPTIONS!$C$39,ASSUMPTIONS!$C$40,ASSUMPTIONS!$C$41,ASSUMPTIONS!$C$42),ASSUMPTIONS!$C$68)</f>
        <v/>
      </c>
      <c r="I857" s="83">
        <f>MAX(_xlfn.NORM.INV(RAND(),DCF!$C$11,ASSUMPTIONS!$C$69),K857+0.005)</f>
        <v/>
      </c>
      <c r="J857" s="83">
        <f>_xlfn.NORM.INV(RAND(),ASSUMPTIONS!$C$19,ASSUMPTIONS!$C$70)</f>
        <v/>
      </c>
      <c r="K857" s="83">
        <f>_xlfn.NORM.INV(RAND(),ASSUMPTIONS!$C$43,ASSUMPTIONS!$C$71)</f>
        <v/>
      </c>
      <c r="L857" s="84">
        <f>(((ASSUMPTIONS!$C$18*J857*(1-ASSUMPTIONS!$C$20)+ASSUMPTIONS!$C$18*ASSUMPTIONS!$C$21-ASSUMPTIONS!$C$18*ASSUMPTIONS!$C$22)*(1+H857)*(1-((1+H857)/(1+I857))^5)/(I857-H857))+((ASSUMPTIONS!$C$18*J857*(1-ASSUMPTIONS!$C$20)+ASSUMPTIONS!$C$18*ASSUMPTIONS!$C$21-ASSUMPTIONS!$C$18*ASSUMPTIONS!$C$22)*(1+H857)^5*(1+K857)/(I857-K857)/(1+I857)^5)-DCF!$C$12)/ASSUMPTIONS!$C$7</f>
        <v/>
      </c>
    </row>
    <row r="858">
      <c r="H858" s="83">
        <f>_xlfn.NORM.INV(RAND(),AVERAGE(ASSUMPTIONS!$C$38,ASSUMPTIONS!$C$39,ASSUMPTIONS!$C$40,ASSUMPTIONS!$C$41,ASSUMPTIONS!$C$42),ASSUMPTIONS!$C$68)</f>
        <v/>
      </c>
      <c r="I858" s="83">
        <f>MAX(_xlfn.NORM.INV(RAND(),DCF!$C$11,ASSUMPTIONS!$C$69),K858+0.005)</f>
        <v/>
      </c>
      <c r="J858" s="83">
        <f>_xlfn.NORM.INV(RAND(),ASSUMPTIONS!$C$19,ASSUMPTIONS!$C$70)</f>
        <v/>
      </c>
      <c r="K858" s="83">
        <f>_xlfn.NORM.INV(RAND(),ASSUMPTIONS!$C$43,ASSUMPTIONS!$C$71)</f>
        <v/>
      </c>
      <c r="L858" s="84">
        <f>(((ASSUMPTIONS!$C$18*J858*(1-ASSUMPTIONS!$C$20)+ASSUMPTIONS!$C$18*ASSUMPTIONS!$C$21-ASSUMPTIONS!$C$18*ASSUMPTIONS!$C$22)*(1+H858)*(1-((1+H858)/(1+I858))^5)/(I858-H858))+((ASSUMPTIONS!$C$18*J858*(1-ASSUMPTIONS!$C$20)+ASSUMPTIONS!$C$18*ASSUMPTIONS!$C$21-ASSUMPTIONS!$C$18*ASSUMPTIONS!$C$22)*(1+H858)^5*(1+K858)/(I858-K858)/(1+I858)^5)-DCF!$C$12)/ASSUMPTIONS!$C$7</f>
        <v/>
      </c>
    </row>
    <row r="859">
      <c r="H859" s="83">
        <f>_xlfn.NORM.INV(RAND(),AVERAGE(ASSUMPTIONS!$C$38,ASSUMPTIONS!$C$39,ASSUMPTIONS!$C$40,ASSUMPTIONS!$C$41,ASSUMPTIONS!$C$42),ASSUMPTIONS!$C$68)</f>
        <v/>
      </c>
      <c r="I859" s="83">
        <f>MAX(_xlfn.NORM.INV(RAND(),DCF!$C$11,ASSUMPTIONS!$C$69),K859+0.005)</f>
        <v/>
      </c>
      <c r="J859" s="83">
        <f>_xlfn.NORM.INV(RAND(),ASSUMPTIONS!$C$19,ASSUMPTIONS!$C$70)</f>
        <v/>
      </c>
      <c r="K859" s="83">
        <f>_xlfn.NORM.INV(RAND(),ASSUMPTIONS!$C$43,ASSUMPTIONS!$C$71)</f>
        <v/>
      </c>
      <c r="L859" s="84">
        <f>(((ASSUMPTIONS!$C$18*J859*(1-ASSUMPTIONS!$C$20)+ASSUMPTIONS!$C$18*ASSUMPTIONS!$C$21-ASSUMPTIONS!$C$18*ASSUMPTIONS!$C$22)*(1+H859)*(1-((1+H859)/(1+I859))^5)/(I859-H859))+((ASSUMPTIONS!$C$18*J859*(1-ASSUMPTIONS!$C$20)+ASSUMPTIONS!$C$18*ASSUMPTIONS!$C$21-ASSUMPTIONS!$C$18*ASSUMPTIONS!$C$22)*(1+H859)^5*(1+K859)/(I859-K859)/(1+I859)^5)-DCF!$C$12)/ASSUMPTIONS!$C$7</f>
        <v/>
      </c>
    </row>
    <row r="860">
      <c r="H860" s="83">
        <f>_xlfn.NORM.INV(RAND(),AVERAGE(ASSUMPTIONS!$C$38,ASSUMPTIONS!$C$39,ASSUMPTIONS!$C$40,ASSUMPTIONS!$C$41,ASSUMPTIONS!$C$42),ASSUMPTIONS!$C$68)</f>
        <v/>
      </c>
      <c r="I860" s="83">
        <f>MAX(_xlfn.NORM.INV(RAND(),DCF!$C$11,ASSUMPTIONS!$C$69),K860+0.005)</f>
        <v/>
      </c>
      <c r="J860" s="83">
        <f>_xlfn.NORM.INV(RAND(),ASSUMPTIONS!$C$19,ASSUMPTIONS!$C$70)</f>
        <v/>
      </c>
      <c r="K860" s="83">
        <f>_xlfn.NORM.INV(RAND(),ASSUMPTIONS!$C$43,ASSUMPTIONS!$C$71)</f>
        <v/>
      </c>
      <c r="L860" s="84">
        <f>(((ASSUMPTIONS!$C$18*J860*(1-ASSUMPTIONS!$C$20)+ASSUMPTIONS!$C$18*ASSUMPTIONS!$C$21-ASSUMPTIONS!$C$18*ASSUMPTIONS!$C$22)*(1+H860)*(1-((1+H860)/(1+I860))^5)/(I860-H860))+((ASSUMPTIONS!$C$18*J860*(1-ASSUMPTIONS!$C$20)+ASSUMPTIONS!$C$18*ASSUMPTIONS!$C$21-ASSUMPTIONS!$C$18*ASSUMPTIONS!$C$22)*(1+H860)^5*(1+K860)/(I860-K860)/(1+I860)^5)-DCF!$C$12)/ASSUMPTIONS!$C$7</f>
        <v/>
      </c>
    </row>
    <row r="861">
      <c r="H861" s="83">
        <f>_xlfn.NORM.INV(RAND(),AVERAGE(ASSUMPTIONS!$C$38,ASSUMPTIONS!$C$39,ASSUMPTIONS!$C$40,ASSUMPTIONS!$C$41,ASSUMPTIONS!$C$42),ASSUMPTIONS!$C$68)</f>
        <v/>
      </c>
      <c r="I861" s="83">
        <f>MAX(_xlfn.NORM.INV(RAND(),DCF!$C$11,ASSUMPTIONS!$C$69),K861+0.005)</f>
        <v/>
      </c>
      <c r="J861" s="83">
        <f>_xlfn.NORM.INV(RAND(),ASSUMPTIONS!$C$19,ASSUMPTIONS!$C$70)</f>
        <v/>
      </c>
      <c r="K861" s="83">
        <f>_xlfn.NORM.INV(RAND(),ASSUMPTIONS!$C$43,ASSUMPTIONS!$C$71)</f>
        <v/>
      </c>
      <c r="L861" s="84">
        <f>(((ASSUMPTIONS!$C$18*J861*(1-ASSUMPTIONS!$C$20)+ASSUMPTIONS!$C$18*ASSUMPTIONS!$C$21-ASSUMPTIONS!$C$18*ASSUMPTIONS!$C$22)*(1+H861)*(1-((1+H861)/(1+I861))^5)/(I861-H861))+((ASSUMPTIONS!$C$18*J861*(1-ASSUMPTIONS!$C$20)+ASSUMPTIONS!$C$18*ASSUMPTIONS!$C$21-ASSUMPTIONS!$C$18*ASSUMPTIONS!$C$22)*(1+H861)^5*(1+K861)/(I861-K861)/(1+I861)^5)-DCF!$C$12)/ASSUMPTIONS!$C$7</f>
        <v/>
      </c>
    </row>
    <row r="862">
      <c r="H862" s="83">
        <f>_xlfn.NORM.INV(RAND(),AVERAGE(ASSUMPTIONS!$C$38,ASSUMPTIONS!$C$39,ASSUMPTIONS!$C$40,ASSUMPTIONS!$C$41,ASSUMPTIONS!$C$42),ASSUMPTIONS!$C$68)</f>
        <v/>
      </c>
      <c r="I862" s="83">
        <f>MAX(_xlfn.NORM.INV(RAND(),DCF!$C$11,ASSUMPTIONS!$C$69),K862+0.005)</f>
        <v/>
      </c>
      <c r="J862" s="83">
        <f>_xlfn.NORM.INV(RAND(),ASSUMPTIONS!$C$19,ASSUMPTIONS!$C$70)</f>
        <v/>
      </c>
      <c r="K862" s="83">
        <f>_xlfn.NORM.INV(RAND(),ASSUMPTIONS!$C$43,ASSUMPTIONS!$C$71)</f>
        <v/>
      </c>
      <c r="L862" s="84">
        <f>(((ASSUMPTIONS!$C$18*J862*(1-ASSUMPTIONS!$C$20)+ASSUMPTIONS!$C$18*ASSUMPTIONS!$C$21-ASSUMPTIONS!$C$18*ASSUMPTIONS!$C$22)*(1+H862)*(1-((1+H862)/(1+I862))^5)/(I862-H862))+((ASSUMPTIONS!$C$18*J862*(1-ASSUMPTIONS!$C$20)+ASSUMPTIONS!$C$18*ASSUMPTIONS!$C$21-ASSUMPTIONS!$C$18*ASSUMPTIONS!$C$22)*(1+H862)^5*(1+K862)/(I862-K862)/(1+I862)^5)-DCF!$C$12)/ASSUMPTIONS!$C$7</f>
        <v/>
      </c>
    </row>
    <row r="863">
      <c r="H863" s="83">
        <f>_xlfn.NORM.INV(RAND(),AVERAGE(ASSUMPTIONS!$C$38,ASSUMPTIONS!$C$39,ASSUMPTIONS!$C$40,ASSUMPTIONS!$C$41,ASSUMPTIONS!$C$42),ASSUMPTIONS!$C$68)</f>
        <v/>
      </c>
      <c r="I863" s="83">
        <f>MAX(_xlfn.NORM.INV(RAND(),DCF!$C$11,ASSUMPTIONS!$C$69),K863+0.005)</f>
        <v/>
      </c>
      <c r="J863" s="83">
        <f>_xlfn.NORM.INV(RAND(),ASSUMPTIONS!$C$19,ASSUMPTIONS!$C$70)</f>
        <v/>
      </c>
      <c r="K863" s="83">
        <f>_xlfn.NORM.INV(RAND(),ASSUMPTIONS!$C$43,ASSUMPTIONS!$C$71)</f>
        <v/>
      </c>
      <c r="L863" s="84">
        <f>(((ASSUMPTIONS!$C$18*J863*(1-ASSUMPTIONS!$C$20)+ASSUMPTIONS!$C$18*ASSUMPTIONS!$C$21-ASSUMPTIONS!$C$18*ASSUMPTIONS!$C$22)*(1+H863)*(1-((1+H863)/(1+I863))^5)/(I863-H863))+((ASSUMPTIONS!$C$18*J863*(1-ASSUMPTIONS!$C$20)+ASSUMPTIONS!$C$18*ASSUMPTIONS!$C$21-ASSUMPTIONS!$C$18*ASSUMPTIONS!$C$22)*(1+H863)^5*(1+K863)/(I863-K863)/(1+I863)^5)-DCF!$C$12)/ASSUMPTIONS!$C$7</f>
        <v/>
      </c>
    </row>
    <row r="864">
      <c r="H864" s="83">
        <f>_xlfn.NORM.INV(RAND(),AVERAGE(ASSUMPTIONS!$C$38,ASSUMPTIONS!$C$39,ASSUMPTIONS!$C$40,ASSUMPTIONS!$C$41,ASSUMPTIONS!$C$42),ASSUMPTIONS!$C$68)</f>
        <v/>
      </c>
      <c r="I864" s="83">
        <f>MAX(_xlfn.NORM.INV(RAND(),DCF!$C$11,ASSUMPTIONS!$C$69),K864+0.005)</f>
        <v/>
      </c>
      <c r="J864" s="83">
        <f>_xlfn.NORM.INV(RAND(),ASSUMPTIONS!$C$19,ASSUMPTIONS!$C$70)</f>
        <v/>
      </c>
      <c r="K864" s="83">
        <f>_xlfn.NORM.INV(RAND(),ASSUMPTIONS!$C$43,ASSUMPTIONS!$C$71)</f>
        <v/>
      </c>
      <c r="L864" s="84">
        <f>(((ASSUMPTIONS!$C$18*J864*(1-ASSUMPTIONS!$C$20)+ASSUMPTIONS!$C$18*ASSUMPTIONS!$C$21-ASSUMPTIONS!$C$18*ASSUMPTIONS!$C$22)*(1+H864)*(1-((1+H864)/(1+I864))^5)/(I864-H864))+((ASSUMPTIONS!$C$18*J864*(1-ASSUMPTIONS!$C$20)+ASSUMPTIONS!$C$18*ASSUMPTIONS!$C$21-ASSUMPTIONS!$C$18*ASSUMPTIONS!$C$22)*(1+H864)^5*(1+K864)/(I864-K864)/(1+I864)^5)-DCF!$C$12)/ASSUMPTIONS!$C$7</f>
        <v/>
      </c>
    </row>
    <row r="865">
      <c r="H865" s="83">
        <f>_xlfn.NORM.INV(RAND(),AVERAGE(ASSUMPTIONS!$C$38,ASSUMPTIONS!$C$39,ASSUMPTIONS!$C$40,ASSUMPTIONS!$C$41,ASSUMPTIONS!$C$42),ASSUMPTIONS!$C$68)</f>
        <v/>
      </c>
      <c r="I865" s="83">
        <f>MAX(_xlfn.NORM.INV(RAND(),DCF!$C$11,ASSUMPTIONS!$C$69),K865+0.005)</f>
        <v/>
      </c>
      <c r="J865" s="83">
        <f>_xlfn.NORM.INV(RAND(),ASSUMPTIONS!$C$19,ASSUMPTIONS!$C$70)</f>
        <v/>
      </c>
      <c r="K865" s="83">
        <f>_xlfn.NORM.INV(RAND(),ASSUMPTIONS!$C$43,ASSUMPTIONS!$C$71)</f>
        <v/>
      </c>
      <c r="L865" s="84">
        <f>(((ASSUMPTIONS!$C$18*J865*(1-ASSUMPTIONS!$C$20)+ASSUMPTIONS!$C$18*ASSUMPTIONS!$C$21-ASSUMPTIONS!$C$18*ASSUMPTIONS!$C$22)*(1+H865)*(1-((1+H865)/(1+I865))^5)/(I865-H865))+((ASSUMPTIONS!$C$18*J865*(1-ASSUMPTIONS!$C$20)+ASSUMPTIONS!$C$18*ASSUMPTIONS!$C$21-ASSUMPTIONS!$C$18*ASSUMPTIONS!$C$22)*(1+H865)^5*(1+K865)/(I865-K865)/(1+I865)^5)-DCF!$C$12)/ASSUMPTIONS!$C$7</f>
        <v/>
      </c>
    </row>
    <row r="866">
      <c r="H866" s="83">
        <f>_xlfn.NORM.INV(RAND(),AVERAGE(ASSUMPTIONS!$C$38,ASSUMPTIONS!$C$39,ASSUMPTIONS!$C$40,ASSUMPTIONS!$C$41,ASSUMPTIONS!$C$42),ASSUMPTIONS!$C$68)</f>
        <v/>
      </c>
      <c r="I866" s="83">
        <f>MAX(_xlfn.NORM.INV(RAND(),DCF!$C$11,ASSUMPTIONS!$C$69),K866+0.005)</f>
        <v/>
      </c>
      <c r="J866" s="83">
        <f>_xlfn.NORM.INV(RAND(),ASSUMPTIONS!$C$19,ASSUMPTIONS!$C$70)</f>
        <v/>
      </c>
      <c r="K866" s="83">
        <f>_xlfn.NORM.INV(RAND(),ASSUMPTIONS!$C$43,ASSUMPTIONS!$C$71)</f>
        <v/>
      </c>
      <c r="L866" s="84">
        <f>(((ASSUMPTIONS!$C$18*J866*(1-ASSUMPTIONS!$C$20)+ASSUMPTIONS!$C$18*ASSUMPTIONS!$C$21-ASSUMPTIONS!$C$18*ASSUMPTIONS!$C$22)*(1+H866)*(1-((1+H866)/(1+I866))^5)/(I866-H866))+((ASSUMPTIONS!$C$18*J866*(1-ASSUMPTIONS!$C$20)+ASSUMPTIONS!$C$18*ASSUMPTIONS!$C$21-ASSUMPTIONS!$C$18*ASSUMPTIONS!$C$22)*(1+H866)^5*(1+K866)/(I866-K866)/(1+I866)^5)-DCF!$C$12)/ASSUMPTIONS!$C$7</f>
        <v/>
      </c>
    </row>
    <row r="867">
      <c r="H867" s="83">
        <f>_xlfn.NORM.INV(RAND(),AVERAGE(ASSUMPTIONS!$C$38,ASSUMPTIONS!$C$39,ASSUMPTIONS!$C$40,ASSUMPTIONS!$C$41,ASSUMPTIONS!$C$42),ASSUMPTIONS!$C$68)</f>
        <v/>
      </c>
      <c r="I867" s="83">
        <f>MAX(_xlfn.NORM.INV(RAND(),DCF!$C$11,ASSUMPTIONS!$C$69),K867+0.005)</f>
        <v/>
      </c>
      <c r="J867" s="83">
        <f>_xlfn.NORM.INV(RAND(),ASSUMPTIONS!$C$19,ASSUMPTIONS!$C$70)</f>
        <v/>
      </c>
      <c r="K867" s="83">
        <f>_xlfn.NORM.INV(RAND(),ASSUMPTIONS!$C$43,ASSUMPTIONS!$C$71)</f>
        <v/>
      </c>
      <c r="L867" s="84">
        <f>(((ASSUMPTIONS!$C$18*J867*(1-ASSUMPTIONS!$C$20)+ASSUMPTIONS!$C$18*ASSUMPTIONS!$C$21-ASSUMPTIONS!$C$18*ASSUMPTIONS!$C$22)*(1+H867)*(1-((1+H867)/(1+I867))^5)/(I867-H867))+((ASSUMPTIONS!$C$18*J867*(1-ASSUMPTIONS!$C$20)+ASSUMPTIONS!$C$18*ASSUMPTIONS!$C$21-ASSUMPTIONS!$C$18*ASSUMPTIONS!$C$22)*(1+H867)^5*(1+K867)/(I867-K867)/(1+I867)^5)-DCF!$C$12)/ASSUMPTIONS!$C$7</f>
        <v/>
      </c>
    </row>
    <row r="868">
      <c r="H868" s="83">
        <f>_xlfn.NORM.INV(RAND(),AVERAGE(ASSUMPTIONS!$C$38,ASSUMPTIONS!$C$39,ASSUMPTIONS!$C$40,ASSUMPTIONS!$C$41,ASSUMPTIONS!$C$42),ASSUMPTIONS!$C$68)</f>
        <v/>
      </c>
      <c r="I868" s="83">
        <f>MAX(_xlfn.NORM.INV(RAND(),DCF!$C$11,ASSUMPTIONS!$C$69),K868+0.005)</f>
        <v/>
      </c>
      <c r="J868" s="83">
        <f>_xlfn.NORM.INV(RAND(),ASSUMPTIONS!$C$19,ASSUMPTIONS!$C$70)</f>
        <v/>
      </c>
      <c r="K868" s="83">
        <f>_xlfn.NORM.INV(RAND(),ASSUMPTIONS!$C$43,ASSUMPTIONS!$C$71)</f>
        <v/>
      </c>
      <c r="L868" s="84">
        <f>(((ASSUMPTIONS!$C$18*J868*(1-ASSUMPTIONS!$C$20)+ASSUMPTIONS!$C$18*ASSUMPTIONS!$C$21-ASSUMPTIONS!$C$18*ASSUMPTIONS!$C$22)*(1+H868)*(1-((1+H868)/(1+I868))^5)/(I868-H868))+((ASSUMPTIONS!$C$18*J868*(1-ASSUMPTIONS!$C$20)+ASSUMPTIONS!$C$18*ASSUMPTIONS!$C$21-ASSUMPTIONS!$C$18*ASSUMPTIONS!$C$22)*(1+H868)^5*(1+K868)/(I868-K868)/(1+I868)^5)-DCF!$C$12)/ASSUMPTIONS!$C$7</f>
        <v/>
      </c>
    </row>
    <row r="869">
      <c r="H869" s="83">
        <f>_xlfn.NORM.INV(RAND(),AVERAGE(ASSUMPTIONS!$C$38,ASSUMPTIONS!$C$39,ASSUMPTIONS!$C$40,ASSUMPTIONS!$C$41,ASSUMPTIONS!$C$42),ASSUMPTIONS!$C$68)</f>
        <v/>
      </c>
      <c r="I869" s="83">
        <f>MAX(_xlfn.NORM.INV(RAND(),DCF!$C$11,ASSUMPTIONS!$C$69),K869+0.005)</f>
        <v/>
      </c>
      <c r="J869" s="83">
        <f>_xlfn.NORM.INV(RAND(),ASSUMPTIONS!$C$19,ASSUMPTIONS!$C$70)</f>
        <v/>
      </c>
      <c r="K869" s="83">
        <f>_xlfn.NORM.INV(RAND(),ASSUMPTIONS!$C$43,ASSUMPTIONS!$C$71)</f>
        <v/>
      </c>
      <c r="L869" s="84">
        <f>(((ASSUMPTIONS!$C$18*J869*(1-ASSUMPTIONS!$C$20)+ASSUMPTIONS!$C$18*ASSUMPTIONS!$C$21-ASSUMPTIONS!$C$18*ASSUMPTIONS!$C$22)*(1+H869)*(1-((1+H869)/(1+I869))^5)/(I869-H869))+((ASSUMPTIONS!$C$18*J869*(1-ASSUMPTIONS!$C$20)+ASSUMPTIONS!$C$18*ASSUMPTIONS!$C$21-ASSUMPTIONS!$C$18*ASSUMPTIONS!$C$22)*(1+H869)^5*(1+K869)/(I869-K869)/(1+I869)^5)-DCF!$C$12)/ASSUMPTIONS!$C$7</f>
        <v/>
      </c>
    </row>
    <row r="870">
      <c r="H870" s="83">
        <f>_xlfn.NORM.INV(RAND(),AVERAGE(ASSUMPTIONS!$C$38,ASSUMPTIONS!$C$39,ASSUMPTIONS!$C$40,ASSUMPTIONS!$C$41,ASSUMPTIONS!$C$42),ASSUMPTIONS!$C$68)</f>
        <v/>
      </c>
      <c r="I870" s="83">
        <f>MAX(_xlfn.NORM.INV(RAND(),DCF!$C$11,ASSUMPTIONS!$C$69),K870+0.005)</f>
        <v/>
      </c>
      <c r="J870" s="83">
        <f>_xlfn.NORM.INV(RAND(),ASSUMPTIONS!$C$19,ASSUMPTIONS!$C$70)</f>
        <v/>
      </c>
      <c r="K870" s="83">
        <f>_xlfn.NORM.INV(RAND(),ASSUMPTIONS!$C$43,ASSUMPTIONS!$C$71)</f>
        <v/>
      </c>
      <c r="L870" s="84">
        <f>(((ASSUMPTIONS!$C$18*J870*(1-ASSUMPTIONS!$C$20)+ASSUMPTIONS!$C$18*ASSUMPTIONS!$C$21-ASSUMPTIONS!$C$18*ASSUMPTIONS!$C$22)*(1+H870)*(1-((1+H870)/(1+I870))^5)/(I870-H870))+((ASSUMPTIONS!$C$18*J870*(1-ASSUMPTIONS!$C$20)+ASSUMPTIONS!$C$18*ASSUMPTIONS!$C$21-ASSUMPTIONS!$C$18*ASSUMPTIONS!$C$22)*(1+H870)^5*(1+K870)/(I870-K870)/(1+I870)^5)-DCF!$C$12)/ASSUMPTIONS!$C$7</f>
        <v/>
      </c>
    </row>
    <row r="871">
      <c r="H871" s="83">
        <f>_xlfn.NORM.INV(RAND(),AVERAGE(ASSUMPTIONS!$C$38,ASSUMPTIONS!$C$39,ASSUMPTIONS!$C$40,ASSUMPTIONS!$C$41,ASSUMPTIONS!$C$42),ASSUMPTIONS!$C$68)</f>
        <v/>
      </c>
      <c r="I871" s="83">
        <f>MAX(_xlfn.NORM.INV(RAND(),DCF!$C$11,ASSUMPTIONS!$C$69),K871+0.005)</f>
        <v/>
      </c>
      <c r="J871" s="83">
        <f>_xlfn.NORM.INV(RAND(),ASSUMPTIONS!$C$19,ASSUMPTIONS!$C$70)</f>
        <v/>
      </c>
      <c r="K871" s="83">
        <f>_xlfn.NORM.INV(RAND(),ASSUMPTIONS!$C$43,ASSUMPTIONS!$C$71)</f>
        <v/>
      </c>
      <c r="L871" s="84">
        <f>(((ASSUMPTIONS!$C$18*J871*(1-ASSUMPTIONS!$C$20)+ASSUMPTIONS!$C$18*ASSUMPTIONS!$C$21-ASSUMPTIONS!$C$18*ASSUMPTIONS!$C$22)*(1+H871)*(1-((1+H871)/(1+I871))^5)/(I871-H871))+((ASSUMPTIONS!$C$18*J871*(1-ASSUMPTIONS!$C$20)+ASSUMPTIONS!$C$18*ASSUMPTIONS!$C$21-ASSUMPTIONS!$C$18*ASSUMPTIONS!$C$22)*(1+H871)^5*(1+K871)/(I871-K871)/(1+I871)^5)-DCF!$C$12)/ASSUMPTIONS!$C$7</f>
        <v/>
      </c>
    </row>
    <row r="872">
      <c r="H872" s="83">
        <f>_xlfn.NORM.INV(RAND(),AVERAGE(ASSUMPTIONS!$C$38,ASSUMPTIONS!$C$39,ASSUMPTIONS!$C$40,ASSUMPTIONS!$C$41,ASSUMPTIONS!$C$42),ASSUMPTIONS!$C$68)</f>
        <v/>
      </c>
      <c r="I872" s="83">
        <f>MAX(_xlfn.NORM.INV(RAND(),DCF!$C$11,ASSUMPTIONS!$C$69),K872+0.005)</f>
        <v/>
      </c>
      <c r="J872" s="83">
        <f>_xlfn.NORM.INV(RAND(),ASSUMPTIONS!$C$19,ASSUMPTIONS!$C$70)</f>
        <v/>
      </c>
      <c r="K872" s="83">
        <f>_xlfn.NORM.INV(RAND(),ASSUMPTIONS!$C$43,ASSUMPTIONS!$C$71)</f>
        <v/>
      </c>
      <c r="L872" s="84">
        <f>(((ASSUMPTIONS!$C$18*J872*(1-ASSUMPTIONS!$C$20)+ASSUMPTIONS!$C$18*ASSUMPTIONS!$C$21-ASSUMPTIONS!$C$18*ASSUMPTIONS!$C$22)*(1+H872)*(1-((1+H872)/(1+I872))^5)/(I872-H872))+((ASSUMPTIONS!$C$18*J872*(1-ASSUMPTIONS!$C$20)+ASSUMPTIONS!$C$18*ASSUMPTIONS!$C$21-ASSUMPTIONS!$C$18*ASSUMPTIONS!$C$22)*(1+H872)^5*(1+K872)/(I872-K872)/(1+I872)^5)-DCF!$C$12)/ASSUMPTIONS!$C$7</f>
        <v/>
      </c>
    </row>
    <row r="873">
      <c r="H873" s="83">
        <f>_xlfn.NORM.INV(RAND(),AVERAGE(ASSUMPTIONS!$C$38,ASSUMPTIONS!$C$39,ASSUMPTIONS!$C$40,ASSUMPTIONS!$C$41,ASSUMPTIONS!$C$42),ASSUMPTIONS!$C$68)</f>
        <v/>
      </c>
      <c r="I873" s="83">
        <f>MAX(_xlfn.NORM.INV(RAND(),DCF!$C$11,ASSUMPTIONS!$C$69),K873+0.005)</f>
        <v/>
      </c>
      <c r="J873" s="83">
        <f>_xlfn.NORM.INV(RAND(),ASSUMPTIONS!$C$19,ASSUMPTIONS!$C$70)</f>
        <v/>
      </c>
      <c r="K873" s="83">
        <f>_xlfn.NORM.INV(RAND(),ASSUMPTIONS!$C$43,ASSUMPTIONS!$C$71)</f>
        <v/>
      </c>
      <c r="L873" s="84">
        <f>(((ASSUMPTIONS!$C$18*J873*(1-ASSUMPTIONS!$C$20)+ASSUMPTIONS!$C$18*ASSUMPTIONS!$C$21-ASSUMPTIONS!$C$18*ASSUMPTIONS!$C$22)*(1+H873)*(1-((1+H873)/(1+I873))^5)/(I873-H873))+((ASSUMPTIONS!$C$18*J873*(1-ASSUMPTIONS!$C$20)+ASSUMPTIONS!$C$18*ASSUMPTIONS!$C$21-ASSUMPTIONS!$C$18*ASSUMPTIONS!$C$22)*(1+H873)^5*(1+K873)/(I873-K873)/(1+I873)^5)-DCF!$C$12)/ASSUMPTIONS!$C$7</f>
        <v/>
      </c>
    </row>
    <row r="874">
      <c r="H874" s="83">
        <f>_xlfn.NORM.INV(RAND(),AVERAGE(ASSUMPTIONS!$C$38,ASSUMPTIONS!$C$39,ASSUMPTIONS!$C$40,ASSUMPTIONS!$C$41,ASSUMPTIONS!$C$42),ASSUMPTIONS!$C$68)</f>
        <v/>
      </c>
      <c r="I874" s="83">
        <f>MAX(_xlfn.NORM.INV(RAND(),DCF!$C$11,ASSUMPTIONS!$C$69),K874+0.005)</f>
        <v/>
      </c>
      <c r="J874" s="83">
        <f>_xlfn.NORM.INV(RAND(),ASSUMPTIONS!$C$19,ASSUMPTIONS!$C$70)</f>
        <v/>
      </c>
      <c r="K874" s="83">
        <f>_xlfn.NORM.INV(RAND(),ASSUMPTIONS!$C$43,ASSUMPTIONS!$C$71)</f>
        <v/>
      </c>
      <c r="L874" s="84">
        <f>(((ASSUMPTIONS!$C$18*J874*(1-ASSUMPTIONS!$C$20)+ASSUMPTIONS!$C$18*ASSUMPTIONS!$C$21-ASSUMPTIONS!$C$18*ASSUMPTIONS!$C$22)*(1+H874)*(1-((1+H874)/(1+I874))^5)/(I874-H874))+((ASSUMPTIONS!$C$18*J874*(1-ASSUMPTIONS!$C$20)+ASSUMPTIONS!$C$18*ASSUMPTIONS!$C$21-ASSUMPTIONS!$C$18*ASSUMPTIONS!$C$22)*(1+H874)^5*(1+K874)/(I874-K874)/(1+I874)^5)-DCF!$C$12)/ASSUMPTIONS!$C$7</f>
        <v/>
      </c>
    </row>
    <row r="875">
      <c r="H875" s="83">
        <f>_xlfn.NORM.INV(RAND(),AVERAGE(ASSUMPTIONS!$C$38,ASSUMPTIONS!$C$39,ASSUMPTIONS!$C$40,ASSUMPTIONS!$C$41,ASSUMPTIONS!$C$42),ASSUMPTIONS!$C$68)</f>
        <v/>
      </c>
      <c r="I875" s="83">
        <f>MAX(_xlfn.NORM.INV(RAND(),DCF!$C$11,ASSUMPTIONS!$C$69),K875+0.005)</f>
        <v/>
      </c>
      <c r="J875" s="83">
        <f>_xlfn.NORM.INV(RAND(),ASSUMPTIONS!$C$19,ASSUMPTIONS!$C$70)</f>
        <v/>
      </c>
      <c r="K875" s="83">
        <f>_xlfn.NORM.INV(RAND(),ASSUMPTIONS!$C$43,ASSUMPTIONS!$C$71)</f>
        <v/>
      </c>
      <c r="L875" s="84">
        <f>(((ASSUMPTIONS!$C$18*J875*(1-ASSUMPTIONS!$C$20)+ASSUMPTIONS!$C$18*ASSUMPTIONS!$C$21-ASSUMPTIONS!$C$18*ASSUMPTIONS!$C$22)*(1+H875)*(1-((1+H875)/(1+I875))^5)/(I875-H875))+((ASSUMPTIONS!$C$18*J875*(1-ASSUMPTIONS!$C$20)+ASSUMPTIONS!$C$18*ASSUMPTIONS!$C$21-ASSUMPTIONS!$C$18*ASSUMPTIONS!$C$22)*(1+H875)^5*(1+K875)/(I875-K875)/(1+I875)^5)-DCF!$C$12)/ASSUMPTIONS!$C$7</f>
        <v/>
      </c>
    </row>
    <row r="876">
      <c r="H876" s="83">
        <f>_xlfn.NORM.INV(RAND(),AVERAGE(ASSUMPTIONS!$C$38,ASSUMPTIONS!$C$39,ASSUMPTIONS!$C$40,ASSUMPTIONS!$C$41,ASSUMPTIONS!$C$42),ASSUMPTIONS!$C$68)</f>
        <v/>
      </c>
      <c r="I876" s="83">
        <f>MAX(_xlfn.NORM.INV(RAND(),DCF!$C$11,ASSUMPTIONS!$C$69),K876+0.005)</f>
        <v/>
      </c>
      <c r="J876" s="83">
        <f>_xlfn.NORM.INV(RAND(),ASSUMPTIONS!$C$19,ASSUMPTIONS!$C$70)</f>
        <v/>
      </c>
      <c r="K876" s="83">
        <f>_xlfn.NORM.INV(RAND(),ASSUMPTIONS!$C$43,ASSUMPTIONS!$C$71)</f>
        <v/>
      </c>
      <c r="L876" s="84">
        <f>(((ASSUMPTIONS!$C$18*J876*(1-ASSUMPTIONS!$C$20)+ASSUMPTIONS!$C$18*ASSUMPTIONS!$C$21-ASSUMPTIONS!$C$18*ASSUMPTIONS!$C$22)*(1+H876)*(1-((1+H876)/(1+I876))^5)/(I876-H876))+((ASSUMPTIONS!$C$18*J876*(1-ASSUMPTIONS!$C$20)+ASSUMPTIONS!$C$18*ASSUMPTIONS!$C$21-ASSUMPTIONS!$C$18*ASSUMPTIONS!$C$22)*(1+H876)^5*(1+K876)/(I876-K876)/(1+I876)^5)-DCF!$C$12)/ASSUMPTIONS!$C$7</f>
        <v/>
      </c>
    </row>
    <row r="877">
      <c r="H877" s="83">
        <f>_xlfn.NORM.INV(RAND(),AVERAGE(ASSUMPTIONS!$C$38,ASSUMPTIONS!$C$39,ASSUMPTIONS!$C$40,ASSUMPTIONS!$C$41,ASSUMPTIONS!$C$42),ASSUMPTIONS!$C$68)</f>
        <v/>
      </c>
      <c r="I877" s="83">
        <f>MAX(_xlfn.NORM.INV(RAND(),DCF!$C$11,ASSUMPTIONS!$C$69),K877+0.005)</f>
        <v/>
      </c>
      <c r="J877" s="83">
        <f>_xlfn.NORM.INV(RAND(),ASSUMPTIONS!$C$19,ASSUMPTIONS!$C$70)</f>
        <v/>
      </c>
      <c r="K877" s="83">
        <f>_xlfn.NORM.INV(RAND(),ASSUMPTIONS!$C$43,ASSUMPTIONS!$C$71)</f>
        <v/>
      </c>
      <c r="L877" s="84">
        <f>(((ASSUMPTIONS!$C$18*J877*(1-ASSUMPTIONS!$C$20)+ASSUMPTIONS!$C$18*ASSUMPTIONS!$C$21-ASSUMPTIONS!$C$18*ASSUMPTIONS!$C$22)*(1+H877)*(1-((1+H877)/(1+I877))^5)/(I877-H877))+((ASSUMPTIONS!$C$18*J877*(1-ASSUMPTIONS!$C$20)+ASSUMPTIONS!$C$18*ASSUMPTIONS!$C$21-ASSUMPTIONS!$C$18*ASSUMPTIONS!$C$22)*(1+H877)^5*(1+K877)/(I877-K877)/(1+I877)^5)-DCF!$C$12)/ASSUMPTIONS!$C$7</f>
        <v/>
      </c>
    </row>
    <row r="878">
      <c r="H878" s="83">
        <f>_xlfn.NORM.INV(RAND(),AVERAGE(ASSUMPTIONS!$C$38,ASSUMPTIONS!$C$39,ASSUMPTIONS!$C$40,ASSUMPTIONS!$C$41,ASSUMPTIONS!$C$42),ASSUMPTIONS!$C$68)</f>
        <v/>
      </c>
      <c r="I878" s="83">
        <f>MAX(_xlfn.NORM.INV(RAND(),DCF!$C$11,ASSUMPTIONS!$C$69),K878+0.005)</f>
        <v/>
      </c>
      <c r="J878" s="83">
        <f>_xlfn.NORM.INV(RAND(),ASSUMPTIONS!$C$19,ASSUMPTIONS!$C$70)</f>
        <v/>
      </c>
      <c r="K878" s="83">
        <f>_xlfn.NORM.INV(RAND(),ASSUMPTIONS!$C$43,ASSUMPTIONS!$C$71)</f>
        <v/>
      </c>
      <c r="L878" s="84">
        <f>(((ASSUMPTIONS!$C$18*J878*(1-ASSUMPTIONS!$C$20)+ASSUMPTIONS!$C$18*ASSUMPTIONS!$C$21-ASSUMPTIONS!$C$18*ASSUMPTIONS!$C$22)*(1+H878)*(1-((1+H878)/(1+I878))^5)/(I878-H878))+((ASSUMPTIONS!$C$18*J878*(1-ASSUMPTIONS!$C$20)+ASSUMPTIONS!$C$18*ASSUMPTIONS!$C$21-ASSUMPTIONS!$C$18*ASSUMPTIONS!$C$22)*(1+H878)^5*(1+K878)/(I878-K878)/(1+I878)^5)-DCF!$C$12)/ASSUMPTIONS!$C$7</f>
        <v/>
      </c>
    </row>
    <row r="879">
      <c r="H879" s="83">
        <f>_xlfn.NORM.INV(RAND(),AVERAGE(ASSUMPTIONS!$C$38,ASSUMPTIONS!$C$39,ASSUMPTIONS!$C$40,ASSUMPTIONS!$C$41,ASSUMPTIONS!$C$42),ASSUMPTIONS!$C$68)</f>
        <v/>
      </c>
      <c r="I879" s="83">
        <f>MAX(_xlfn.NORM.INV(RAND(),DCF!$C$11,ASSUMPTIONS!$C$69),K879+0.005)</f>
        <v/>
      </c>
      <c r="J879" s="83">
        <f>_xlfn.NORM.INV(RAND(),ASSUMPTIONS!$C$19,ASSUMPTIONS!$C$70)</f>
        <v/>
      </c>
      <c r="K879" s="83">
        <f>_xlfn.NORM.INV(RAND(),ASSUMPTIONS!$C$43,ASSUMPTIONS!$C$71)</f>
        <v/>
      </c>
      <c r="L879" s="84">
        <f>(((ASSUMPTIONS!$C$18*J879*(1-ASSUMPTIONS!$C$20)+ASSUMPTIONS!$C$18*ASSUMPTIONS!$C$21-ASSUMPTIONS!$C$18*ASSUMPTIONS!$C$22)*(1+H879)*(1-((1+H879)/(1+I879))^5)/(I879-H879))+((ASSUMPTIONS!$C$18*J879*(1-ASSUMPTIONS!$C$20)+ASSUMPTIONS!$C$18*ASSUMPTIONS!$C$21-ASSUMPTIONS!$C$18*ASSUMPTIONS!$C$22)*(1+H879)^5*(1+K879)/(I879-K879)/(1+I879)^5)-DCF!$C$12)/ASSUMPTIONS!$C$7</f>
        <v/>
      </c>
    </row>
    <row r="880">
      <c r="H880" s="83">
        <f>_xlfn.NORM.INV(RAND(),AVERAGE(ASSUMPTIONS!$C$38,ASSUMPTIONS!$C$39,ASSUMPTIONS!$C$40,ASSUMPTIONS!$C$41,ASSUMPTIONS!$C$42),ASSUMPTIONS!$C$68)</f>
        <v/>
      </c>
      <c r="I880" s="83">
        <f>MAX(_xlfn.NORM.INV(RAND(),DCF!$C$11,ASSUMPTIONS!$C$69),K880+0.005)</f>
        <v/>
      </c>
      <c r="J880" s="83">
        <f>_xlfn.NORM.INV(RAND(),ASSUMPTIONS!$C$19,ASSUMPTIONS!$C$70)</f>
        <v/>
      </c>
      <c r="K880" s="83">
        <f>_xlfn.NORM.INV(RAND(),ASSUMPTIONS!$C$43,ASSUMPTIONS!$C$71)</f>
        <v/>
      </c>
      <c r="L880" s="84">
        <f>(((ASSUMPTIONS!$C$18*J880*(1-ASSUMPTIONS!$C$20)+ASSUMPTIONS!$C$18*ASSUMPTIONS!$C$21-ASSUMPTIONS!$C$18*ASSUMPTIONS!$C$22)*(1+H880)*(1-((1+H880)/(1+I880))^5)/(I880-H880))+((ASSUMPTIONS!$C$18*J880*(1-ASSUMPTIONS!$C$20)+ASSUMPTIONS!$C$18*ASSUMPTIONS!$C$21-ASSUMPTIONS!$C$18*ASSUMPTIONS!$C$22)*(1+H880)^5*(1+K880)/(I880-K880)/(1+I880)^5)-DCF!$C$12)/ASSUMPTIONS!$C$7</f>
        <v/>
      </c>
    </row>
    <row r="881">
      <c r="H881" s="83">
        <f>_xlfn.NORM.INV(RAND(),AVERAGE(ASSUMPTIONS!$C$38,ASSUMPTIONS!$C$39,ASSUMPTIONS!$C$40,ASSUMPTIONS!$C$41,ASSUMPTIONS!$C$42),ASSUMPTIONS!$C$68)</f>
        <v/>
      </c>
      <c r="I881" s="83">
        <f>MAX(_xlfn.NORM.INV(RAND(),DCF!$C$11,ASSUMPTIONS!$C$69),K881+0.005)</f>
        <v/>
      </c>
      <c r="J881" s="83">
        <f>_xlfn.NORM.INV(RAND(),ASSUMPTIONS!$C$19,ASSUMPTIONS!$C$70)</f>
        <v/>
      </c>
      <c r="K881" s="83">
        <f>_xlfn.NORM.INV(RAND(),ASSUMPTIONS!$C$43,ASSUMPTIONS!$C$71)</f>
        <v/>
      </c>
      <c r="L881" s="84">
        <f>(((ASSUMPTIONS!$C$18*J881*(1-ASSUMPTIONS!$C$20)+ASSUMPTIONS!$C$18*ASSUMPTIONS!$C$21-ASSUMPTIONS!$C$18*ASSUMPTIONS!$C$22)*(1+H881)*(1-((1+H881)/(1+I881))^5)/(I881-H881))+((ASSUMPTIONS!$C$18*J881*(1-ASSUMPTIONS!$C$20)+ASSUMPTIONS!$C$18*ASSUMPTIONS!$C$21-ASSUMPTIONS!$C$18*ASSUMPTIONS!$C$22)*(1+H881)^5*(1+K881)/(I881-K881)/(1+I881)^5)-DCF!$C$12)/ASSUMPTIONS!$C$7</f>
        <v/>
      </c>
    </row>
    <row r="882">
      <c r="H882" s="83">
        <f>_xlfn.NORM.INV(RAND(),AVERAGE(ASSUMPTIONS!$C$38,ASSUMPTIONS!$C$39,ASSUMPTIONS!$C$40,ASSUMPTIONS!$C$41,ASSUMPTIONS!$C$42),ASSUMPTIONS!$C$68)</f>
        <v/>
      </c>
      <c r="I882" s="83">
        <f>MAX(_xlfn.NORM.INV(RAND(),DCF!$C$11,ASSUMPTIONS!$C$69),K882+0.005)</f>
        <v/>
      </c>
      <c r="J882" s="83">
        <f>_xlfn.NORM.INV(RAND(),ASSUMPTIONS!$C$19,ASSUMPTIONS!$C$70)</f>
        <v/>
      </c>
      <c r="K882" s="83">
        <f>_xlfn.NORM.INV(RAND(),ASSUMPTIONS!$C$43,ASSUMPTIONS!$C$71)</f>
        <v/>
      </c>
      <c r="L882" s="84">
        <f>(((ASSUMPTIONS!$C$18*J882*(1-ASSUMPTIONS!$C$20)+ASSUMPTIONS!$C$18*ASSUMPTIONS!$C$21-ASSUMPTIONS!$C$18*ASSUMPTIONS!$C$22)*(1+H882)*(1-((1+H882)/(1+I882))^5)/(I882-H882))+((ASSUMPTIONS!$C$18*J882*(1-ASSUMPTIONS!$C$20)+ASSUMPTIONS!$C$18*ASSUMPTIONS!$C$21-ASSUMPTIONS!$C$18*ASSUMPTIONS!$C$22)*(1+H882)^5*(1+K882)/(I882-K882)/(1+I882)^5)-DCF!$C$12)/ASSUMPTIONS!$C$7</f>
        <v/>
      </c>
    </row>
    <row r="883">
      <c r="H883" s="83">
        <f>_xlfn.NORM.INV(RAND(),AVERAGE(ASSUMPTIONS!$C$38,ASSUMPTIONS!$C$39,ASSUMPTIONS!$C$40,ASSUMPTIONS!$C$41,ASSUMPTIONS!$C$42),ASSUMPTIONS!$C$68)</f>
        <v/>
      </c>
      <c r="I883" s="83">
        <f>MAX(_xlfn.NORM.INV(RAND(),DCF!$C$11,ASSUMPTIONS!$C$69),K883+0.005)</f>
        <v/>
      </c>
      <c r="J883" s="83">
        <f>_xlfn.NORM.INV(RAND(),ASSUMPTIONS!$C$19,ASSUMPTIONS!$C$70)</f>
        <v/>
      </c>
      <c r="K883" s="83">
        <f>_xlfn.NORM.INV(RAND(),ASSUMPTIONS!$C$43,ASSUMPTIONS!$C$71)</f>
        <v/>
      </c>
      <c r="L883" s="84">
        <f>(((ASSUMPTIONS!$C$18*J883*(1-ASSUMPTIONS!$C$20)+ASSUMPTIONS!$C$18*ASSUMPTIONS!$C$21-ASSUMPTIONS!$C$18*ASSUMPTIONS!$C$22)*(1+H883)*(1-((1+H883)/(1+I883))^5)/(I883-H883))+((ASSUMPTIONS!$C$18*J883*(1-ASSUMPTIONS!$C$20)+ASSUMPTIONS!$C$18*ASSUMPTIONS!$C$21-ASSUMPTIONS!$C$18*ASSUMPTIONS!$C$22)*(1+H883)^5*(1+K883)/(I883-K883)/(1+I883)^5)-DCF!$C$12)/ASSUMPTIONS!$C$7</f>
        <v/>
      </c>
    </row>
    <row r="884">
      <c r="H884" s="83">
        <f>_xlfn.NORM.INV(RAND(),AVERAGE(ASSUMPTIONS!$C$38,ASSUMPTIONS!$C$39,ASSUMPTIONS!$C$40,ASSUMPTIONS!$C$41,ASSUMPTIONS!$C$42),ASSUMPTIONS!$C$68)</f>
        <v/>
      </c>
      <c r="I884" s="83">
        <f>MAX(_xlfn.NORM.INV(RAND(),DCF!$C$11,ASSUMPTIONS!$C$69),K884+0.005)</f>
        <v/>
      </c>
      <c r="J884" s="83">
        <f>_xlfn.NORM.INV(RAND(),ASSUMPTIONS!$C$19,ASSUMPTIONS!$C$70)</f>
        <v/>
      </c>
      <c r="K884" s="83">
        <f>_xlfn.NORM.INV(RAND(),ASSUMPTIONS!$C$43,ASSUMPTIONS!$C$71)</f>
        <v/>
      </c>
      <c r="L884" s="84">
        <f>(((ASSUMPTIONS!$C$18*J884*(1-ASSUMPTIONS!$C$20)+ASSUMPTIONS!$C$18*ASSUMPTIONS!$C$21-ASSUMPTIONS!$C$18*ASSUMPTIONS!$C$22)*(1+H884)*(1-((1+H884)/(1+I884))^5)/(I884-H884))+((ASSUMPTIONS!$C$18*J884*(1-ASSUMPTIONS!$C$20)+ASSUMPTIONS!$C$18*ASSUMPTIONS!$C$21-ASSUMPTIONS!$C$18*ASSUMPTIONS!$C$22)*(1+H884)^5*(1+K884)/(I884-K884)/(1+I884)^5)-DCF!$C$12)/ASSUMPTIONS!$C$7</f>
        <v/>
      </c>
    </row>
    <row r="885">
      <c r="H885" s="83">
        <f>_xlfn.NORM.INV(RAND(),AVERAGE(ASSUMPTIONS!$C$38,ASSUMPTIONS!$C$39,ASSUMPTIONS!$C$40,ASSUMPTIONS!$C$41,ASSUMPTIONS!$C$42),ASSUMPTIONS!$C$68)</f>
        <v/>
      </c>
      <c r="I885" s="83">
        <f>MAX(_xlfn.NORM.INV(RAND(),DCF!$C$11,ASSUMPTIONS!$C$69),K885+0.005)</f>
        <v/>
      </c>
      <c r="J885" s="83">
        <f>_xlfn.NORM.INV(RAND(),ASSUMPTIONS!$C$19,ASSUMPTIONS!$C$70)</f>
        <v/>
      </c>
      <c r="K885" s="83">
        <f>_xlfn.NORM.INV(RAND(),ASSUMPTIONS!$C$43,ASSUMPTIONS!$C$71)</f>
        <v/>
      </c>
      <c r="L885" s="84">
        <f>(((ASSUMPTIONS!$C$18*J885*(1-ASSUMPTIONS!$C$20)+ASSUMPTIONS!$C$18*ASSUMPTIONS!$C$21-ASSUMPTIONS!$C$18*ASSUMPTIONS!$C$22)*(1+H885)*(1-((1+H885)/(1+I885))^5)/(I885-H885))+((ASSUMPTIONS!$C$18*J885*(1-ASSUMPTIONS!$C$20)+ASSUMPTIONS!$C$18*ASSUMPTIONS!$C$21-ASSUMPTIONS!$C$18*ASSUMPTIONS!$C$22)*(1+H885)^5*(1+K885)/(I885-K885)/(1+I885)^5)-DCF!$C$12)/ASSUMPTIONS!$C$7</f>
        <v/>
      </c>
    </row>
    <row r="886">
      <c r="H886" s="83">
        <f>_xlfn.NORM.INV(RAND(),AVERAGE(ASSUMPTIONS!$C$38,ASSUMPTIONS!$C$39,ASSUMPTIONS!$C$40,ASSUMPTIONS!$C$41,ASSUMPTIONS!$C$42),ASSUMPTIONS!$C$68)</f>
        <v/>
      </c>
      <c r="I886" s="83">
        <f>MAX(_xlfn.NORM.INV(RAND(),DCF!$C$11,ASSUMPTIONS!$C$69),K886+0.005)</f>
        <v/>
      </c>
      <c r="J886" s="83">
        <f>_xlfn.NORM.INV(RAND(),ASSUMPTIONS!$C$19,ASSUMPTIONS!$C$70)</f>
        <v/>
      </c>
      <c r="K886" s="83">
        <f>_xlfn.NORM.INV(RAND(),ASSUMPTIONS!$C$43,ASSUMPTIONS!$C$71)</f>
        <v/>
      </c>
      <c r="L886" s="84">
        <f>(((ASSUMPTIONS!$C$18*J886*(1-ASSUMPTIONS!$C$20)+ASSUMPTIONS!$C$18*ASSUMPTIONS!$C$21-ASSUMPTIONS!$C$18*ASSUMPTIONS!$C$22)*(1+H886)*(1-((1+H886)/(1+I886))^5)/(I886-H886))+((ASSUMPTIONS!$C$18*J886*(1-ASSUMPTIONS!$C$20)+ASSUMPTIONS!$C$18*ASSUMPTIONS!$C$21-ASSUMPTIONS!$C$18*ASSUMPTIONS!$C$22)*(1+H886)^5*(1+K886)/(I886-K886)/(1+I886)^5)-DCF!$C$12)/ASSUMPTIONS!$C$7</f>
        <v/>
      </c>
    </row>
    <row r="887">
      <c r="H887" s="83">
        <f>_xlfn.NORM.INV(RAND(),AVERAGE(ASSUMPTIONS!$C$38,ASSUMPTIONS!$C$39,ASSUMPTIONS!$C$40,ASSUMPTIONS!$C$41,ASSUMPTIONS!$C$42),ASSUMPTIONS!$C$68)</f>
        <v/>
      </c>
      <c r="I887" s="83">
        <f>MAX(_xlfn.NORM.INV(RAND(),DCF!$C$11,ASSUMPTIONS!$C$69),K887+0.005)</f>
        <v/>
      </c>
      <c r="J887" s="83">
        <f>_xlfn.NORM.INV(RAND(),ASSUMPTIONS!$C$19,ASSUMPTIONS!$C$70)</f>
        <v/>
      </c>
      <c r="K887" s="83">
        <f>_xlfn.NORM.INV(RAND(),ASSUMPTIONS!$C$43,ASSUMPTIONS!$C$71)</f>
        <v/>
      </c>
      <c r="L887" s="84">
        <f>(((ASSUMPTIONS!$C$18*J887*(1-ASSUMPTIONS!$C$20)+ASSUMPTIONS!$C$18*ASSUMPTIONS!$C$21-ASSUMPTIONS!$C$18*ASSUMPTIONS!$C$22)*(1+H887)*(1-((1+H887)/(1+I887))^5)/(I887-H887))+((ASSUMPTIONS!$C$18*J887*(1-ASSUMPTIONS!$C$20)+ASSUMPTIONS!$C$18*ASSUMPTIONS!$C$21-ASSUMPTIONS!$C$18*ASSUMPTIONS!$C$22)*(1+H887)^5*(1+K887)/(I887-K887)/(1+I887)^5)-DCF!$C$12)/ASSUMPTIONS!$C$7</f>
        <v/>
      </c>
    </row>
    <row r="888">
      <c r="H888" s="83">
        <f>_xlfn.NORM.INV(RAND(),AVERAGE(ASSUMPTIONS!$C$38,ASSUMPTIONS!$C$39,ASSUMPTIONS!$C$40,ASSUMPTIONS!$C$41,ASSUMPTIONS!$C$42),ASSUMPTIONS!$C$68)</f>
        <v/>
      </c>
      <c r="I888" s="83">
        <f>MAX(_xlfn.NORM.INV(RAND(),DCF!$C$11,ASSUMPTIONS!$C$69),K888+0.005)</f>
        <v/>
      </c>
      <c r="J888" s="83">
        <f>_xlfn.NORM.INV(RAND(),ASSUMPTIONS!$C$19,ASSUMPTIONS!$C$70)</f>
        <v/>
      </c>
      <c r="K888" s="83">
        <f>_xlfn.NORM.INV(RAND(),ASSUMPTIONS!$C$43,ASSUMPTIONS!$C$71)</f>
        <v/>
      </c>
      <c r="L888" s="84">
        <f>(((ASSUMPTIONS!$C$18*J888*(1-ASSUMPTIONS!$C$20)+ASSUMPTIONS!$C$18*ASSUMPTIONS!$C$21-ASSUMPTIONS!$C$18*ASSUMPTIONS!$C$22)*(1+H888)*(1-((1+H888)/(1+I888))^5)/(I888-H888))+((ASSUMPTIONS!$C$18*J888*(1-ASSUMPTIONS!$C$20)+ASSUMPTIONS!$C$18*ASSUMPTIONS!$C$21-ASSUMPTIONS!$C$18*ASSUMPTIONS!$C$22)*(1+H888)^5*(1+K888)/(I888-K888)/(1+I888)^5)-DCF!$C$12)/ASSUMPTIONS!$C$7</f>
        <v/>
      </c>
    </row>
    <row r="889">
      <c r="H889" s="83">
        <f>_xlfn.NORM.INV(RAND(),AVERAGE(ASSUMPTIONS!$C$38,ASSUMPTIONS!$C$39,ASSUMPTIONS!$C$40,ASSUMPTIONS!$C$41,ASSUMPTIONS!$C$42),ASSUMPTIONS!$C$68)</f>
        <v/>
      </c>
      <c r="I889" s="83">
        <f>MAX(_xlfn.NORM.INV(RAND(),DCF!$C$11,ASSUMPTIONS!$C$69),K889+0.005)</f>
        <v/>
      </c>
      <c r="J889" s="83">
        <f>_xlfn.NORM.INV(RAND(),ASSUMPTIONS!$C$19,ASSUMPTIONS!$C$70)</f>
        <v/>
      </c>
      <c r="K889" s="83">
        <f>_xlfn.NORM.INV(RAND(),ASSUMPTIONS!$C$43,ASSUMPTIONS!$C$71)</f>
        <v/>
      </c>
      <c r="L889" s="84">
        <f>(((ASSUMPTIONS!$C$18*J889*(1-ASSUMPTIONS!$C$20)+ASSUMPTIONS!$C$18*ASSUMPTIONS!$C$21-ASSUMPTIONS!$C$18*ASSUMPTIONS!$C$22)*(1+H889)*(1-((1+H889)/(1+I889))^5)/(I889-H889))+((ASSUMPTIONS!$C$18*J889*(1-ASSUMPTIONS!$C$20)+ASSUMPTIONS!$C$18*ASSUMPTIONS!$C$21-ASSUMPTIONS!$C$18*ASSUMPTIONS!$C$22)*(1+H889)^5*(1+K889)/(I889-K889)/(1+I889)^5)-DCF!$C$12)/ASSUMPTIONS!$C$7</f>
        <v/>
      </c>
    </row>
    <row r="890">
      <c r="H890" s="83">
        <f>_xlfn.NORM.INV(RAND(),AVERAGE(ASSUMPTIONS!$C$38,ASSUMPTIONS!$C$39,ASSUMPTIONS!$C$40,ASSUMPTIONS!$C$41,ASSUMPTIONS!$C$42),ASSUMPTIONS!$C$68)</f>
        <v/>
      </c>
      <c r="I890" s="83">
        <f>MAX(_xlfn.NORM.INV(RAND(),DCF!$C$11,ASSUMPTIONS!$C$69),K890+0.005)</f>
        <v/>
      </c>
      <c r="J890" s="83">
        <f>_xlfn.NORM.INV(RAND(),ASSUMPTIONS!$C$19,ASSUMPTIONS!$C$70)</f>
        <v/>
      </c>
      <c r="K890" s="83">
        <f>_xlfn.NORM.INV(RAND(),ASSUMPTIONS!$C$43,ASSUMPTIONS!$C$71)</f>
        <v/>
      </c>
      <c r="L890" s="84">
        <f>(((ASSUMPTIONS!$C$18*J890*(1-ASSUMPTIONS!$C$20)+ASSUMPTIONS!$C$18*ASSUMPTIONS!$C$21-ASSUMPTIONS!$C$18*ASSUMPTIONS!$C$22)*(1+H890)*(1-((1+H890)/(1+I890))^5)/(I890-H890))+((ASSUMPTIONS!$C$18*J890*(1-ASSUMPTIONS!$C$20)+ASSUMPTIONS!$C$18*ASSUMPTIONS!$C$21-ASSUMPTIONS!$C$18*ASSUMPTIONS!$C$22)*(1+H890)^5*(1+K890)/(I890-K890)/(1+I890)^5)-DCF!$C$12)/ASSUMPTIONS!$C$7</f>
        <v/>
      </c>
    </row>
    <row r="891">
      <c r="H891" s="83">
        <f>_xlfn.NORM.INV(RAND(),AVERAGE(ASSUMPTIONS!$C$38,ASSUMPTIONS!$C$39,ASSUMPTIONS!$C$40,ASSUMPTIONS!$C$41,ASSUMPTIONS!$C$42),ASSUMPTIONS!$C$68)</f>
        <v/>
      </c>
      <c r="I891" s="83">
        <f>MAX(_xlfn.NORM.INV(RAND(),DCF!$C$11,ASSUMPTIONS!$C$69),K891+0.005)</f>
        <v/>
      </c>
      <c r="J891" s="83">
        <f>_xlfn.NORM.INV(RAND(),ASSUMPTIONS!$C$19,ASSUMPTIONS!$C$70)</f>
        <v/>
      </c>
      <c r="K891" s="83">
        <f>_xlfn.NORM.INV(RAND(),ASSUMPTIONS!$C$43,ASSUMPTIONS!$C$71)</f>
        <v/>
      </c>
      <c r="L891" s="84">
        <f>(((ASSUMPTIONS!$C$18*J891*(1-ASSUMPTIONS!$C$20)+ASSUMPTIONS!$C$18*ASSUMPTIONS!$C$21-ASSUMPTIONS!$C$18*ASSUMPTIONS!$C$22)*(1+H891)*(1-((1+H891)/(1+I891))^5)/(I891-H891))+((ASSUMPTIONS!$C$18*J891*(1-ASSUMPTIONS!$C$20)+ASSUMPTIONS!$C$18*ASSUMPTIONS!$C$21-ASSUMPTIONS!$C$18*ASSUMPTIONS!$C$22)*(1+H891)^5*(1+K891)/(I891-K891)/(1+I891)^5)-DCF!$C$12)/ASSUMPTIONS!$C$7</f>
        <v/>
      </c>
    </row>
    <row r="892">
      <c r="H892" s="83">
        <f>_xlfn.NORM.INV(RAND(),AVERAGE(ASSUMPTIONS!$C$38,ASSUMPTIONS!$C$39,ASSUMPTIONS!$C$40,ASSUMPTIONS!$C$41,ASSUMPTIONS!$C$42),ASSUMPTIONS!$C$68)</f>
        <v/>
      </c>
      <c r="I892" s="83">
        <f>MAX(_xlfn.NORM.INV(RAND(),DCF!$C$11,ASSUMPTIONS!$C$69),K892+0.005)</f>
        <v/>
      </c>
      <c r="J892" s="83">
        <f>_xlfn.NORM.INV(RAND(),ASSUMPTIONS!$C$19,ASSUMPTIONS!$C$70)</f>
        <v/>
      </c>
      <c r="K892" s="83">
        <f>_xlfn.NORM.INV(RAND(),ASSUMPTIONS!$C$43,ASSUMPTIONS!$C$71)</f>
        <v/>
      </c>
      <c r="L892" s="84">
        <f>(((ASSUMPTIONS!$C$18*J892*(1-ASSUMPTIONS!$C$20)+ASSUMPTIONS!$C$18*ASSUMPTIONS!$C$21-ASSUMPTIONS!$C$18*ASSUMPTIONS!$C$22)*(1+H892)*(1-((1+H892)/(1+I892))^5)/(I892-H892))+((ASSUMPTIONS!$C$18*J892*(1-ASSUMPTIONS!$C$20)+ASSUMPTIONS!$C$18*ASSUMPTIONS!$C$21-ASSUMPTIONS!$C$18*ASSUMPTIONS!$C$22)*(1+H892)^5*(1+K892)/(I892-K892)/(1+I892)^5)-DCF!$C$12)/ASSUMPTIONS!$C$7</f>
        <v/>
      </c>
    </row>
    <row r="893">
      <c r="H893" s="83">
        <f>_xlfn.NORM.INV(RAND(),AVERAGE(ASSUMPTIONS!$C$38,ASSUMPTIONS!$C$39,ASSUMPTIONS!$C$40,ASSUMPTIONS!$C$41,ASSUMPTIONS!$C$42),ASSUMPTIONS!$C$68)</f>
        <v/>
      </c>
      <c r="I893" s="83">
        <f>MAX(_xlfn.NORM.INV(RAND(),DCF!$C$11,ASSUMPTIONS!$C$69),K893+0.005)</f>
        <v/>
      </c>
      <c r="J893" s="83">
        <f>_xlfn.NORM.INV(RAND(),ASSUMPTIONS!$C$19,ASSUMPTIONS!$C$70)</f>
        <v/>
      </c>
      <c r="K893" s="83">
        <f>_xlfn.NORM.INV(RAND(),ASSUMPTIONS!$C$43,ASSUMPTIONS!$C$71)</f>
        <v/>
      </c>
      <c r="L893" s="84">
        <f>(((ASSUMPTIONS!$C$18*J893*(1-ASSUMPTIONS!$C$20)+ASSUMPTIONS!$C$18*ASSUMPTIONS!$C$21-ASSUMPTIONS!$C$18*ASSUMPTIONS!$C$22)*(1+H893)*(1-((1+H893)/(1+I893))^5)/(I893-H893))+((ASSUMPTIONS!$C$18*J893*(1-ASSUMPTIONS!$C$20)+ASSUMPTIONS!$C$18*ASSUMPTIONS!$C$21-ASSUMPTIONS!$C$18*ASSUMPTIONS!$C$22)*(1+H893)^5*(1+K893)/(I893-K893)/(1+I893)^5)-DCF!$C$12)/ASSUMPTIONS!$C$7</f>
        <v/>
      </c>
    </row>
    <row r="894">
      <c r="H894" s="83">
        <f>_xlfn.NORM.INV(RAND(),AVERAGE(ASSUMPTIONS!$C$38,ASSUMPTIONS!$C$39,ASSUMPTIONS!$C$40,ASSUMPTIONS!$C$41,ASSUMPTIONS!$C$42),ASSUMPTIONS!$C$68)</f>
        <v/>
      </c>
      <c r="I894" s="83">
        <f>MAX(_xlfn.NORM.INV(RAND(),DCF!$C$11,ASSUMPTIONS!$C$69),K894+0.005)</f>
        <v/>
      </c>
      <c r="J894" s="83">
        <f>_xlfn.NORM.INV(RAND(),ASSUMPTIONS!$C$19,ASSUMPTIONS!$C$70)</f>
        <v/>
      </c>
      <c r="K894" s="83">
        <f>_xlfn.NORM.INV(RAND(),ASSUMPTIONS!$C$43,ASSUMPTIONS!$C$71)</f>
        <v/>
      </c>
      <c r="L894" s="84">
        <f>(((ASSUMPTIONS!$C$18*J894*(1-ASSUMPTIONS!$C$20)+ASSUMPTIONS!$C$18*ASSUMPTIONS!$C$21-ASSUMPTIONS!$C$18*ASSUMPTIONS!$C$22)*(1+H894)*(1-((1+H894)/(1+I894))^5)/(I894-H894))+((ASSUMPTIONS!$C$18*J894*(1-ASSUMPTIONS!$C$20)+ASSUMPTIONS!$C$18*ASSUMPTIONS!$C$21-ASSUMPTIONS!$C$18*ASSUMPTIONS!$C$22)*(1+H894)^5*(1+K894)/(I894-K894)/(1+I894)^5)-DCF!$C$12)/ASSUMPTIONS!$C$7</f>
        <v/>
      </c>
    </row>
    <row r="895">
      <c r="H895" s="83">
        <f>_xlfn.NORM.INV(RAND(),AVERAGE(ASSUMPTIONS!$C$38,ASSUMPTIONS!$C$39,ASSUMPTIONS!$C$40,ASSUMPTIONS!$C$41,ASSUMPTIONS!$C$42),ASSUMPTIONS!$C$68)</f>
        <v/>
      </c>
      <c r="I895" s="83">
        <f>MAX(_xlfn.NORM.INV(RAND(),DCF!$C$11,ASSUMPTIONS!$C$69),K895+0.005)</f>
        <v/>
      </c>
      <c r="J895" s="83">
        <f>_xlfn.NORM.INV(RAND(),ASSUMPTIONS!$C$19,ASSUMPTIONS!$C$70)</f>
        <v/>
      </c>
      <c r="K895" s="83">
        <f>_xlfn.NORM.INV(RAND(),ASSUMPTIONS!$C$43,ASSUMPTIONS!$C$71)</f>
        <v/>
      </c>
      <c r="L895" s="84">
        <f>(((ASSUMPTIONS!$C$18*J895*(1-ASSUMPTIONS!$C$20)+ASSUMPTIONS!$C$18*ASSUMPTIONS!$C$21-ASSUMPTIONS!$C$18*ASSUMPTIONS!$C$22)*(1+H895)*(1-((1+H895)/(1+I895))^5)/(I895-H895))+((ASSUMPTIONS!$C$18*J895*(1-ASSUMPTIONS!$C$20)+ASSUMPTIONS!$C$18*ASSUMPTIONS!$C$21-ASSUMPTIONS!$C$18*ASSUMPTIONS!$C$22)*(1+H895)^5*(1+K895)/(I895-K895)/(1+I895)^5)-DCF!$C$12)/ASSUMPTIONS!$C$7</f>
        <v/>
      </c>
    </row>
    <row r="896">
      <c r="H896" s="83">
        <f>_xlfn.NORM.INV(RAND(),AVERAGE(ASSUMPTIONS!$C$38,ASSUMPTIONS!$C$39,ASSUMPTIONS!$C$40,ASSUMPTIONS!$C$41,ASSUMPTIONS!$C$42),ASSUMPTIONS!$C$68)</f>
        <v/>
      </c>
      <c r="I896" s="83">
        <f>MAX(_xlfn.NORM.INV(RAND(),DCF!$C$11,ASSUMPTIONS!$C$69),K896+0.005)</f>
        <v/>
      </c>
      <c r="J896" s="83">
        <f>_xlfn.NORM.INV(RAND(),ASSUMPTIONS!$C$19,ASSUMPTIONS!$C$70)</f>
        <v/>
      </c>
      <c r="K896" s="83">
        <f>_xlfn.NORM.INV(RAND(),ASSUMPTIONS!$C$43,ASSUMPTIONS!$C$71)</f>
        <v/>
      </c>
      <c r="L896" s="84">
        <f>(((ASSUMPTIONS!$C$18*J896*(1-ASSUMPTIONS!$C$20)+ASSUMPTIONS!$C$18*ASSUMPTIONS!$C$21-ASSUMPTIONS!$C$18*ASSUMPTIONS!$C$22)*(1+H896)*(1-((1+H896)/(1+I896))^5)/(I896-H896))+((ASSUMPTIONS!$C$18*J896*(1-ASSUMPTIONS!$C$20)+ASSUMPTIONS!$C$18*ASSUMPTIONS!$C$21-ASSUMPTIONS!$C$18*ASSUMPTIONS!$C$22)*(1+H896)^5*(1+K896)/(I896-K896)/(1+I896)^5)-DCF!$C$12)/ASSUMPTIONS!$C$7</f>
        <v/>
      </c>
    </row>
    <row r="897">
      <c r="H897" s="83">
        <f>_xlfn.NORM.INV(RAND(),AVERAGE(ASSUMPTIONS!$C$38,ASSUMPTIONS!$C$39,ASSUMPTIONS!$C$40,ASSUMPTIONS!$C$41,ASSUMPTIONS!$C$42),ASSUMPTIONS!$C$68)</f>
        <v/>
      </c>
      <c r="I897" s="83">
        <f>MAX(_xlfn.NORM.INV(RAND(),DCF!$C$11,ASSUMPTIONS!$C$69),K897+0.005)</f>
        <v/>
      </c>
      <c r="J897" s="83">
        <f>_xlfn.NORM.INV(RAND(),ASSUMPTIONS!$C$19,ASSUMPTIONS!$C$70)</f>
        <v/>
      </c>
      <c r="K897" s="83">
        <f>_xlfn.NORM.INV(RAND(),ASSUMPTIONS!$C$43,ASSUMPTIONS!$C$71)</f>
        <v/>
      </c>
      <c r="L897" s="84">
        <f>(((ASSUMPTIONS!$C$18*J897*(1-ASSUMPTIONS!$C$20)+ASSUMPTIONS!$C$18*ASSUMPTIONS!$C$21-ASSUMPTIONS!$C$18*ASSUMPTIONS!$C$22)*(1+H897)*(1-((1+H897)/(1+I897))^5)/(I897-H897))+((ASSUMPTIONS!$C$18*J897*(1-ASSUMPTIONS!$C$20)+ASSUMPTIONS!$C$18*ASSUMPTIONS!$C$21-ASSUMPTIONS!$C$18*ASSUMPTIONS!$C$22)*(1+H897)^5*(1+K897)/(I897-K897)/(1+I897)^5)-DCF!$C$12)/ASSUMPTIONS!$C$7</f>
        <v/>
      </c>
    </row>
    <row r="898">
      <c r="H898" s="83">
        <f>_xlfn.NORM.INV(RAND(),AVERAGE(ASSUMPTIONS!$C$38,ASSUMPTIONS!$C$39,ASSUMPTIONS!$C$40,ASSUMPTIONS!$C$41,ASSUMPTIONS!$C$42),ASSUMPTIONS!$C$68)</f>
        <v/>
      </c>
      <c r="I898" s="83">
        <f>MAX(_xlfn.NORM.INV(RAND(),DCF!$C$11,ASSUMPTIONS!$C$69),K898+0.005)</f>
        <v/>
      </c>
      <c r="J898" s="83">
        <f>_xlfn.NORM.INV(RAND(),ASSUMPTIONS!$C$19,ASSUMPTIONS!$C$70)</f>
        <v/>
      </c>
      <c r="K898" s="83">
        <f>_xlfn.NORM.INV(RAND(),ASSUMPTIONS!$C$43,ASSUMPTIONS!$C$71)</f>
        <v/>
      </c>
      <c r="L898" s="84">
        <f>(((ASSUMPTIONS!$C$18*J898*(1-ASSUMPTIONS!$C$20)+ASSUMPTIONS!$C$18*ASSUMPTIONS!$C$21-ASSUMPTIONS!$C$18*ASSUMPTIONS!$C$22)*(1+H898)*(1-((1+H898)/(1+I898))^5)/(I898-H898))+((ASSUMPTIONS!$C$18*J898*(1-ASSUMPTIONS!$C$20)+ASSUMPTIONS!$C$18*ASSUMPTIONS!$C$21-ASSUMPTIONS!$C$18*ASSUMPTIONS!$C$22)*(1+H898)^5*(1+K898)/(I898-K898)/(1+I898)^5)-DCF!$C$12)/ASSUMPTIONS!$C$7</f>
        <v/>
      </c>
    </row>
    <row r="899">
      <c r="H899" s="83">
        <f>_xlfn.NORM.INV(RAND(),AVERAGE(ASSUMPTIONS!$C$38,ASSUMPTIONS!$C$39,ASSUMPTIONS!$C$40,ASSUMPTIONS!$C$41,ASSUMPTIONS!$C$42),ASSUMPTIONS!$C$68)</f>
        <v/>
      </c>
      <c r="I899" s="83">
        <f>MAX(_xlfn.NORM.INV(RAND(),DCF!$C$11,ASSUMPTIONS!$C$69),K899+0.005)</f>
        <v/>
      </c>
      <c r="J899" s="83">
        <f>_xlfn.NORM.INV(RAND(),ASSUMPTIONS!$C$19,ASSUMPTIONS!$C$70)</f>
        <v/>
      </c>
      <c r="K899" s="83">
        <f>_xlfn.NORM.INV(RAND(),ASSUMPTIONS!$C$43,ASSUMPTIONS!$C$71)</f>
        <v/>
      </c>
      <c r="L899" s="84">
        <f>(((ASSUMPTIONS!$C$18*J899*(1-ASSUMPTIONS!$C$20)+ASSUMPTIONS!$C$18*ASSUMPTIONS!$C$21-ASSUMPTIONS!$C$18*ASSUMPTIONS!$C$22)*(1+H899)*(1-((1+H899)/(1+I899))^5)/(I899-H899))+((ASSUMPTIONS!$C$18*J899*(1-ASSUMPTIONS!$C$20)+ASSUMPTIONS!$C$18*ASSUMPTIONS!$C$21-ASSUMPTIONS!$C$18*ASSUMPTIONS!$C$22)*(1+H899)^5*(1+K899)/(I899-K899)/(1+I899)^5)-DCF!$C$12)/ASSUMPTIONS!$C$7</f>
        <v/>
      </c>
    </row>
    <row r="900">
      <c r="H900" s="83">
        <f>_xlfn.NORM.INV(RAND(),AVERAGE(ASSUMPTIONS!$C$38,ASSUMPTIONS!$C$39,ASSUMPTIONS!$C$40,ASSUMPTIONS!$C$41,ASSUMPTIONS!$C$42),ASSUMPTIONS!$C$68)</f>
        <v/>
      </c>
      <c r="I900" s="83">
        <f>MAX(_xlfn.NORM.INV(RAND(),DCF!$C$11,ASSUMPTIONS!$C$69),K900+0.005)</f>
        <v/>
      </c>
      <c r="J900" s="83">
        <f>_xlfn.NORM.INV(RAND(),ASSUMPTIONS!$C$19,ASSUMPTIONS!$C$70)</f>
        <v/>
      </c>
      <c r="K900" s="83">
        <f>_xlfn.NORM.INV(RAND(),ASSUMPTIONS!$C$43,ASSUMPTIONS!$C$71)</f>
        <v/>
      </c>
      <c r="L900" s="84">
        <f>(((ASSUMPTIONS!$C$18*J900*(1-ASSUMPTIONS!$C$20)+ASSUMPTIONS!$C$18*ASSUMPTIONS!$C$21-ASSUMPTIONS!$C$18*ASSUMPTIONS!$C$22)*(1+H900)*(1-((1+H900)/(1+I900))^5)/(I900-H900))+((ASSUMPTIONS!$C$18*J900*(1-ASSUMPTIONS!$C$20)+ASSUMPTIONS!$C$18*ASSUMPTIONS!$C$21-ASSUMPTIONS!$C$18*ASSUMPTIONS!$C$22)*(1+H900)^5*(1+K900)/(I900-K900)/(1+I900)^5)-DCF!$C$12)/ASSUMPTIONS!$C$7</f>
        <v/>
      </c>
    </row>
    <row r="901">
      <c r="H901" s="83">
        <f>_xlfn.NORM.INV(RAND(),AVERAGE(ASSUMPTIONS!$C$38,ASSUMPTIONS!$C$39,ASSUMPTIONS!$C$40,ASSUMPTIONS!$C$41,ASSUMPTIONS!$C$42),ASSUMPTIONS!$C$68)</f>
        <v/>
      </c>
      <c r="I901" s="83">
        <f>MAX(_xlfn.NORM.INV(RAND(),DCF!$C$11,ASSUMPTIONS!$C$69),K901+0.005)</f>
        <v/>
      </c>
      <c r="J901" s="83">
        <f>_xlfn.NORM.INV(RAND(),ASSUMPTIONS!$C$19,ASSUMPTIONS!$C$70)</f>
        <v/>
      </c>
      <c r="K901" s="83">
        <f>_xlfn.NORM.INV(RAND(),ASSUMPTIONS!$C$43,ASSUMPTIONS!$C$71)</f>
        <v/>
      </c>
      <c r="L901" s="84">
        <f>(((ASSUMPTIONS!$C$18*J901*(1-ASSUMPTIONS!$C$20)+ASSUMPTIONS!$C$18*ASSUMPTIONS!$C$21-ASSUMPTIONS!$C$18*ASSUMPTIONS!$C$22)*(1+H901)*(1-((1+H901)/(1+I901))^5)/(I901-H901))+((ASSUMPTIONS!$C$18*J901*(1-ASSUMPTIONS!$C$20)+ASSUMPTIONS!$C$18*ASSUMPTIONS!$C$21-ASSUMPTIONS!$C$18*ASSUMPTIONS!$C$22)*(1+H901)^5*(1+K901)/(I901-K901)/(1+I901)^5)-DCF!$C$12)/ASSUMPTIONS!$C$7</f>
        <v/>
      </c>
    </row>
    <row r="902">
      <c r="H902" s="83">
        <f>_xlfn.NORM.INV(RAND(),AVERAGE(ASSUMPTIONS!$C$38,ASSUMPTIONS!$C$39,ASSUMPTIONS!$C$40,ASSUMPTIONS!$C$41,ASSUMPTIONS!$C$42),ASSUMPTIONS!$C$68)</f>
        <v/>
      </c>
      <c r="I902" s="83">
        <f>MAX(_xlfn.NORM.INV(RAND(),DCF!$C$11,ASSUMPTIONS!$C$69),K902+0.005)</f>
        <v/>
      </c>
      <c r="J902" s="83">
        <f>_xlfn.NORM.INV(RAND(),ASSUMPTIONS!$C$19,ASSUMPTIONS!$C$70)</f>
        <v/>
      </c>
      <c r="K902" s="83">
        <f>_xlfn.NORM.INV(RAND(),ASSUMPTIONS!$C$43,ASSUMPTIONS!$C$71)</f>
        <v/>
      </c>
      <c r="L902" s="84">
        <f>(((ASSUMPTIONS!$C$18*J902*(1-ASSUMPTIONS!$C$20)+ASSUMPTIONS!$C$18*ASSUMPTIONS!$C$21-ASSUMPTIONS!$C$18*ASSUMPTIONS!$C$22)*(1+H902)*(1-((1+H902)/(1+I902))^5)/(I902-H902))+((ASSUMPTIONS!$C$18*J902*(1-ASSUMPTIONS!$C$20)+ASSUMPTIONS!$C$18*ASSUMPTIONS!$C$21-ASSUMPTIONS!$C$18*ASSUMPTIONS!$C$22)*(1+H902)^5*(1+K902)/(I902-K902)/(1+I902)^5)-DCF!$C$12)/ASSUMPTIONS!$C$7</f>
        <v/>
      </c>
    </row>
    <row r="903">
      <c r="H903" s="83">
        <f>_xlfn.NORM.INV(RAND(),AVERAGE(ASSUMPTIONS!$C$38,ASSUMPTIONS!$C$39,ASSUMPTIONS!$C$40,ASSUMPTIONS!$C$41,ASSUMPTIONS!$C$42),ASSUMPTIONS!$C$68)</f>
        <v/>
      </c>
      <c r="I903" s="83">
        <f>MAX(_xlfn.NORM.INV(RAND(),DCF!$C$11,ASSUMPTIONS!$C$69),K903+0.005)</f>
        <v/>
      </c>
      <c r="J903" s="83">
        <f>_xlfn.NORM.INV(RAND(),ASSUMPTIONS!$C$19,ASSUMPTIONS!$C$70)</f>
        <v/>
      </c>
      <c r="K903" s="83">
        <f>_xlfn.NORM.INV(RAND(),ASSUMPTIONS!$C$43,ASSUMPTIONS!$C$71)</f>
        <v/>
      </c>
      <c r="L903" s="84">
        <f>(((ASSUMPTIONS!$C$18*J903*(1-ASSUMPTIONS!$C$20)+ASSUMPTIONS!$C$18*ASSUMPTIONS!$C$21-ASSUMPTIONS!$C$18*ASSUMPTIONS!$C$22)*(1+H903)*(1-((1+H903)/(1+I903))^5)/(I903-H903))+((ASSUMPTIONS!$C$18*J903*(1-ASSUMPTIONS!$C$20)+ASSUMPTIONS!$C$18*ASSUMPTIONS!$C$21-ASSUMPTIONS!$C$18*ASSUMPTIONS!$C$22)*(1+H903)^5*(1+K903)/(I903-K903)/(1+I903)^5)-DCF!$C$12)/ASSUMPTIONS!$C$7</f>
        <v/>
      </c>
    </row>
    <row r="904">
      <c r="H904" s="83">
        <f>_xlfn.NORM.INV(RAND(),AVERAGE(ASSUMPTIONS!$C$38,ASSUMPTIONS!$C$39,ASSUMPTIONS!$C$40,ASSUMPTIONS!$C$41,ASSUMPTIONS!$C$42),ASSUMPTIONS!$C$68)</f>
        <v/>
      </c>
      <c r="I904" s="83">
        <f>MAX(_xlfn.NORM.INV(RAND(),DCF!$C$11,ASSUMPTIONS!$C$69),K904+0.005)</f>
        <v/>
      </c>
      <c r="J904" s="83">
        <f>_xlfn.NORM.INV(RAND(),ASSUMPTIONS!$C$19,ASSUMPTIONS!$C$70)</f>
        <v/>
      </c>
      <c r="K904" s="83">
        <f>_xlfn.NORM.INV(RAND(),ASSUMPTIONS!$C$43,ASSUMPTIONS!$C$71)</f>
        <v/>
      </c>
      <c r="L904" s="84">
        <f>(((ASSUMPTIONS!$C$18*J904*(1-ASSUMPTIONS!$C$20)+ASSUMPTIONS!$C$18*ASSUMPTIONS!$C$21-ASSUMPTIONS!$C$18*ASSUMPTIONS!$C$22)*(1+H904)*(1-((1+H904)/(1+I904))^5)/(I904-H904))+((ASSUMPTIONS!$C$18*J904*(1-ASSUMPTIONS!$C$20)+ASSUMPTIONS!$C$18*ASSUMPTIONS!$C$21-ASSUMPTIONS!$C$18*ASSUMPTIONS!$C$22)*(1+H904)^5*(1+K904)/(I904-K904)/(1+I904)^5)-DCF!$C$12)/ASSUMPTIONS!$C$7</f>
        <v/>
      </c>
    </row>
    <row r="905">
      <c r="H905" s="83">
        <f>_xlfn.NORM.INV(RAND(),AVERAGE(ASSUMPTIONS!$C$38,ASSUMPTIONS!$C$39,ASSUMPTIONS!$C$40,ASSUMPTIONS!$C$41,ASSUMPTIONS!$C$42),ASSUMPTIONS!$C$68)</f>
        <v/>
      </c>
      <c r="I905" s="83">
        <f>MAX(_xlfn.NORM.INV(RAND(),DCF!$C$11,ASSUMPTIONS!$C$69),K905+0.005)</f>
        <v/>
      </c>
      <c r="J905" s="83">
        <f>_xlfn.NORM.INV(RAND(),ASSUMPTIONS!$C$19,ASSUMPTIONS!$C$70)</f>
        <v/>
      </c>
      <c r="K905" s="83">
        <f>_xlfn.NORM.INV(RAND(),ASSUMPTIONS!$C$43,ASSUMPTIONS!$C$71)</f>
        <v/>
      </c>
      <c r="L905" s="84">
        <f>(((ASSUMPTIONS!$C$18*J905*(1-ASSUMPTIONS!$C$20)+ASSUMPTIONS!$C$18*ASSUMPTIONS!$C$21-ASSUMPTIONS!$C$18*ASSUMPTIONS!$C$22)*(1+H905)*(1-((1+H905)/(1+I905))^5)/(I905-H905))+((ASSUMPTIONS!$C$18*J905*(1-ASSUMPTIONS!$C$20)+ASSUMPTIONS!$C$18*ASSUMPTIONS!$C$21-ASSUMPTIONS!$C$18*ASSUMPTIONS!$C$22)*(1+H905)^5*(1+K905)/(I905-K905)/(1+I905)^5)-DCF!$C$12)/ASSUMPTIONS!$C$7</f>
        <v/>
      </c>
    </row>
    <row r="906">
      <c r="H906" s="83">
        <f>_xlfn.NORM.INV(RAND(),AVERAGE(ASSUMPTIONS!$C$38,ASSUMPTIONS!$C$39,ASSUMPTIONS!$C$40,ASSUMPTIONS!$C$41,ASSUMPTIONS!$C$42),ASSUMPTIONS!$C$68)</f>
        <v/>
      </c>
      <c r="I906" s="83">
        <f>MAX(_xlfn.NORM.INV(RAND(),DCF!$C$11,ASSUMPTIONS!$C$69),K906+0.005)</f>
        <v/>
      </c>
      <c r="J906" s="83">
        <f>_xlfn.NORM.INV(RAND(),ASSUMPTIONS!$C$19,ASSUMPTIONS!$C$70)</f>
        <v/>
      </c>
      <c r="K906" s="83">
        <f>_xlfn.NORM.INV(RAND(),ASSUMPTIONS!$C$43,ASSUMPTIONS!$C$71)</f>
        <v/>
      </c>
      <c r="L906" s="84">
        <f>(((ASSUMPTIONS!$C$18*J906*(1-ASSUMPTIONS!$C$20)+ASSUMPTIONS!$C$18*ASSUMPTIONS!$C$21-ASSUMPTIONS!$C$18*ASSUMPTIONS!$C$22)*(1+H906)*(1-((1+H906)/(1+I906))^5)/(I906-H906))+((ASSUMPTIONS!$C$18*J906*(1-ASSUMPTIONS!$C$20)+ASSUMPTIONS!$C$18*ASSUMPTIONS!$C$21-ASSUMPTIONS!$C$18*ASSUMPTIONS!$C$22)*(1+H906)^5*(1+K906)/(I906-K906)/(1+I906)^5)-DCF!$C$12)/ASSUMPTIONS!$C$7</f>
        <v/>
      </c>
    </row>
    <row r="907">
      <c r="H907" s="83">
        <f>_xlfn.NORM.INV(RAND(),AVERAGE(ASSUMPTIONS!$C$38,ASSUMPTIONS!$C$39,ASSUMPTIONS!$C$40,ASSUMPTIONS!$C$41,ASSUMPTIONS!$C$42),ASSUMPTIONS!$C$68)</f>
        <v/>
      </c>
      <c r="I907" s="83">
        <f>MAX(_xlfn.NORM.INV(RAND(),DCF!$C$11,ASSUMPTIONS!$C$69),K907+0.005)</f>
        <v/>
      </c>
      <c r="J907" s="83">
        <f>_xlfn.NORM.INV(RAND(),ASSUMPTIONS!$C$19,ASSUMPTIONS!$C$70)</f>
        <v/>
      </c>
      <c r="K907" s="83">
        <f>_xlfn.NORM.INV(RAND(),ASSUMPTIONS!$C$43,ASSUMPTIONS!$C$71)</f>
        <v/>
      </c>
      <c r="L907" s="84">
        <f>(((ASSUMPTIONS!$C$18*J907*(1-ASSUMPTIONS!$C$20)+ASSUMPTIONS!$C$18*ASSUMPTIONS!$C$21-ASSUMPTIONS!$C$18*ASSUMPTIONS!$C$22)*(1+H907)*(1-((1+H907)/(1+I907))^5)/(I907-H907))+((ASSUMPTIONS!$C$18*J907*(1-ASSUMPTIONS!$C$20)+ASSUMPTIONS!$C$18*ASSUMPTIONS!$C$21-ASSUMPTIONS!$C$18*ASSUMPTIONS!$C$22)*(1+H907)^5*(1+K907)/(I907-K907)/(1+I907)^5)-DCF!$C$12)/ASSUMPTIONS!$C$7</f>
        <v/>
      </c>
    </row>
    <row r="908">
      <c r="H908" s="83">
        <f>_xlfn.NORM.INV(RAND(),AVERAGE(ASSUMPTIONS!$C$38,ASSUMPTIONS!$C$39,ASSUMPTIONS!$C$40,ASSUMPTIONS!$C$41,ASSUMPTIONS!$C$42),ASSUMPTIONS!$C$68)</f>
        <v/>
      </c>
      <c r="I908" s="83">
        <f>MAX(_xlfn.NORM.INV(RAND(),DCF!$C$11,ASSUMPTIONS!$C$69),K908+0.005)</f>
        <v/>
      </c>
      <c r="J908" s="83">
        <f>_xlfn.NORM.INV(RAND(),ASSUMPTIONS!$C$19,ASSUMPTIONS!$C$70)</f>
        <v/>
      </c>
      <c r="K908" s="83">
        <f>_xlfn.NORM.INV(RAND(),ASSUMPTIONS!$C$43,ASSUMPTIONS!$C$71)</f>
        <v/>
      </c>
      <c r="L908" s="84">
        <f>(((ASSUMPTIONS!$C$18*J908*(1-ASSUMPTIONS!$C$20)+ASSUMPTIONS!$C$18*ASSUMPTIONS!$C$21-ASSUMPTIONS!$C$18*ASSUMPTIONS!$C$22)*(1+H908)*(1-((1+H908)/(1+I908))^5)/(I908-H908))+((ASSUMPTIONS!$C$18*J908*(1-ASSUMPTIONS!$C$20)+ASSUMPTIONS!$C$18*ASSUMPTIONS!$C$21-ASSUMPTIONS!$C$18*ASSUMPTIONS!$C$22)*(1+H908)^5*(1+K908)/(I908-K908)/(1+I908)^5)-DCF!$C$12)/ASSUMPTIONS!$C$7</f>
        <v/>
      </c>
    </row>
    <row r="909">
      <c r="H909" s="83">
        <f>_xlfn.NORM.INV(RAND(),AVERAGE(ASSUMPTIONS!$C$38,ASSUMPTIONS!$C$39,ASSUMPTIONS!$C$40,ASSUMPTIONS!$C$41,ASSUMPTIONS!$C$42),ASSUMPTIONS!$C$68)</f>
        <v/>
      </c>
      <c r="I909" s="83">
        <f>MAX(_xlfn.NORM.INV(RAND(),DCF!$C$11,ASSUMPTIONS!$C$69),K909+0.005)</f>
        <v/>
      </c>
      <c r="J909" s="83">
        <f>_xlfn.NORM.INV(RAND(),ASSUMPTIONS!$C$19,ASSUMPTIONS!$C$70)</f>
        <v/>
      </c>
      <c r="K909" s="83">
        <f>_xlfn.NORM.INV(RAND(),ASSUMPTIONS!$C$43,ASSUMPTIONS!$C$71)</f>
        <v/>
      </c>
      <c r="L909" s="84">
        <f>(((ASSUMPTIONS!$C$18*J909*(1-ASSUMPTIONS!$C$20)+ASSUMPTIONS!$C$18*ASSUMPTIONS!$C$21-ASSUMPTIONS!$C$18*ASSUMPTIONS!$C$22)*(1+H909)*(1-((1+H909)/(1+I909))^5)/(I909-H909))+((ASSUMPTIONS!$C$18*J909*(1-ASSUMPTIONS!$C$20)+ASSUMPTIONS!$C$18*ASSUMPTIONS!$C$21-ASSUMPTIONS!$C$18*ASSUMPTIONS!$C$22)*(1+H909)^5*(1+K909)/(I909-K909)/(1+I909)^5)-DCF!$C$12)/ASSUMPTIONS!$C$7</f>
        <v/>
      </c>
    </row>
    <row r="910">
      <c r="H910" s="83">
        <f>_xlfn.NORM.INV(RAND(),AVERAGE(ASSUMPTIONS!$C$38,ASSUMPTIONS!$C$39,ASSUMPTIONS!$C$40,ASSUMPTIONS!$C$41,ASSUMPTIONS!$C$42),ASSUMPTIONS!$C$68)</f>
        <v/>
      </c>
      <c r="I910" s="83">
        <f>MAX(_xlfn.NORM.INV(RAND(),DCF!$C$11,ASSUMPTIONS!$C$69),K910+0.005)</f>
        <v/>
      </c>
      <c r="J910" s="83">
        <f>_xlfn.NORM.INV(RAND(),ASSUMPTIONS!$C$19,ASSUMPTIONS!$C$70)</f>
        <v/>
      </c>
      <c r="K910" s="83">
        <f>_xlfn.NORM.INV(RAND(),ASSUMPTIONS!$C$43,ASSUMPTIONS!$C$71)</f>
        <v/>
      </c>
      <c r="L910" s="84">
        <f>(((ASSUMPTIONS!$C$18*J910*(1-ASSUMPTIONS!$C$20)+ASSUMPTIONS!$C$18*ASSUMPTIONS!$C$21-ASSUMPTIONS!$C$18*ASSUMPTIONS!$C$22)*(1+H910)*(1-((1+H910)/(1+I910))^5)/(I910-H910))+((ASSUMPTIONS!$C$18*J910*(1-ASSUMPTIONS!$C$20)+ASSUMPTIONS!$C$18*ASSUMPTIONS!$C$21-ASSUMPTIONS!$C$18*ASSUMPTIONS!$C$22)*(1+H910)^5*(1+K910)/(I910-K910)/(1+I910)^5)-DCF!$C$12)/ASSUMPTIONS!$C$7</f>
        <v/>
      </c>
    </row>
    <row r="911">
      <c r="H911" s="83">
        <f>_xlfn.NORM.INV(RAND(),AVERAGE(ASSUMPTIONS!$C$38,ASSUMPTIONS!$C$39,ASSUMPTIONS!$C$40,ASSUMPTIONS!$C$41,ASSUMPTIONS!$C$42),ASSUMPTIONS!$C$68)</f>
        <v/>
      </c>
      <c r="I911" s="83">
        <f>MAX(_xlfn.NORM.INV(RAND(),DCF!$C$11,ASSUMPTIONS!$C$69),K911+0.005)</f>
        <v/>
      </c>
      <c r="J911" s="83">
        <f>_xlfn.NORM.INV(RAND(),ASSUMPTIONS!$C$19,ASSUMPTIONS!$C$70)</f>
        <v/>
      </c>
      <c r="K911" s="83">
        <f>_xlfn.NORM.INV(RAND(),ASSUMPTIONS!$C$43,ASSUMPTIONS!$C$71)</f>
        <v/>
      </c>
      <c r="L911" s="84">
        <f>(((ASSUMPTIONS!$C$18*J911*(1-ASSUMPTIONS!$C$20)+ASSUMPTIONS!$C$18*ASSUMPTIONS!$C$21-ASSUMPTIONS!$C$18*ASSUMPTIONS!$C$22)*(1+H911)*(1-((1+H911)/(1+I911))^5)/(I911-H911))+((ASSUMPTIONS!$C$18*J911*(1-ASSUMPTIONS!$C$20)+ASSUMPTIONS!$C$18*ASSUMPTIONS!$C$21-ASSUMPTIONS!$C$18*ASSUMPTIONS!$C$22)*(1+H911)^5*(1+K911)/(I911-K911)/(1+I911)^5)-DCF!$C$12)/ASSUMPTIONS!$C$7</f>
        <v/>
      </c>
    </row>
    <row r="912">
      <c r="H912" s="83">
        <f>_xlfn.NORM.INV(RAND(),AVERAGE(ASSUMPTIONS!$C$38,ASSUMPTIONS!$C$39,ASSUMPTIONS!$C$40,ASSUMPTIONS!$C$41,ASSUMPTIONS!$C$42),ASSUMPTIONS!$C$68)</f>
        <v/>
      </c>
      <c r="I912" s="83">
        <f>MAX(_xlfn.NORM.INV(RAND(),DCF!$C$11,ASSUMPTIONS!$C$69),K912+0.005)</f>
        <v/>
      </c>
      <c r="J912" s="83">
        <f>_xlfn.NORM.INV(RAND(),ASSUMPTIONS!$C$19,ASSUMPTIONS!$C$70)</f>
        <v/>
      </c>
      <c r="K912" s="83">
        <f>_xlfn.NORM.INV(RAND(),ASSUMPTIONS!$C$43,ASSUMPTIONS!$C$71)</f>
        <v/>
      </c>
      <c r="L912" s="84">
        <f>(((ASSUMPTIONS!$C$18*J912*(1-ASSUMPTIONS!$C$20)+ASSUMPTIONS!$C$18*ASSUMPTIONS!$C$21-ASSUMPTIONS!$C$18*ASSUMPTIONS!$C$22)*(1+H912)*(1-((1+H912)/(1+I912))^5)/(I912-H912))+((ASSUMPTIONS!$C$18*J912*(1-ASSUMPTIONS!$C$20)+ASSUMPTIONS!$C$18*ASSUMPTIONS!$C$21-ASSUMPTIONS!$C$18*ASSUMPTIONS!$C$22)*(1+H912)^5*(1+K912)/(I912-K912)/(1+I912)^5)-DCF!$C$12)/ASSUMPTIONS!$C$7</f>
        <v/>
      </c>
    </row>
    <row r="913">
      <c r="H913" s="83">
        <f>_xlfn.NORM.INV(RAND(),AVERAGE(ASSUMPTIONS!$C$38,ASSUMPTIONS!$C$39,ASSUMPTIONS!$C$40,ASSUMPTIONS!$C$41,ASSUMPTIONS!$C$42),ASSUMPTIONS!$C$68)</f>
        <v/>
      </c>
      <c r="I913" s="83">
        <f>MAX(_xlfn.NORM.INV(RAND(),DCF!$C$11,ASSUMPTIONS!$C$69),K913+0.005)</f>
        <v/>
      </c>
      <c r="J913" s="83">
        <f>_xlfn.NORM.INV(RAND(),ASSUMPTIONS!$C$19,ASSUMPTIONS!$C$70)</f>
        <v/>
      </c>
      <c r="K913" s="83">
        <f>_xlfn.NORM.INV(RAND(),ASSUMPTIONS!$C$43,ASSUMPTIONS!$C$71)</f>
        <v/>
      </c>
      <c r="L913" s="84">
        <f>(((ASSUMPTIONS!$C$18*J913*(1-ASSUMPTIONS!$C$20)+ASSUMPTIONS!$C$18*ASSUMPTIONS!$C$21-ASSUMPTIONS!$C$18*ASSUMPTIONS!$C$22)*(1+H913)*(1-((1+H913)/(1+I913))^5)/(I913-H913))+((ASSUMPTIONS!$C$18*J913*(1-ASSUMPTIONS!$C$20)+ASSUMPTIONS!$C$18*ASSUMPTIONS!$C$21-ASSUMPTIONS!$C$18*ASSUMPTIONS!$C$22)*(1+H913)^5*(1+K913)/(I913-K913)/(1+I913)^5)-DCF!$C$12)/ASSUMPTIONS!$C$7</f>
        <v/>
      </c>
    </row>
    <row r="914">
      <c r="H914" s="83">
        <f>_xlfn.NORM.INV(RAND(),AVERAGE(ASSUMPTIONS!$C$38,ASSUMPTIONS!$C$39,ASSUMPTIONS!$C$40,ASSUMPTIONS!$C$41,ASSUMPTIONS!$C$42),ASSUMPTIONS!$C$68)</f>
        <v/>
      </c>
      <c r="I914" s="83">
        <f>MAX(_xlfn.NORM.INV(RAND(),DCF!$C$11,ASSUMPTIONS!$C$69),K914+0.005)</f>
        <v/>
      </c>
      <c r="J914" s="83">
        <f>_xlfn.NORM.INV(RAND(),ASSUMPTIONS!$C$19,ASSUMPTIONS!$C$70)</f>
        <v/>
      </c>
      <c r="K914" s="83">
        <f>_xlfn.NORM.INV(RAND(),ASSUMPTIONS!$C$43,ASSUMPTIONS!$C$71)</f>
        <v/>
      </c>
      <c r="L914" s="84">
        <f>(((ASSUMPTIONS!$C$18*J914*(1-ASSUMPTIONS!$C$20)+ASSUMPTIONS!$C$18*ASSUMPTIONS!$C$21-ASSUMPTIONS!$C$18*ASSUMPTIONS!$C$22)*(1+H914)*(1-((1+H914)/(1+I914))^5)/(I914-H914))+((ASSUMPTIONS!$C$18*J914*(1-ASSUMPTIONS!$C$20)+ASSUMPTIONS!$C$18*ASSUMPTIONS!$C$21-ASSUMPTIONS!$C$18*ASSUMPTIONS!$C$22)*(1+H914)^5*(1+K914)/(I914-K914)/(1+I914)^5)-DCF!$C$12)/ASSUMPTIONS!$C$7</f>
        <v/>
      </c>
    </row>
    <row r="915">
      <c r="H915" s="83">
        <f>_xlfn.NORM.INV(RAND(),AVERAGE(ASSUMPTIONS!$C$38,ASSUMPTIONS!$C$39,ASSUMPTIONS!$C$40,ASSUMPTIONS!$C$41,ASSUMPTIONS!$C$42),ASSUMPTIONS!$C$68)</f>
        <v/>
      </c>
      <c r="I915" s="83">
        <f>MAX(_xlfn.NORM.INV(RAND(),DCF!$C$11,ASSUMPTIONS!$C$69),K915+0.005)</f>
        <v/>
      </c>
      <c r="J915" s="83">
        <f>_xlfn.NORM.INV(RAND(),ASSUMPTIONS!$C$19,ASSUMPTIONS!$C$70)</f>
        <v/>
      </c>
      <c r="K915" s="83">
        <f>_xlfn.NORM.INV(RAND(),ASSUMPTIONS!$C$43,ASSUMPTIONS!$C$71)</f>
        <v/>
      </c>
      <c r="L915" s="84">
        <f>(((ASSUMPTIONS!$C$18*J915*(1-ASSUMPTIONS!$C$20)+ASSUMPTIONS!$C$18*ASSUMPTIONS!$C$21-ASSUMPTIONS!$C$18*ASSUMPTIONS!$C$22)*(1+H915)*(1-((1+H915)/(1+I915))^5)/(I915-H915))+((ASSUMPTIONS!$C$18*J915*(1-ASSUMPTIONS!$C$20)+ASSUMPTIONS!$C$18*ASSUMPTIONS!$C$21-ASSUMPTIONS!$C$18*ASSUMPTIONS!$C$22)*(1+H915)^5*(1+K915)/(I915-K915)/(1+I915)^5)-DCF!$C$12)/ASSUMPTIONS!$C$7</f>
        <v/>
      </c>
    </row>
    <row r="916">
      <c r="H916" s="83">
        <f>_xlfn.NORM.INV(RAND(),AVERAGE(ASSUMPTIONS!$C$38,ASSUMPTIONS!$C$39,ASSUMPTIONS!$C$40,ASSUMPTIONS!$C$41,ASSUMPTIONS!$C$42),ASSUMPTIONS!$C$68)</f>
        <v/>
      </c>
      <c r="I916" s="83">
        <f>MAX(_xlfn.NORM.INV(RAND(),DCF!$C$11,ASSUMPTIONS!$C$69),K916+0.005)</f>
        <v/>
      </c>
      <c r="J916" s="83">
        <f>_xlfn.NORM.INV(RAND(),ASSUMPTIONS!$C$19,ASSUMPTIONS!$C$70)</f>
        <v/>
      </c>
      <c r="K916" s="83">
        <f>_xlfn.NORM.INV(RAND(),ASSUMPTIONS!$C$43,ASSUMPTIONS!$C$71)</f>
        <v/>
      </c>
      <c r="L916" s="84">
        <f>(((ASSUMPTIONS!$C$18*J916*(1-ASSUMPTIONS!$C$20)+ASSUMPTIONS!$C$18*ASSUMPTIONS!$C$21-ASSUMPTIONS!$C$18*ASSUMPTIONS!$C$22)*(1+H916)*(1-((1+H916)/(1+I916))^5)/(I916-H916))+((ASSUMPTIONS!$C$18*J916*(1-ASSUMPTIONS!$C$20)+ASSUMPTIONS!$C$18*ASSUMPTIONS!$C$21-ASSUMPTIONS!$C$18*ASSUMPTIONS!$C$22)*(1+H916)^5*(1+K916)/(I916-K916)/(1+I916)^5)-DCF!$C$12)/ASSUMPTIONS!$C$7</f>
        <v/>
      </c>
    </row>
    <row r="917">
      <c r="H917" s="83">
        <f>_xlfn.NORM.INV(RAND(),AVERAGE(ASSUMPTIONS!$C$38,ASSUMPTIONS!$C$39,ASSUMPTIONS!$C$40,ASSUMPTIONS!$C$41,ASSUMPTIONS!$C$42),ASSUMPTIONS!$C$68)</f>
        <v/>
      </c>
      <c r="I917" s="83">
        <f>MAX(_xlfn.NORM.INV(RAND(),DCF!$C$11,ASSUMPTIONS!$C$69),K917+0.005)</f>
        <v/>
      </c>
      <c r="J917" s="83">
        <f>_xlfn.NORM.INV(RAND(),ASSUMPTIONS!$C$19,ASSUMPTIONS!$C$70)</f>
        <v/>
      </c>
      <c r="K917" s="83">
        <f>_xlfn.NORM.INV(RAND(),ASSUMPTIONS!$C$43,ASSUMPTIONS!$C$71)</f>
        <v/>
      </c>
      <c r="L917" s="84">
        <f>(((ASSUMPTIONS!$C$18*J917*(1-ASSUMPTIONS!$C$20)+ASSUMPTIONS!$C$18*ASSUMPTIONS!$C$21-ASSUMPTIONS!$C$18*ASSUMPTIONS!$C$22)*(1+H917)*(1-((1+H917)/(1+I917))^5)/(I917-H917))+((ASSUMPTIONS!$C$18*J917*(1-ASSUMPTIONS!$C$20)+ASSUMPTIONS!$C$18*ASSUMPTIONS!$C$21-ASSUMPTIONS!$C$18*ASSUMPTIONS!$C$22)*(1+H917)^5*(1+K917)/(I917-K917)/(1+I917)^5)-DCF!$C$12)/ASSUMPTIONS!$C$7</f>
        <v/>
      </c>
    </row>
    <row r="918">
      <c r="H918" s="83">
        <f>_xlfn.NORM.INV(RAND(),AVERAGE(ASSUMPTIONS!$C$38,ASSUMPTIONS!$C$39,ASSUMPTIONS!$C$40,ASSUMPTIONS!$C$41,ASSUMPTIONS!$C$42),ASSUMPTIONS!$C$68)</f>
        <v/>
      </c>
      <c r="I918" s="83">
        <f>MAX(_xlfn.NORM.INV(RAND(),DCF!$C$11,ASSUMPTIONS!$C$69),K918+0.005)</f>
        <v/>
      </c>
      <c r="J918" s="83">
        <f>_xlfn.NORM.INV(RAND(),ASSUMPTIONS!$C$19,ASSUMPTIONS!$C$70)</f>
        <v/>
      </c>
      <c r="K918" s="83">
        <f>_xlfn.NORM.INV(RAND(),ASSUMPTIONS!$C$43,ASSUMPTIONS!$C$71)</f>
        <v/>
      </c>
      <c r="L918" s="84">
        <f>(((ASSUMPTIONS!$C$18*J918*(1-ASSUMPTIONS!$C$20)+ASSUMPTIONS!$C$18*ASSUMPTIONS!$C$21-ASSUMPTIONS!$C$18*ASSUMPTIONS!$C$22)*(1+H918)*(1-((1+H918)/(1+I918))^5)/(I918-H918))+((ASSUMPTIONS!$C$18*J918*(1-ASSUMPTIONS!$C$20)+ASSUMPTIONS!$C$18*ASSUMPTIONS!$C$21-ASSUMPTIONS!$C$18*ASSUMPTIONS!$C$22)*(1+H918)^5*(1+K918)/(I918-K918)/(1+I918)^5)-DCF!$C$12)/ASSUMPTIONS!$C$7</f>
        <v/>
      </c>
    </row>
    <row r="919">
      <c r="H919" s="83">
        <f>_xlfn.NORM.INV(RAND(),AVERAGE(ASSUMPTIONS!$C$38,ASSUMPTIONS!$C$39,ASSUMPTIONS!$C$40,ASSUMPTIONS!$C$41,ASSUMPTIONS!$C$42),ASSUMPTIONS!$C$68)</f>
        <v/>
      </c>
      <c r="I919" s="83">
        <f>MAX(_xlfn.NORM.INV(RAND(),DCF!$C$11,ASSUMPTIONS!$C$69),K919+0.005)</f>
        <v/>
      </c>
      <c r="J919" s="83">
        <f>_xlfn.NORM.INV(RAND(),ASSUMPTIONS!$C$19,ASSUMPTIONS!$C$70)</f>
        <v/>
      </c>
      <c r="K919" s="83">
        <f>_xlfn.NORM.INV(RAND(),ASSUMPTIONS!$C$43,ASSUMPTIONS!$C$71)</f>
        <v/>
      </c>
      <c r="L919" s="84">
        <f>(((ASSUMPTIONS!$C$18*J919*(1-ASSUMPTIONS!$C$20)+ASSUMPTIONS!$C$18*ASSUMPTIONS!$C$21-ASSUMPTIONS!$C$18*ASSUMPTIONS!$C$22)*(1+H919)*(1-((1+H919)/(1+I919))^5)/(I919-H919))+((ASSUMPTIONS!$C$18*J919*(1-ASSUMPTIONS!$C$20)+ASSUMPTIONS!$C$18*ASSUMPTIONS!$C$21-ASSUMPTIONS!$C$18*ASSUMPTIONS!$C$22)*(1+H919)^5*(1+K919)/(I919-K919)/(1+I919)^5)-DCF!$C$12)/ASSUMPTIONS!$C$7</f>
        <v/>
      </c>
    </row>
    <row r="920">
      <c r="H920" s="83">
        <f>_xlfn.NORM.INV(RAND(),AVERAGE(ASSUMPTIONS!$C$38,ASSUMPTIONS!$C$39,ASSUMPTIONS!$C$40,ASSUMPTIONS!$C$41,ASSUMPTIONS!$C$42),ASSUMPTIONS!$C$68)</f>
        <v/>
      </c>
      <c r="I920" s="83">
        <f>MAX(_xlfn.NORM.INV(RAND(),DCF!$C$11,ASSUMPTIONS!$C$69),K920+0.005)</f>
        <v/>
      </c>
      <c r="J920" s="83">
        <f>_xlfn.NORM.INV(RAND(),ASSUMPTIONS!$C$19,ASSUMPTIONS!$C$70)</f>
        <v/>
      </c>
      <c r="K920" s="83">
        <f>_xlfn.NORM.INV(RAND(),ASSUMPTIONS!$C$43,ASSUMPTIONS!$C$71)</f>
        <v/>
      </c>
      <c r="L920" s="84">
        <f>(((ASSUMPTIONS!$C$18*J920*(1-ASSUMPTIONS!$C$20)+ASSUMPTIONS!$C$18*ASSUMPTIONS!$C$21-ASSUMPTIONS!$C$18*ASSUMPTIONS!$C$22)*(1+H920)*(1-((1+H920)/(1+I920))^5)/(I920-H920))+((ASSUMPTIONS!$C$18*J920*(1-ASSUMPTIONS!$C$20)+ASSUMPTIONS!$C$18*ASSUMPTIONS!$C$21-ASSUMPTIONS!$C$18*ASSUMPTIONS!$C$22)*(1+H920)^5*(1+K920)/(I920-K920)/(1+I920)^5)-DCF!$C$12)/ASSUMPTIONS!$C$7</f>
        <v/>
      </c>
    </row>
    <row r="921">
      <c r="H921" s="83">
        <f>_xlfn.NORM.INV(RAND(),AVERAGE(ASSUMPTIONS!$C$38,ASSUMPTIONS!$C$39,ASSUMPTIONS!$C$40,ASSUMPTIONS!$C$41,ASSUMPTIONS!$C$42),ASSUMPTIONS!$C$68)</f>
        <v/>
      </c>
      <c r="I921" s="83">
        <f>MAX(_xlfn.NORM.INV(RAND(),DCF!$C$11,ASSUMPTIONS!$C$69),K921+0.005)</f>
        <v/>
      </c>
      <c r="J921" s="83">
        <f>_xlfn.NORM.INV(RAND(),ASSUMPTIONS!$C$19,ASSUMPTIONS!$C$70)</f>
        <v/>
      </c>
      <c r="K921" s="83">
        <f>_xlfn.NORM.INV(RAND(),ASSUMPTIONS!$C$43,ASSUMPTIONS!$C$71)</f>
        <v/>
      </c>
      <c r="L921" s="84">
        <f>(((ASSUMPTIONS!$C$18*J921*(1-ASSUMPTIONS!$C$20)+ASSUMPTIONS!$C$18*ASSUMPTIONS!$C$21-ASSUMPTIONS!$C$18*ASSUMPTIONS!$C$22)*(1+H921)*(1-((1+H921)/(1+I921))^5)/(I921-H921))+((ASSUMPTIONS!$C$18*J921*(1-ASSUMPTIONS!$C$20)+ASSUMPTIONS!$C$18*ASSUMPTIONS!$C$21-ASSUMPTIONS!$C$18*ASSUMPTIONS!$C$22)*(1+H921)^5*(1+K921)/(I921-K921)/(1+I921)^5)-DCF!$C$12)/ASSUMPTIONS!$C$7</f>
        <v/>
      </c>
    </row>
    <row r="922">
      <c r="H922" s="83">
        <f>_xlfn.NORM.INV(RAND(),AVERAGE(ASSUMPTIONS!$C$38,ASSUMPTIONS!$C$39,ASSUMPTIONS!$C$40,ASSUMPTIONS!$C$41,ASSUMPTIONS!$C$42),ASSUMPTIONS!$C$68)</f>
        <v/>
      </c>
      <c r="I922" s="83">
        <f>MAX(_xlfn.NORM.INV(RAND(),DCF!$C$11,ASSUMPTIONS!$C$69),K922+0.005)</f>
        <v/>
      </c>
      <c r="J922" s="83">
        <f>_xlfn.NORM.INV(RAND(),ASSUMPTIONS!$C$19,ASSUMPTIONS!$C$70)</f>
        <v/>
      </c>
      <c r="K922" s="83">
        <f>_xlfn.NORM.INV(RAND(),ASSUMPTIONS!$C$43,ASSUMPTIONS!$C$71)</f>
        <v/>
      </c>
      <c r="L922" s="84">
        <f>(((ASSUMPTIONS!$C$18*J922*(1-ASSUMPTIONS!$C$20)+ASSUMPTIONS!$C$18*ASSUMPTIONS!$C$21-ASSUMPTIONS!$C$18*ASSUMPTIONS!$C$22)*(1+H922)*(1-((1+H922)/(1+I922))^5)/(I922-H922))+((ASSUMPTIONS!$C$18*J922*(1-ASSUMPTIONS!$C$20)+ASSUMPTIONS!$C$18*ASSUMPTIONS!$C$21-ASSUMPTIONS!$C$18*ASSUMPTIONS!$C$22)*(1+H922)^5*(1+K922)/(I922-K922)/(1+I922)^5)-DCF!$C$12)/ASSUMPTIONS!$C$7</f>
        <v/>
      </c>
    </row>
    <row r="923">
      <c r="H923" s="83">
        <f>_xlfn.NORM.INV(RAND(),AVERAGE(ASSUMPTIONS!$C$38,ASSUMPTIONS!$C$39,ASSUMPTIONS!$C$40,ASSUMPTIONS!$C$41,ASSUMPTIONS!$C$42),ASSUMPTIONS!$C$68)</f>
        <v/>
      </c>
      <c r="I923" s="83">
        <f>MAX(_xlfn.NORM.INV(RAND(),DCF!$C$11,ASSUMPTIONS!$C$69),K923+0.005)</f>
        <v/>
      </c>
      <c r="J923" s="83">
        <f>_xlfn.NORM.INV(RAND(),ASSUMPTIONS!$C$19,ASSUMPTIONS!$C$70)</f>
        <v/>
      </c>
      <c r="K923" s="83">
        <f>_xlfn.NORM.INV(RAND(),ASSUMPTIONS!$C$43,ASSUMPTIONS!$C$71)</f>
        <v/>
      </c>
      <c r="L923" s="84">
        <f>(((ASSUMPTIONS!$C$18*J923*(1-ASSUMPTIONS!$C$20)+ASSUMPTIONS!$C$18*ASSUMPTIONS!$C$21-ASSUMPTIONS!$C$18*ASSUMPTIONS!$C$22)*(1+H923)*(1-((1+H923)/(1+I923))^5)/(I923-H923))+((ASSUMPTIONS!$C$18*J923*(1-ASSUMPTIONS!$C$20)+ASSUMPTIONS!$C$18*ASSUMPTIONS!$C$21-ASSUMPTIONS!$C$18*ASSUMPTIONS!$C$22)*(1+H923)^5*(1+K923)/(I923-K923)/(1+I923)^5)-DCF!$C$12)/ASSUMPTIONS!$C$7</f>
        <v/>
      </c>
    </row>
    <row r="924">
      <c r="H924" s="83">
        <f>_xlfn.NORM.INV(RAND(),AVERAGE(ASSUMPTIONS!$C$38,ASSUMPTIONS!$C$39,ASSUMPTIONS!$C$40,ASSUMPTIONS!$C$41,ASSUMPTIONS!$C$42),ASSUMPTIONS!$C$68)</f>
        <v/>
      </c>
      <c r="I924" s="83">
        <f>MAX(_xlfn.NORM.INV(RAND(),DCF!$C$11,ASSUMPTIONS!$C$69),K924+0.005)</f>
        <v/>
      </c>
      <c r="J924" s="83">
        <f>_xlfn.NORM.INV(RAND(),ASSUMPTIONS!$C$19,ASSUMPTIONS!$C$70)</f>
        <v/>
      </c>
      <c r="K924" s="83">
        <f>_xlfn.NORM.INV(RAND(),ASSUMPTIONS!$C$43,ASSUMPTIONS!$C$71)</f>
        <v/>
      </c>
      <c r="L924" s="84">
        <f>(((ASSUMPTIONS!$C$18*J924*(1-ASSUMPTIONS!$C$20)+ASSUMPTIONS!$C$18*ASSUMPTIONS!$C$21-ASSUMPTIONS!$C$18*ASSUMPTIONS!$C$22)*(1+H924)*(1-((1+H924)/(1+I924))^5)/(I924-H924))+((ASSUMPTIONS!$C$18*J924*(1-ASSUMPTIONS!$C$20)+ASSUMPTIONS!$C$18*ASSUMPTIONS!$C$21-ASSUMPTIONS!$C$18*ASSUMPTIONS!$C$22)*(1+H924)^5*(1+K924)/(I924-K924)/(1+I924)^5)-DCF!$C$12)/ASSUMPTIONS!$C$7</f>
        <v/>
      </c>
    </row>
    <row r="925">
      <c r="H925" s="83">
        <f>_xlfn.NORM.INV(RAND(),AVERAGE(ASSUMPTIONS!$C$38,ASSUMPTIONS!$C$39,ASSUMPTIONS!$C$40,ASSUMPTIONS!$C$41,ASSUMPTIONS!$C$42),ASSUMPTIONS!$C$68)</f>
        <v/>
      </c>
      <c r="I925" s="83">
        <f>MAX(_xlfn.NORM.INV(RAND(),DCF!$C$11,ASSUMPTIONS!$C$69),K925+0.005)</f>
        <v/>
      </c>
      <c r="J925" s="83">
        <f>_xlfn.NORM.INV(RAND(),ASSUMPTIONS!$C$19,ASSUMPTIONS!$C$70)</f>
        <v/>
      </c>
      <c r="K925" s="83">
        <f>_xlfn.NORM.INV(RAND(),ASSUMPTIONS!$C$43,ASSUMPTIONS!$C$71)</f>
        <v/>
      </c>
      <c r="L925" s="84">
        <f>(((ASSUMPTIONS!$C$18*J925*(1-ASSUMPTIONS!$C$20)+ASSUMPTIONS!$C$18*ASSUMPTIONS!$C$21-ASSUMPTIONS!$C$18*ASSUMPTIONS!$C$22)*(1+H925)*(1-((1+H925)/(1+I925))^5)/(I925-H925))+((ASSUMPTIONS!$C$18*J925*(1-ASSUMPTIONS!$C$20)+ASSUMPTIONS!$C$18*ASSUMPTIONS!$C$21-ASSUMPTIONS!$C$18*ASSUMPTIONS!$C$22)*(1+H925)^5*(1+K925)/(I925-K925)/(1+I925)^5)-DCF!$C$12)/ASSUMPTIONS!$C$7</f>
        <v/>
      </c>
    </row>
    <row r="926">
      <c r="H926" s="83">
        <f>_xlfn.NORM.INV(RAND(),AVERAGE(ASSUMPTIONS!$C$38,ASSUMPTIONS!$C$39,ASSUMPTIONS!$C$40,ASSUMPTIONS!$C$41,ASSUMPTIONS!$C$42),ASSUMPTIONS!$C$68)</f>
        <v/>
      </c>
      <c r="I926" s="83">
        <f>MAX(_xlfn.NORM.INV(RAND(),DCF!$C$11,ASSUMPTIONS!$C$69),K926+0.005)</f>
        <v/>
      </c>
      <c r="J926" s="83">
        <f>_xlfn.NORM.INV(RAND(),ASSUMPTIONS!$C$19,ASSUMPTIONS!$C$70)</f>
        <v/>
      </c>
      <c r="K926" s="83">
        <f>_xlfn.NORM.INV(RAND(),ASSUMPTIONS!$C$43,ASSUMPTIONS!$C$71)</f>
        <v/>
      </c>
      <c r="L926" s="84">
        <f>(((ASSUMPTIONS!$C$18*J926*(1-ASSUMPTIONS!$C$20)+ASSUMPTIONS!$C$18*ASSUMPTIONS!$C$21-ASSUMPTIONS!$C$18*ASSUMPTIONS!$C$22)*(1+H926)*(1-((1+H926)/(1+I926))^5)/(I926-H926))+((ASSUMPTIONS!$C$18*J926*(1-ASSUMPTIONS!$C$20)+ASSUMPTIONS!$C$18*ASSUMPTIONS!$C$21-ASSUMPTIONS!$C$18*ASSUMPTIONS!$C$22)*(1+H926)^5*(1+K926)/(I926-K926)/(1+I926)^5)-DCF!$C$12)/ASSUMPTIONS!$C$7</f>
        <v/>
      </c>
    </row>
    <row r="927">
      <c r="H927" s="83">
        <f>_xlfn.NORM.INV(RAND(),AVERAGE(ASSUMPTIONS!$C$38,ASSUMPTIONS!$C$39,ASSUMPTIONS!$C$40,ASSUMPTIONS!$C$41,ASSUMPTIONS!$C$42),ASSUMPTIONS!$C$68)</f>
        <v/>
      </c>
      <c r="I927" s="83">
        <f>MAX(_xlfn.NORM.INV(RAND(),DCF!$C$11,ASSUMPTIONS!$C$69),K927+0.005)</f>
        <v/>
      </c>
      <c r="J927" s="83">
        <f>_xlfn.NORM.INV(RAND(),ASSUMPTIONS!$C$19,ASSUMPTIONS!$C$70)</f>
        <v/>
      </c>
      <c r="K927" s="83">
        <f>_xlfn.NORM.INV(RAND(),ASSUMPTIONS!$C$43,ASSUMPTIONS!$C$71)</f>
        <v/>
      </c>
      <c r="L927" s="84">
        <f>(((ASSUMPTIONS!$C$18*J927*(1-ASSUMPTIONS!$C$20)+ASSUMPTIONS!$C$18*ASSUMPTIONS!$C$21-ASSUMPTIONS!$C$18*ASSUMPTIONS!$C$22)*(1+H927)*(1-((1+H927)/(1+I927))^5)/(I927-H927))+((ASSUMPTIONS!$C$18*J927*(1-ASSUMPTIONS!$C$20)+ASSUMPTIONS!$C$18*ASSUMPTIONS!$C$21-ASSUMPTIONS!$C$18*ASSUMPTIONS!$C$22)*(1+H927)^5*(1+K927)/(I927-K927)/(1+I927)^5)-DCF!$C$12)/ASSUMPTIONS!$C$7</f>
        <v/>
      </c>
    </row>
    <row r="928">
      <c r="H928" s="83">
        <f>_xlfn.NORM.INV(RAND(),AVERAGE(ASSUMPTIONS!$C$38,ASSUMPTIONS!$C$39,ASSUMPTIONS!$C$40,ASSUMPTIONS!$C$41,ASSUMPTIONS!$C$42),ASSUMPTIONS!$C$68)</f>
        <v/>
      </c>
      <c r="I928" s="83">
        <f>MAX(_xlfn.NORM.INV(RAND(),DCF!$C$11,ASSUMPTIONS!$C$69),K928+0.005)</f>
        <v/>
      </c>
      <c r="J928" s="83">
        <f>_xlfn.NORM.INV(RAND(),ASSUMPTIONS!$C$19,ASSUMPTIONS!$C$70)</f>
        <v/>
      </c>
      <c r="K928" s="83">
        <f>_xlfn.NORM.INV(RAND(),ASSUMPTIONS!$C$43,ASSUMPTIONS!$C$71)</f>
        <v/>
      </c>
      <c r="L928" s="84">
        <f>(((ASSUMPTIONS!$C$18*J928*(1-ASSUMPTIONS!$C$20)+ASSUMPTIONS!$C$18*ASSUMPTIONS!$C$21-ASSUMPTIONS!$C$18*ASSUMPTIONS!$C$22)*(1+H928)*(1-((1+H928)/(1+I928))^5)/(I928-H928))+((ASSUMPTIONS!$C$18*J928*(1-ASSUMPTIONS!$C$20)+ASSUMPTIONS!$C$18*ASSUMPTIONS!$C$21-ASSUMPTIONS!$C$18*ASSUMPTIONS!$C$22)*(1+H928)^5*(1+K928)/(I928-K928)/(1+I928)^5)-DCF!$C$12)/ASSUMPTIONS!$C$7</f>
        <v/>
      </c>
    </row>
    <row r="929">
      <c r="H929" s="83">
        <f>_xlfn.NORM.INV(RAND(),AVERAGE(ASSUMPTIONS!$C$38,ASSUMPTIONS!$C$39,ASSUMPTIONS!$C$40,ASSUMPTIONS!$C$41,ASSUMPTIONS!$C$42),ASSUMPTIONS!$C$68)</f>
        <v/>
      </c>
      <c r="I929" s="83">
        <f>MAX(_xlfn.NORM.INV(RAND(),DCF!$C$11,ASSUMPTIONS!$C$69),K929+0.005)</f>
        <v/>
      </c>
      <c r="J929" s="83">
        <f>_xlfn.NORM.INV(RAND(),ASSUMPTIONS!$C$19,ASSUMPTIONS!$C$70)</f>
        <v/>
      </c>
      <c r="K929" s="83">
        <f>_xlfn.NORM.INV(RAND(),ASSUMPTIONS!$C$43,ASSUMPTIONS!$C$71)</f>
        <v/>
      </c>
      <c r="L929" s="84">
        <f>(((ASSUMPTIONS!$C$18*J929*(1-ASSUMPTIONS!$C$20)+ASSUMPTIONS!$C$18*ASSUMPTIONS!$C$21-ASSUMPTIONS!$C$18*ASSUMPTIONS!$C$22)*(1+H929)*(1-((1+H929)/(1+I929))^5)/(I929-H929))+((ASSUMPTIONS!$C$18*J929*(1-ASSUMPTIONS!$C$20)+ASSUMPTIONS!$C$18*ASSUMPTIONS!$C$21-ASSUMPTIONS!$C$18*ASSUMPTIONS!$C$22)*(1+H929)^5*(1+K929)/(I929-K929)/(1+I929)^5)-DCF!$C$12)/ASSUMPTIONS!$C$7</f>
        <v/>
      </c>
    </row>
    <row r="930">
      <c r="H930" s="83">
        <f>_xlfn.NORM.INV(RAND(),AVERAGE(ASSUMPTIONS!$C$38,ASSUMPTIONS!$C$39,ASSUMPTIONS!$C$40,ASSUMPTIONS!$C$41,ASSUMPTIONS!$C$42),ASSUMPTIONS!$C$68)</f>
        <v/>
      </c>
      <c r="I930" s="83">
        <f>MAX(_xlfn.NORM.INV(RAND(),DCF!$C$11,ASSUMPTIONS!$C$69),K930+0.005)</f>
        <v/>
      </c>
      <c r="J930" s="83">
        <f>_xlfn.NORM.INV(RAND(),ASSUMPTIONS!$C$19,ASSUMPTIONS!$C$70)</f>
        <v/>
      </c>
      <c r="K930" s="83">
        <f>_xlfn.NORM.INV(RAND(),ASSUMPTIONS!$C$43,ASSUMPTIONS!$C$71)</f>
        <v/>
      </c>
      <c r="L930" s="84">
        <f>(((ASSUMPTIONS!$C$18*J930*(1-ASSUMPTIONS!$C$20)+ASSUMPTIONS!$C$18*ASSUMPTIONS!$C$21-ASSUMPTIONS!$C$18*ASSUMPTIONS!$C$22)*(1+H930)*(1-((1+H930)/(1+I930))^5)/(I930-H930))+((ASSUMPTIONS!$C$18*J930*(1-ASSUMPTIONS!$C$20)+ASSUMPTIONS!$C$18*ASSUMPTIONS!$C$21-ASSUMPTIONS!$C$18*ASSUMPTIONS!$C$22)*(1+H930)^5*(1+K930)/(I930-K930)/(1+I930)^5)-DCF!$C$12)/ASSUMPTIONS!$C$7</f>
        <v/>
      </c>
    </row>
    <row r="931">
      <c r="H931" s="83">
        <f>_xlfn.NORM.INV(RAND(),AVERAGE(ASSUMPTIONS!$C$38,ASSUMPTIONS!$C$39,ASSUMPTIONS!$C$40,ASSUMPTIONS!$C$41,ASSUMPTIONS!$C$42),ASSUMPTIONS!$C$68)</f>
        <v/>
      </c>
      <c r="I931" s="83">
        <f>MAX(_xlfn.NORM.INV(RAND(),DCF!$C$11,ASSUMPTIONS!$C$69),K931+0.005)</f>
        <v/>
      </c>
      <c r="J931" s="83">
        <f>_xlfn.NORM.INV(RAND(),ASSUMPTIONS!$C$19,ASSUMPTIONS!$C$70)</f>
        <v/>
      </c>
      <c r="K931" s="83">
        <f>_xlfn.NORM.INV(RAND(),ASSUMPTIONS!$C$43,ASSUMPTIONS!$C$71)</f>
        <v/>
      </c>
      <c r="L931" s="84">
        <f>(((ASSUMPTIONS!$C$18*J931*(1-ASSUMPTIONS!$C$20)+ASSUMPTIONS!$C$18*ASSUMPTIONS!$C$21-ASSUMPTIONS!$C$18*ASSUMPTIONS!$C$22)*(1+H931)*(1-((1+H931)/(1+I931))^5)/(I931-H931))+((ASSUMPTIONS!$C$18*J931*(1-ASSUMPTIONS!$C$20)+ASSUMPTIONS!$C$18*ASSUMPTIONS!$C$21-ASSUMPTIONS!$C$18*ASSUMPTIONS!$C$22)*(1+H931)^5*(1+K931)/(I931-K931)/(1+I931)^5)-DCF!$C$12)/ASSUMPTIONS!$C$7</f>
        <v/>
      </c>
    </row>
    <row r="932">
      <c r="H932" s="83">
        <f>_xlfn.NORM.INV(RAND(),AVERAGE(ASSUMPTIONS!$C$38,ASSUMPTIONS!$C$39,ASSUMPTIONS!$C$40,ASSUMPTIONS!$C$41,ASSUMPTIONS!$C$42),ASSUMPTIONS!$C$68)</f>
        <v/>
      </c>
      <c r="I932" s="83">
        <f>MAX(_xlfn.NORM.INV(RAND(),DCF!$C$11,ASSUMPTIONS!$C$69),K932+0.005)</f>
        <v/>
      </c>
      <c r="J932" s="83">
        <f>_xlfn.NORM.INV(RAND(),ASSUMPTIONS!$C$19,ASSUMPTIONS!$C$70)</f>
        <v/>
      </c>
      <c r="K932" s="83">
        <f>_xlfn.NORM.INV(RAND(),ASSUMPTIONS!$C$43,ASSUMPTIONS!$C$71)</f>
        <v/>
      </c>
      <c r="L932" s="84">
        <f>(((ASSUMPTIONS!$C$18*J932*(1-ASSUMPTIONS!$C$20)+ASSUMPTIONS!$C$18*ASSUMPTIONS!$C$21-ASSUMPTIONS!$C$18*ASSUMPTIONS!$C$22)*(1+H932)*(1-((1+H932)/(1+I932))^5)/(I932-H932))+((ASSUMPTIONS!$C$18*J932*(1-ASSUMPTIONS!$C$20)+ASSUMPTIONS!$C$18*ASSUMPTIONS!$C$21-ASSUMPTIONS!$C$18*ASSUMPTIONS!$C$22)*(1+H932)^5*(1+K932)/(I932-K932)/(1+I932)^5)-DCF!$C$12)/ASSUMPTIONS!$C$7</f>
        <v/>
      </c>
    </row>
    <row r="933">
      <c r="H933" s="83">
        <f>_xlfn.NORM.INV(RAND(),AVERAGE(ASSUMPTIONS!$C$38,ASSUMPTIONS!$C$39,ASSUMPTIONS!$C$40,ASSUMPTIONS!$C$41,ASSUMPTIONS!$C$42),ASSUMPTIONS!$C$68)</f>
        <v/>
      </c>
      <c r="I933" s="83">
        <f>MAX(_xlfn.NORM.INV(RAND(),DCF!$C$11,ASSUMPTIONS!$C$69),K933+0.005)</f>
        <v/>
      </c>
      <c r="J933" s="83">
        <f>_xlfn.NORM.INV(RAND(),ASSUMPTIONS!$C$19,ASSUMPTIONS!$C$70)</f>
        <v/>
      </c>
      <c r="K933" s="83">
        <f>_xlfn.NORM.INV(RAND(),ASSUMPTIONS!$C$43,ASSUMPTIONS!$C$71)</f>
        <v/>
      </c>
      <c r="L933" s="84">
        <f>(((ASSUMPTIONS!$C$18*J933*(1-ASSUMPTIONS!$C$20)+ASSUMPTIONS!$C$18*ASSUMPTIONS!$C$21-ASSUMPTIONS!$C$18*ASSUMPTIONS!$C$22)*(1+H933)*(1-((1+H933)/(1+I933))^5)/(I933-H933))+((ASSUMPTIONS!$C$18*J933*(1-ASSUMPTIONS!$C$20)+ASSUMPTIONS!$C$18*ASSUMPTIONS!$C$21-ASSUMPTIONS!$C$18*ASSUMPTIONS!$C$22)*(1+H933)^5*(1+K933)/(I933-K933)/(1+I933)^5)-DCF!$C$12)/ASSUMPTIONS!$C$7</f>
        <v/>
      </c>
    </row>
    <row r="934">
      <c r="H934" s="83">
        <f>_xlfn.NORM.INV(RAND(),AVERAGE(ASSUMPTIONS!$C$38,ASSUMPTIONS!$C$39,ASSUMPTIONS!$C$40,ASSUMPTIONS!$C$41,ASSUMPTIONS!$C$42),ASSUMPTIONS!$C$68)</f>
        <v/>
      </c>
      <c r="I934" s="83">
        <f>MAX(_xlfn.NORM.INV(RAND(),DCF!$C$11,ASSUMPTIONS!$C$69),K934+0.005)</f>
        <v/>
      </c>
      <c r="J934" s="83">
        <f>_xlfn.NORM.INV(RAND(),ASSUMPTIONS!$C$19,ASSUMPTIONS!$C$70)</f>
        <v/>
      </c>
      <c r="K934" s="83">
        <f>_xlfn.NORM.INV(RAND(),ASSUMPTIONS!$C$43,ASSUMPTIONS!$C$71)</f>
        <v/>
      </c>
      <c r="L934" s="84">
        <f>(((ASSUMPTIONS!$C$18*J934*(1-ASSUMPTIONS!$C$20)+ASSUMPTIONS!$C$18*ASSUMPTIONS!$C$21-ASSUMPTIONS!$C$18*ASSUMPTIONS!$C$22)*(1+H934)*(1-((1+H934)/(1+I934))^5)/(I934-H934))+((ASSUMPTIONS!$C$18*J934*(1-ASSUMPTIONS!$C$20)+ASSUMPTIONS!$C$18*ASSUMPTIONS!$C$21-ASSUMPTIONS!$C$18*ASSUMPTIONS!$C$22)*(1+H934)^5*(1+K934)/(I934-K934)/(1+I934)^5)-DCF!$C$12)/ASSUMPTIONS!$C$7</f>
        <v/>
      </c>
    </row>
    <row r="935">
      <c r="H935" s="83">
        <f>_xlfn.NORM.INV(RAND(),AVERAGE(ASSUMPTIONS!$C$38,ASSUMPTIONS!$C$39,ASSUMPTIONS!$C$40,ASSUMPTIONS!$C$41,ASSUMPTIONS!$C$42),ASSUMPTIONS!$C$68)</f>
        <v/>
      </c>
      <c r="I935" s="83">
        <f>MAX(_xlfn.NORM.INV(RAND(),DCF!$C$11,ASSUMPTIONS!$C$69),K935+0.005)</f>
        <v/>
      </c>
      <c r="J935" s="83">
        <f>_xlfn.NORM.INV(RAND(),ASSUMPTIONS!$C$19,ASSUMPTIONS!$C$70)</f>
        <v/>
      </c>
      <c r="K935" s="83">
        <f>_xlfn.NORM.INV(RAND(),ASSUMPTIONS!$C$43,ASSUMPTIONS!$C$71)</f>
        <v/>
      </c>
      <c r="L935" s="84">
        <f>(((ASSUMPTIONS!$C$18*J935*(1-ASSUMPTIONS!$C$20)+ASSUMPTIONS!$C$18*ASSUMPTIONS!$C$21-ASSUMPTIONS!$C$18*ASSUMPTIONS!$C$22)*(1+H935)*(1-((1+H935)/(1+I935))^5)/(I935-H935))+((ASSUMPTIONS!$C$18*J935*(1-ASSUMPTIONS!$C$20)+ASSUMPTIONS!$C$18*ASSUMPTIONS!$C$21-ASSUMPTIONS!$C$18*ASSUMPTIONS!$C$22)*(1+H935)^5*(1+K935)/(I935-K935)/(1+I935)^5)-DCF!$C$12)/ASSUMPTIONS!$C$7</f>
        <v/>
      </c>
    </row>
    <row r="936">
      <c r="H936" s="83">
        <f>_xlfn.NORM.INV(RAND(),AVERAGE(ASSUMPTIONS!$C$38,ASSUMPTIONS!$C$39,ASSUMPTIONS!$C$40,ASSUMPTIONS!$C$41,ASSUMPTIONS!$C$42),ASSUMPTIONS!$C$68)</f>
        <v/>
      </c>
      <c r="I936" s="83">
        <f>MAX(_xlfn.NORM.INV(RAND(),DCF!$C$11,ASSUMPTIONS!$C$69),K936+0.005)</f>
        <v/>
      </c>
      <c r="J936" s="83">
        <f>_xlfn.NORM.INV(RAND(),ASSUMPTIONS!$C$19,ASSUMPTIONS!$C$70)</f>
        <v/>
      </c>
      <c r="K936" s="83">
        <f>_xlfn.NORM.INV(RAND(),ASSUMPTIONS!$C$43,ASSUMPTIONS!$C$71)</f>
        <v/>
      </c>
      <c r="L936" s="84">
        <f>(((ASSUMPTIONS!$C$18*J936*(1-ASSUMPTIONS!$C$20)+ASSUMPTIONS!$C$18*ASSUMPTIONS!$C$21-ASSUMPTIONS!$C$18*ASSUMPTIONS!$C$22)*(1+H936)*(1-((1+H936)/(1+I936))^5)/(I936-H936))+((ASSUMPTIONS!$C$18*J936*(1-ASSUMPTIONS!$C$20)+ASSUMPTIONS!$C$18*ASSUMPTIONS!$C$21-ASSUMPTIONS!$C$18*ASSUMPTIONS!$C$22)*(1+H936)^5*(1+K936)/(I936-K936)/(1+I936)^5)-DCF!$C$12)/ASSUMPTIONS!$C$7</f>
        <v/>
      </c>
    </row>
    <row r="937">
      <c r="H937" s="83">
        <f>_xlfn.NORM.INV(RAND(),AVERAGE(ASSUMPTIONS!$C$38,ASSUMPTIONS!$C$39,ASSUMPTIONS!$C$40,ASSUMPTIONS!$C$41,ASSUMPTIONS!$C$42),ASSUMPTIONS!$C$68)</f>
        <v/>
      </c>
      <c r="I937" s="83">
        <f>MAX(_xlfn.NORM.INV(RAND(),DCF!$C$11,ASSUMPTIONS!$C$69),K937+0.005)</f>
        <v/>
      </c>
      <c r="J937" s="83">
        <f>_xlfn.NORM.INV(RAND(),ASSUMPTIONS!$C$19,ASSUMPTIONS!$C$70)</f>
        <v/>
      </c>
      <c r="K937" s="83">
        <f>_xlfn.NORM.INV(RAND(),ASSUMPTIONS!$C$43,ASSUMPTIONS!$C$71)</f>
        <v/>
      </c>
      <c r="L937" s="84">
        <f>(((ASSUMPTIONS!$C$18*J937*(1-ASSUMPTIONS!$C$20)+ASSUMPTIONS!$C$18*ASSUMPTIONS!$C$21-ASSUMPTIONS!$C$18*ASSUMPTIONS!$C$22)*(1+H937)*(1-((1+H937)/(1+I937))^5)/(I937-H937))+((ASSUMPTIONS!$C$18*J937*(1-ASSUMPTIONS!$C$20)+ASSUMPTIONS!$C$18*ASSUMPTIONS!$C$21-ASSUMPTIONS!$C$18*ASSUMPTIONS!$C$22)*(1+H937)^5*(1+K937)/(I937-K937)/(1+I937)^5)-DCF!$C$12)/ASSUMPTIONS!$C$7</f>
        <v/>
      </c>
    </row>
    <row r="938">
      <c r="H938" s="83">
        <f>_xlfn.NORM.INV(RAND(),AVERAGE(ASSUMPTIONS!$C$38,ASSUMPTIONS!$C$39,ASSUMPTIONS!$C$40,ASSUMPTIONS!$C$41,ASSUMPTIONS!$C$42),ASSUMPTIONS!$C$68)</f>
        <v/>
      </c>
      <c r="I938" s="83">
        <f>MAX(_xlfn.NORM.INV(RAND(),DCF!$C$11,ASSUMPTIONS!$C$69),K938+0.005)</f>
        <v/>
      </c>
      <c r="J938" s="83">
        <f>_xlfn.NORM.INV(RAND(),ASSUMPTIONS!$C$19,ASSUMPTIONS!$C$70)</f>
        <v/>
      </c>
      <c r="K938" s="83">
        <f>_xlfn.NORM.INV(RAND(),ASSUMPTIONS!$C$43,ASSUMPTIONS!$C$71)</f>
        <v/>
      </c>
      <c r="L938" s="84">
        <f>(((ASSUMPTIONS!$C$18*J938*(1-ASSUMPTIONS!$C$20)+ASSUMPTIONS!$C$18*ASSUMPTIONS!$C$21-ASSUMPTIONS!$C$18*ASSUMPTIONS!$C$22)*(1+H938)*(1-((1+H938)/(1+I938))^5)/(I938-H938))+((ASSUMPTIONS!$C$18*J938*(1-ASSUMPTIONS!$C$20)+ASSUMPTIONS!$C$18*ASSUMPTIONS!$C$21-ASSUMPTIONS!$C$18*ASSUMPTIONS!$C$22)*(1+H938)^5*(1+K938)/(I938-K938)/(1+I938)^5)-DCF!$C$12)/ASSUMPTIONS!$C$7</f>
        <v/>
      </c>
    </row>
    <row r="939">
      <c r="H939" s="83">
        <f>_xlfn.NORM.INV(RAND(),AVERAGE(ASSUMPTIONS!$C$38,ASSUMPTIONS!$C$39,ASSUMPTIONS!$C$40,ASSUMPTIONS!$C$41,ASSUMPTIONS!$C$42),ASSUMPTIONS!$C$68)</f>
        <v/>
      </c>
      <c r="I939" s="83">
        <f>MAX(_xlfn.NORM.INV(RAND(),DCF!$C$11,ASSUMPTIONS!$C$69),K939+0.005)</f>
        <v/>
      </c>
      <c r="J939" s="83">
        <f>_xlfn.NORM.INV(RAND(),ASSUMPTIONS!$C$19,ASSUMPTIONS!$C$70)</f>
        <v/>
      </c>
      <c r="K939" s="83">
        <f>_xlfn.NORM.INV(RAND(),ASSUMPTIONS!$C$43,ASSUMPTIONS!$C$71)</f>
        <v/>
      </c>
      <c r="L939" s="84">
        <f>(((ASSUMPTIONS!$C$18*J939*(1-ASSUMPTIONS!$C$20)+ASSUMPTIONS!$C$18*ASSUMPTIONS!$C$21-ASSUMPTIONS!$C$18*ASSUMPTIONS!$C$22)*(1+H939)*(1-((1+H939)/(1+I939))^5)/(I939-H939))+((ASSUMPTIONS!$C$18*J939*(1-ASSUMPTIONS!$C$20)+ASSUMPTIONS!$C$18*ASSUMPTIONS!$C$21-ASSUMPTIONS!$C$18*ASSUMPTIONS!$C$22)*(1+H939)^5*(1+K939)/(I939-K939)/(1+I939)^5)-DCF!$C$12)/ASSUMPTIONS!$C$7</f>
        <v/>
      </c>
    </row>
    <row r="940">
      <c r="H940" s="83">
        <f>_xlfn.NORM.INV(RAND(),AVERAGE(ASSUMPTIONS!$C$38,ASSUMPTIONS!$C$39,ASSUMPTIONS!$C$40,ASSUMPTIONS!$C$41,ASSUMPTIONS!$C$42),ASSUMPTIONS!$C$68)</f>
        <v/>
      </c>
      <c r="I940" s="83">
        <f>MAX(_xlfn.NORM.INV(RAND(),DCF!$C$11,ASSUMPTIONS!$C$69),K940+0.005)</f>
        <v/>
      </c>
      <c r="J940" s="83">
        <f>_xlfn.NORM.INV(RAND(),ASSUMPTIONS!$C$19,ASSUMPTIONS!$C$70)</f>
        <v/>
      </c>
      <c r="K940" s="83">
        <f>_xlfn.NORM.INV(RAND(),ASSUMPTIONS!$C$43,ASSUMPTIONS!$C$71)</f>
        <v/>
      </c>
      <c r="L940" s="84">
        <f>(((ASSUMPTIONS!$C$18*J940*(1-ASSUMPTIONS!$C$20)+ASSUMPTIONS!$C$18*ASSUMPTIONS!$C$21-ASSUMPTIONS!$C$18*ASSUMPTIONS!$C$22)*(1+H940)*(1-((1+H940)/(1+I940))^5)/(I940-H940))+((ASSUMPTIONS!$C$18*J940*(1-ASSUMPTIONS!$C$20)+ASSUMPTIONS!$C$18*ASSUMPTIONS!$C$21-ASSUMPTIONS!$C$18*ASSUMPTIONS!$C$22)*(1+H940)^5*(1+K940)/(I940-K940)/(1+I940)^5)-DCF!$C$12)/ASSUMPTIONS!$C$7</f>
        <v/>
      </c>
    </row>
    <row r="941">
      <c r="H941" s="83">
        <f>_xlfn.NORM.INV(RAND(),AVERAGE(ASSUMPTIONS!$C$38,ASSUMPTIONS!$C$39,ASSUMPTIONS!$C$40,ASSUMPTIONS!$C$41,ASSUMPTIONS!$C$42),ASSUMPTIONS!$C$68)</f>
        <v/>
      </c>
      <c r="I941" s="83">
        <f>MAX(_xlfn.NORM.INV(RAND(),DCF!$C$11,ASSUMPTIONS!$C$69),K941+0.005)</f>
        <v/>
      </c>
      <c r="J941" s="83">
        <f>_xlfn.NORM.INV(RAND(),ASSUMPTIONS!$C$19,ASSUMPTIONS!$C$70)</f>
        <v/>
      </c>
      <c r="K941" s="83">
        <f>_xlfn.NORM.INV(RAND(),ASSUMPTIONS!$C$43,ASSUMPTIONS!$C$71)</f>
        <v/>
      </c>
      <c r="L941" s="84">
        <f>(((ASSUMPTIONS!$C$18*J941*(1-ASSUMPTIONS!$C$20)+ASSUMPTIONS!$C$18*ASSUMPTIONS!$C$21-ASSUMPTIONS!$C$18*ASSUMPTIONS!$C$22)*(1+H941)*(1-((1+H941)/(1+I941))^5)/(I941-H941))+((ASSUMPTIONS!$C$18*J941*(1-ASSUMPTIONS!$C$20)+ASSUMPTIONS!$C$18*ASSUMPTIONS!$C$21-ASSUMPTIONS!$C$18*ASSUMPTIONS!$C$22)*(1+H941)^5*(1+K941)/(I941-K941)/(1+I941)^5)-DCF!$C$12)/ASSUMPTIONS!$C$7</f>
        <v/>
      </c>
    </row>
    <row r="942">
      <c r="H942" s="83">
        <f>_xlfn.NORM.INV(RAND(),AVERAGE(ASSUMPTIONS!$C$38,ASSUMPTIONS!$C$39,ASSUMPTIONS!$C$40,ASSUMPTIONS!$C$41,ASSUMPTIONS!$C$42),ASSUMPTIONS!$C$68)</f>
        <v/>
      </c>
      <c r="I942" s="83">
        <f>MAX(_xlfn.NORM.INV(RAND(),DCF!$C$11,ASSUMPTIONS!$C$69),K942+0.005)</f>
        <v/>
      </c>
      <c r="J942" s="83">
        <f>_xlfn.NORM.INV(RAND(),ASSUMPTIONS!$C$19,ASSUMPTIONS!$C$70)</f>
        <v/>
      </c>
      <c r="K942" s="83">
        <f>_xlfn.NORM.INV(RAND(),ASSUMPTIONS!$C$43,ASSUMPTIONS!$C$71)</f>
        <v/>
      </c>
      <c r="L942" s="84">
        <f>(((ASSUMPTIONS!$C$18*J942*(1-ASSUMPTIONS!$C$20)+ASSUMPTIONS!$C$18*ASSUMPTIONS!$C$21-ASSUMPTIONS!$C$18*ASSUMPTIONS!$C$22)*(1+H942)*(1-((1+H942)/(1+I942))^5)/(I942-H942))+((ASSUMPTIONS!$C$18*J942*(1-ASSUMPTIONS!$C$20)+ASSUMPTIONS!$C$18*ASSUMPTIONS!$C$21-ASSUMPTIONS!$C$18*ASSUMPTIONS!$C$22)*(1+H942)^5*(1+K942)/(I942-K942)/(1+I942)^5)-DCF!$C$12)/ASSUMPTIONS!$C$7</f>
        <v/>
      </c>
    </row>
    <row r="943">
      <c r="H943" s="83">
        <f>_xlfn.NORM.INV(RAND(),AVERAGE(ASSUMPTIONS!$C$38,ASSUMPTIONS!$C$39,ASSUMPTIONS!$C$40,ASSUMPTIONS!$C$41,ASSUMPTIONS!$C$42),ASSUMPTIONS!$C$68)</f>
        <v/>
      </c>
      <c r="I943" s="83">
        <f>MAX(_xlfn.NORM.INV(RAND(),DCF!$C$11,ASSUMPTIONS!$C$69),K943+0.005)</f>
        <v/>
      </c>
      <c r="J943" s="83">
        <f>_xlfn.NORM.INV(RAND(),ASSUMPTIONS!$C$19,ASSUMPTIONS!$C$70)</f>
        <v/>
      </c>
      <c r="K943" s="83">
        <f>_xlfn.NORM.INV(RAND(),ASSUMPTIONS!$C$43,ASSUMPTIONS!$C$71)</f>
        <v/>
      </c>
      <c r="L943" s="84">
        <f>(((ASSUMPTIONS!$C$18*J943*(1-ASSUMPTIONS!$C$20)+ASSUMPTIONS!$C$18*ASSUMPTIONS!$C$21-ASSUMPTIONS!$C$18*ASSUMPTIONS!$C$22)*(1+H943)*(1-((1+H943)/(1+I943))^5)/(I943-H943))+((ASSUMPTIONS!$C$18*J943*(1-ASSUMPTIONS!$C$20)+ASSUMPTIONS!$C$18*ASSUMPTIONS!$C$21-ASSUMPTIONS!$C$18*ASSUMPTIONS!$C$22)*(1+H943)^5*(1+K943)/(I943-K943)/(1+I943)^5)-DCF!$C$12)/ASSUMPTIONS!$C$7</f>
        <v/>
      </c>
    </row>
    <row r="944">
      <c r="H944" s="83">
        <f>_xlfn.NORM.INV(RAND(),AVERAGE(ASSUMPTIONS!$C$38,ASSUMPTIONS!$C$39,ASSUMPTIONS!$C$40,ASSUMPTIONS!$C$41,ASSUMPTIONS!$C$42),ASSUMPTIONS!$C$68)</f>
        <v/>
      </c>
      <c r="I944" s="83">
        <f>MAX(_xlfn.NORM.INV(RAND(),DCF!$C$11,ASSUMPTIONS!$C$69),K944+0.005)</f>
        <v/>
      </c>
      <c r="J944" s="83">
        <f>_xlfn.NORM.INV(RAND(),ASSUMPTIONS!$C$19,ASSUMPTIONS!$C$70)</f>
        <v/>
      </c>
      <c r="K944" s="83">
        <f>_xlfn.NORM.INV(RAND(),ASSUMPTIONS!$C$43,ASSUMPTIONS!$C$71)</f>
        <v/>
      </c>
      <c r="L944" s="84">
        <f>(((ASSUMPTIONS!$C$18*J944*(1-ASSUMPTIONS!$C$20)+ASSUMPTIONS!$C$18*ASSUMPTIONS!$C$21-ASSUMPTIONS!$C$18*ASSUMPTIONS!$C$22)*(1+H944)*(1-((1+H944)/(1+I944))^5)/(I944-H944))+((ASSUMPTIONS!$C$18*J944*(1-ASSUMPTIONS!$C$20)+ASSUMPTIONS!$C$18*ASSUMPTIONS!$C$21-ASSUMPTIONS!$C$18*ASSUMPTIONS!$C$22)*(1+H944)^5*(1+K944)/(I944-K944)/(1+I944)^5)-DCF!$C$12)/ASSUMPTIONS!$C$7</f>
        <v/>
      </c>
    </row>
    <row r="945">
      <c r="H945" s="83">
        <f>_xlfn.NORM.INV(RAND(),AVERAGE(ASSUMPTIONS!$C$38,ASSUMPTIONS!$C$39,ASSUMPTIONS!$C$40,ASSUMPTIONS!$C$41,ASSUMPTIONS!$C$42),ASSUMPTIONS!$C$68)</f>
        <v/>
      </c>
      <c r="I945" s="83">
        <f>MAX(_xlfn.NORM.INV(RAND(),DCF!$C$11,ASSUMPTIONS!$C$69),K945+0.005)</f>
        <v/>
      </c>
      <c r="J945" s="83">
        <f>_xlfn.NORM.INV(RAND(),ASSUMPTIONS!$C$19,ASSUMPTIONS!$C$70)</f>
        <v/>
      </c>
      <c r="K945" s="83">
        <f>_xlfn.NORM.INV(RAND(),ASSUMPTIONS!$C$43,ASSUMPTIONS!$C$71)</f>
        <v/>
      </c>
      <c r="L945" s="84">
        <f>(((ASSUMPTIONS!$C$18*J945*(1-ASSUMPTIONS!$C$20)+ASSUMPTIONS!$C$18*ASSUMPTIONS!$C$21-ASSUMPTIONS!$C$18*ASSUMPTIONS!$C$22)*(1+H945)*(1-((1+H945)/(1+I945))^5)/(I945-H945))+((ASSUMPTIONS!$C$18*J945*(1-ASSUMPTIONS!$C$20)+ASSUMPTIONS!$C$18*ASSUMPTIONS!$C$21-ASSUMPTIONS!$C$18*ASSUMPTIONS!$C$22)*(1+H945)^5*(1+K945)/(I945-K945)/(1+I945)^5)-DCF!$C$12)/ASSUMPTIONS!$C$7</f>
        <v/>
      </c>
    </row>
    <row r="946">
      <c r="H946" s="83">
        <f>_xlfn.NORM.INV(RAND(),AVERAGE(ASSUMPTIONS!$C$38,ASSUMPTIONS!$C$39,ASSUMPTIONS!$C$40,ASSUMPTIONS!$C$41,ASSUMPTIONS!$C$42),ASSUMPTIONS!$C$68)</f>
        <v/>
      </c>
      <c r="I946" s="83">
        <f>MAX(_xlfn.NORM.INV(RAND(),DCF!$C$11,ASSUMPTIONS!$C$69),K946+0.005)</f>
        <v/>
      </c>
      <c r="J946" s="83">
        <f>_xlfn.NORM.INV(RAND(),ASSUMPTIONS!$C$19,ASSUMPTIONS!$C$70)</f>
        <v/>
      </c>
      <c r="K946" s="83">
        <f>_xlfn.NORM.INV(RAND(),ASSUMPTIONS!$C$43,ASSUMPTIONS!$C$71)</f>
        <v/>
      </c>
      <c r="L946" s="84">
        <f>(((ASSUMPTIONS!$C$18*J946*(1-ASSUMPTIONS!$C$20)+ASSUMPTIONS!$C$18*ASSUMPTIONS!$C$21-ASSUMPTIONS!$C$18*ASSUMPTIONS!$C$22)*(1+H946)*(1-((1+H946)/(1+I946))^5)/(I946-H946))+((ASSUMPTIONS!$C$18*J946*(1-ASSUMPTIONS!$C$20)+ASSUMPTIONS!$C$18*ASSUMPTIONS!$C$21-ASSUMPTIONS!$C$18*ASSUMPTIONS!$C$22)*(1+H946)^5*(1+K946)/(I946-K946)/(1+I946)^5)-DCF!$C$12)/ASSUMPTIONS!$C$7</f>
        <v/>
      </c>
    </row>
    <row r="947">
      <c r="H947" s="83">
        <f>_xlfn.NORM.INV(RAND(),AVERAGE(ASSUMPTIONS!$C$38,ASSUMPTIONS!$C$39,ASSUMPTIONS!$C$40,ASSUMPTIONS!$C$41,ASSUMPTIONS!$C$42),ASSUMPTIONS!$C$68)</f>
        <v/>
      </c>
      <c r="I947" s="83">
        <f>MAX(_xlfn.NORM.INV(RAND(),DCF!$C$11,ASSUMPTIONS!$C$69),K947+0.005)</f>
        <v/>
      </c>
      <c r="J947" s="83">
        <f>_xlfn.NORM.INV(RAND(),ASSUMPTIONS!$C$19,ASSUMPTIONS!$C$70)</f>
        <v/>
      </c>
      <c r="K947" s="83">
        <f>_xlfn.NORM.INV(RAND(),ASSUMPTIONS!$C$43,ASSUMPTIONS!$C$71)</f>
        <v/>
      </c>
      <c r="L947" s="84">
        <f>(((ASSUMPTIONS!$C$18*J947*(1-ASSUMPTIONS!$C$20)+ASSUMPTIONS!$C$18*ASSUMPTIONS!$C$21-ASSUMPTIONS!$C$18*ASSUMPTIONS!$C$22)*(1+H947)*(1-((1+H947)/(1+I947))^5)/(I947-H947))+((ASSUMPTIONS!$C$18*J947*(1-ASSUMPTIONS!$C$20)+ASSUMPTIONS!$C$18*ASSUMPTIONS!$C$21-ASSUMPTIONS!$C$18*ASSUMPTIONS!$C$22)*(1+H947)^5*(1+K947)/(I947-K947)/(1+I947)^5)-DCF!$C$12)/ASSUMPTIONS!$C$7</f>
        <v/>
      </c>
    </row>
    <row r="948">
      <c r="H948" s="83">
        <f>_xlfn.NORM.INV(RAND(),AVERAGE(ASSUMPTIONS!$C$38,ASSUMPTIONS!$C$39,ASSUMPTIONS!$C$40,ASSUMPTIONS!$C$41,ASSUMPTIONS!$C$42),ASSUMPTIONS!$C$68)</f>
        <v/>
      </c>
      <c r="I948" s="83">
        <f>MAX(_xlfn.NORM.INV(RAND(),DCF!$C$11,ASSUMPTIONS!$C$69),K948+0.005)</f>
        <v/>
      </c>
      <c r="J948" s="83">
        <f>_xlfn.NORM.INV(RAND(),ASSUMPTIONS!$C$19,ASSUMPTIONS!$C$70)</f>
        <v/>
      </c>
      <c r="K948" s="83">
        <f>_xlfn.NORM.INV(RAND(),ASSUMPTIONS!$C$43,ASSUMPTIONS!$C$71)</f>
        <v/>
      </c>
      <c r="L948" s="84">
        <f>(((ASSUMPTIONS!$C$18*J948*(1-ASSUMPTIONS!$C$20)+ASSUMPTIONS!$C$18*ASSUMPTIONS!$C$21-ASSUMPTIONS!$C$18*ASSUMPTIONS!$C$22)*(1+H948)*(1-((1+H948)/(1+I948))^5)/(I948-H948))+((ASSUMPTIONS!$C$18*J948*(1-ASSUMPTIONS!$C$20)+ASSUMPTIONS!$C$18*ASSUMPTIONS!$C$21-ASSUMPTIONS!$C$18*ASSUMPTIONS!$C$22)*(1+H948)^5*(1+K948)/(I948-K948)/(1+I948)^5)-DCF!$C$12)/ASSUMPTIONS!$C$7</f>
        <v/>
      </c>
    </row>
    <row r="949">
      <c r="H949" s="83">
        <f>_xlfn.NORM.INV(RAND(),AVERAGE(ASSUMPTIONS!$C$38,ASSUMPTIONS!$C$39,ASSUMPTIONS!$C$40,ASSUMPTIONS!$C$41,ASSUMPTIONS!$C$42),ASSUMPTIONS!$C$68)</f>
        <v/>
      </c>
      <c r="I949" s="83">
        <f>MAX(_xlfn.NORM.INV(RAND(),DCF!$C$11,ASSUMPTIONS!$C$69),K949+0.005)</f>
        <v/>
      </c>
      <c r="J949" s="83">
        <f>_xlfn.NORM.INV(RAND(),ASSUMPTIONS!$C$19,ASSUMPTIONS!$C$70)</f>
        <v/>
      </c>
      <c r="K949" s="83">
        <f>_xlfn.NORM.INV(RAND(),ASSUMPTIONS!$C$43,ASSUMPTIONS!$C$71)</f>
        <v/>
      </c>
      <c r="L949" s="84">
        <f>(((ASSUMPTIONS!$C$18*J949*(1-ASSUMPTIONS!$C$20)+ASSUMPTIONS!$C$18*ASSUMPTIONS!$C$21-ASSUMPTIONS!$C$18*ASSUMPTIONS!$C$22)*(1+H949)*(1-((1+H949)/(1+I949))^5)/(I949-H949))+((ASSUMPTIONS!$C$18*J949*(1-ASSUMPTIONS!$C$20)+ASSUMPTIONS!$C$18*ASSUMPTIONS!$C$21-ASSUMPTIONS!$C$18*ASSUMPTIONS!$C$22)*(1+H949)^5*(1+K949)/(I949-K949)/(1+I949)^5)-DCF!$C$12)/ASSUMPTIONS!$C$7</f>
        <v/>
      </c>
    </row>
    <row r="950">
      <c r="H950" s="83">
        <f>_xlfn.NORM.INV(RAND(),AVERAGE(ASSUMPTIONS!$C$38,ASSUMPTIONS!$C$39,ASSUMPTIONS!$C$40,ASSUMPTIONS!$C$41,ASSUMPTIONS!$C$42),ASSUMPTIONS!$C$68)</f>
        <v/>
      </c>
      <c r="I950" s="83">
        <f>MAX(_xlfn.NORM.INV(RAND(),DCF!$C$11,ASSUMPTIONS!$C$69),K950+0.005)</f>
        <v/>
      </c>
      <c r="J950" s="83">
        <f>_xlfn.NORM.INV(RAND(),ASSUMPTIONS!$C$19,ASSUMPTIONS!$C$70)</f>
        <v/>
      </c>
      <c r="K950" s="83">
        <f>_xlfn.NORM.INV(RAND(),ASSUMPTIONS!$C$43,ASSUMPTIONS!$C$71)</f>
        <v/>
      </c>
      <c r="L950" s="84">
        <f>(((ASSUMPTIONS!$C$18*J950*(1-ASSUMPTIONS!$C$20)+ASSUMPTIONS!$C$18*ASSUMPTIONS!$C$21-ASSUMPTIONS!$C$18*ASSUMPTIONS!$C$22)*(1+H950)*(1-((1+H950)/(1+I950))^5)/(I950-H950))+((ASSUMPTIONS!$C$18*J950*(1-ASSUMPTIONS!$C$20)+ASSUMPTIONS!$C$18*ASSUMPTIONS!$C$21-ASSUMPTIONS!$C$18*ASSUMPTIONS!$C$22)*(1+H950)^5*(1+K950)/(I950-K950)/(1+I950)^5)-DCF!$C$12)/ASSUMPTIONS!$C$7</f>
        <v/>
      </c>
    </row>
    <row r="951">
      <c r="H951" s="83">
        <f>_xlfn.NORM.INV(RAND(),AVERAGE(ASSUMPTIONS!$C$38,ASSUMPTIONS!$C$39,ASSUMPTIONS!$C$40,ASSUMPTIONS!$C$41,ASSUMPTIONS!$C$42),ASSUMPTIONS!$C$68)</f>
        <v/>
      </c>
      <c r="I951" s="83">
        <f>MAX(_xlfn.NORM.INV(RAND(),DCF!$C$11,ASSUMPTIONS!$C$69),K951+0.005)</f>
        <v/>
      </c>
      <c r="J951" s="83">
        <f>_xlfn.NORM.INV(RAND(),ASSUMPTIONS!$C$19,ASSUMPTIONS!$C$70)</f>
        <v/>
      </c>
      <c r="K951" s="83">
        <f>_xlfn.NORM.INV(RAND(),ASSUMPTIONS!$C$43,ASSUMPTIONS!$C$71)</f>
        <v/>
      </c>
      <c r="L951" s="84">
        <f>(((ASSUMPTIONS!$C$18*J951*(1-ASSUMPTIONS!$C$20)+ASSUMPTIONS!$C$18*ASSUMPTIONS!$C$21-ASSUMPTIONS!$C$18*ASSUMPTIONS!$C$22)*(1+H951)*(1-((1+H951)/(1+I951))^5)/(I951-H951))+((ASSUMPTIONS!$C$18*J951*(1-ASSUMPTIONS!$C$20)+ASSUMPTIONS!$C$18*ASSUMPTIONS!$C$21-ASSUMPTIONS!$C$18*ASSUMPTIONS!$C$22)*(1+H951)^5*(1+K951)/(I951-K951)/(1+I951)^5)-DCF!$C$12)/ASSUMPTIONS!$C$7</f>
        <v/>
      </c>
    </row>
    <row r="952">
      <c r="H952" s="83">
        <f>_xlfn.NORM.INV(RAND(),AVERAGE(ASSUMPTIONS!$C$38,ASSUMPTIONS!$C$39,ASSUMPTIONS!$C$40,ASSUMPTIONS!$C$41,ASSUMPTIONS!$C$42),ASSUMPTIONS!$C$68)</f>
        <v/>
      </c>
      <c r="I952" s="83">
        <f>MAX(_xlfn.NORM.INV(RAND(),DCF!$C$11,ASSUMPTIONS!$C$69),K952+0.005)</f>
        <v/>
      </c>
      <c r="J952" s="83">
        <f>_xlfn.NORM.INV(RAND(),ASSUMPTIONS!$C$19,ASSUMPTIONS!$C$70)</f>
        <v/>
      </c>
      <c r="K952" s="83">
        <f>_xlfn.NORM.INV(RAND(),ASSUMPTIONS!$C$43,ASSUMPTIONS!$C$71)</f>
        <v/>
      </c>
      <c r="L952" s="84">
        <f>(((ASSUMPTIONS!$C$18*J952*(1-ASSUMPTIONS!$C$20)+ASSUMPTIONS!$C$18*ASSUMPTIONS!$C$21-ASSUMPTIONS!$C$18*ASSUMPTIONS!$C$22)*(1+H952)*(1-((1+H952)/(1+I952))^5)/(I952-H952))+((ASSUMPTIONS!$C$18*J952*(1-ASSUMPTIONS!$C$20)+ASSUMPTIONS!$C$18*ASSUMPTIONS!$C$21-ASSUMPTIONS!$C$18*ASSUMPTIONS!$C$22)*(1+H952)^5*(1+K952)/(I952-K952)/(1+I952)^5)-DCF!$C$12)/ASSUMPTIONS!$C$7</f>
        <v/>
      </c>
    </row>
    <row r="953">
      <c r="H953" s="83">
        <f>_xlfn.NORM.INV(RAND(),AVERAGE(ASSUMPTIONS!$C$38,ASSUMPTIONS!$C$39,ASSUMPTIONS!$C$40,ASSUMPTIONS!$C$41,ASSUMPTIONS!$C$42),ASSUMPTIONS!$C$68)</f>
        <v/>
      </c>
      <c r="I953" s="83">
        <f>MAX(_xlfn.NORM.INV(RAND(),DCF!$C$11,ASSUMPTIONS!$C$69),K953+0.005)</f>
        <v/>
      </c>
      <c r="J953" s="83">
        <f>_xlfn.NORM.INV(RAND(),ASSUMPTIONS!$C$19,ASSUMPTIONS!$C$70)</f>
        <v/>
      </c>
      <c r="K953" s="83">
        <f>_xlfn.NORM.INV(RAND(),ASSUMPTIONS!$C$43,ASSUMPTIONS!$C$71)</f>
        <v/>
      </c>
      <c r="L953" s="84">
        <f>(((ASSUMPTIONS!$C$18*J953*(1-ASSUMPTIONS!$C$20)+ASSUMPTIONS!$C$18*ASSUMPTIONS!$C$21-ASSUMPTIONS!$C$18*ASSUMPTIONS!$C$22)*(1+H953)*(1-((1+H953)/(1+I953))^5)/(I953-H953))+((ASSUMPTIONS!$C$18*J953*(1-ASSUMPTIONS!$C$20)+ASSUMPTIONS!$C$18*ASSUMPTIONS!$C$21-ASSUMPTIONS!$C$18*ASSUMPTIONS!$C$22)*(1+H953)^5*(1+K953)/(I953-K953)/(1+I953)^5)-DCF!$C$12)/ASSUMPTIONS!$C$7</f>
        <v/>
      </c>
    </row>
    <row r="954">
      <c r="H954" s="83">
        <f>_xlfn.NORM.INV(RAND(),AVERAGE(ASSUMPTIONS!$C$38,ASSUMPTIONS!$C$39,ASSUMPTIONS!$C$40,ASSUMPTIONS!$C$41,ASSUMPTIONS!$C$42),ASSUMPTIONS!$C$68)</f>
        <v/>
      </c>
      <c r="I954" s="83">
        <f>MAX(_xlfn.NORM.INV(RAND(),DCF!$C$11,ASSUMPTIONS!$C$69),K954+0.005)</f>
        <v/>
      </c>
      <c r="J954" s="83">
        <f>_xlfn.NORM.INV(RAND(),ASSUMPTIONS!$C$19,ASSUMPTIONS!$C$70)</f>
        <v/>
      </c>
      <c r="K954" s="83">
        <f>_xlfn.NORM.INV(RAND(),ASSUMPTIONS!$C$43,ASSUMPTIONS!$C$71)</f>
        <v/>
      </c>
      <c r="L954" s="84">
        <f>(((ASSUMPTIONS!$C$18*J954*(1-ASSUMPTIONS!$C$20)+ASSUMPTIONS!$C$18*ASSUMPTIONS!$C$21-ASSUMPTIONS!$C$18*ASSUMPTIONS!$C$22)*(1+H954)*(1-((1+H954)/(1+I954))^5)/(I954-H954))+((ASSUMPTIONS!$C$18*J954*(1-ASSUMPTIONS!$C$20)+ASSUMPTIONS!$C$18*ASSUMPTIONS!$C$21-ASSUMPTIONS!$C$18*ASSUMPTIONS!$C$22)*(1+H954)^5*(1+K954)/(I954-K954)/(1+I954)^5)-DCF!$C$12)/ASSUMPTIONS!$C$7</f>
        <v/>
      </c>
    </row>
    <row r="955">
      <c r="H955" s="83">
        <f>_xlfn.NORM.INV(RAND(),AVERAGE(ASSUMPTIONS!$C$38,ASSUMPTIONS!$C$39,ASSUMPTIONS!$C$40,ASSUMPTIONS!$C$41,ASSUMPTIONS!$C$42),ASSUMPTIONS!$C$68)</f>
        <v/>
      </c>
      <c r="I955" s="83">
        <f>MAX(_xlfn.NORM.INV(RAND(),DCF!$C$11,ASSUMPTIONS!$C$69),K955+0.005)</f>
        <v/>
      </c>
      <c r="J955" s="83">
        <f>_xlfn.NORM.INV(RAND(),ASSUMPTIONS!$C$19,ASSUMPTIONS!$C$70)</f>
        <v/>
      </c>
      <c r="K955" s="83">
        <f>_xlfn.NORM.INV(RAND(),ASSUMPTIONS!$C$43,ASSUMPTIONS!$C$71)</f>
        <v/>
      </c>
      <c r="L955" s="84">
        <f>(((ASSUMPTIONS!$C$18*J955*(1-ASSUMPTIONS!$C$20)+ASSUMPTIONS!$C$18*ASSUMPTIONS!$C$21-ASSUMPTIONS!$C$18*ASSUMPTIONS!$C$22)*(1+H955)*(1-((1+H955)/(1+I955))^5)/(I955-H955))+((ASSUMPTIONS!$C$18*J955*(1-ASSUMPTIONS!$C$20)+ASSUMPTIONS!$C$18*ASSUMPTIONS!$C$21-ASSUMPTIONS!$C$18*ASSUMPTIONS!$C$22)*(1+H955)^5*(1+K955)/(I955-K955)/(1+I955)^5)-DCF!$C$12)/ASSUMPTIONS!$C$7</f>
        <v/>
      </c>
    </row>
    <row r="956">
      <c r="H956" s="83">
        <f>_xlfn.NORM.INV(RAND(),AVERAGE(ASSUMPTIONS!$C$38,ASSUMPTIONS!$C$39,ASSUMPTIONS!$C$40,ASSUMPTIONS!$C$41,ASSUMPTIONS!$C$42),ASSUMPTIONS!$C$68)</f>
        <v/>
      </c>
      <c r="I956" s="83">
        <f>MAX(_xlfn.NORM.INV(RAND(),DCF!$C$11,ASSUMPTIONS!$C$69),K956+0.005)</f>
        <v/>
      </c>
      <c r="J956" s="83">
        <f>_xlfn.NORM.INV(RAND(),ASSUMPTIONS!$C$19,ASSUMPTIONS!$C$70)</f>
        <v/>
      </c>
      <c r="K956" s="83">
        <f>_xlfn.NORM.INV(RAND(),ASSUMPTIONS!$C$43,ASSUMPTIONS!$C$71)</f>
        <v/>
      </c>
      <c r="L956" s="84">
        <f>(((ASSUMPTIONS!$C$18*J956*(1-ASSUMPTIONS!$C$20)+ASSUMPTIONS!$C$18*ASSUMPTIONS!$C$21-ASSUMPTIONS!$C$18*ASSUMPTIONS!$C$22)*(1+H956)*(1-((1+H956)/(1+I956))^5)/(I956-H956))+((ASSUMPTIONS!$C$18*J956*(1-ASSUMPTIONS!$C$20)+ASSUMPTIONS!$C$18*ASSUMPTIONS!$C$21-ASSUMPTIONS!$C$18*ASSUMPTIONS!$C$22)*(1+H956)^5*(1+K956)/(I956-K956)/(1+I956)^5)-DCF!$C$12)/ASSUMPTIONS!$C$7</f>
        <v/>
      </c>
    </row>
    <row r="957">
      <c r="H957" s="83">
        <f>_xlfn.NORM.INV(RAND(),AVERAGE(ASSUMPTIONS!$C$38,ASSUMPTIONS!$C$39,ASSUMPTIONS!$C$40,ASSUMPTIONS!$C$41,ASSUMPTIONS!$C$42),ASSUMPTIONS!$C$68)</f>
        <v/>
      </c>
      <c r="I957" s="83">
        <f>MAX(_xlfn.NORM.INV(RAND(),DCF!$C$11,ASSUMPTIONS!$C$69),K957+0.005)</f>
        <v/>
      </c>
      <c r="J957" s="83">
        <f>_xlfn.NORM.INV(RAND(),ASSUMPTIONS!$C$19,ASSUMPTIONS!$C$70)</f>
        <v/>
      </c>
      <c r="K957" s="83">
        <f>_xlfn.NORM.INV(RAND(),ASSUMPTIONS!$C$43,ASSUMPTIONS!$C$71)</f>
        <v/>
      </c>
      <c r="L957" s="84">
        <f>(((ASSUMPTIONS!$C$18*J957*(1-ASSUMPTIONS!$C$20)+ASSUMPTIONS!$C$18*ASSUMPTIONS!$C$21-ASSUMPTIONS!$C$18*ASSUMPTIONS!$C$22)*(1+H957)*(1-((1+H957)/(1+I957))^5)/(I957-H957))+((ASSUMPTIONS!$C$18*J957*(1-ASSUMPTIONS!$C$20)+ASSUMPTIONS!$C$18*ASSUMPTIONS!$C$21-ASSUMPTIONS!$C$18*ASSUMPTIONS!$C$22)*(1+H957)^5*(1+K957)/(I957-K957)/(1+I957)^5)-DCF!$C$12)/ASSUMPTIONS!$C$7</f>
        <v/>
      </c>
    </row>
    <row r="958">
      <c r="H958" s="83">
        <f>_xlfn.NORM.INV(RAND(),AVERAGE(ASSUMPTIONS!$C$38,ASSUMPTIONS!$C$39,ASSUMPTIONS!$C$40,ASSUMPTIONS!$C$41,ASSUMPTIONS!$C$42),ASSUMPTIONS!$C$68)</f>
        <v/>
      </c>
      <c r="I958" s="83">
        <f>MAX(_xlfn.NORM.INV(RAND(),DCF!$C$11,ASSUMPTIONS!$C$69),K958+0.005)</f>
        <v/>
      </c>
      <c r="J958" s="83">
        <f>_xlfn.NORM.INV(RAND(),ASSUMPTIONS!$C$19,ASSUMPTIONS!$C$70)</f>
        <v/>
      </c>
      <c r="K958" s="83">
        <f>_xlfn.NORM.INV(RAND(),ASSUMPTIONS!$C$43,ASSUMPTIONS!$C$71)</f>
        <v/>
      </c>
      <c r="L958" s="84">
        <f>(((ASSUMPTIONS!$C$18*J958*(1-ASSUMPTIONS!$C$20)+ASSUMPTIONS!$C$18*ASSUMPTIONS!$C$21-ASSUMPTIONS!$C$18*ASSUMPTIONS!$C$22)*(1+H958)*(1-((1+H958)/(1+I958))^5)/(I958-H958))+((ASSUMPTIONS!$C$18*J958*(1-ASSUMPTIONS!$C$20)+ASSUMPTIONS!$C$18*ASSUMPTIONS!$C$21-ASSUMPTIONS!$C$18*ASSUMPTIONS!$C$22)*(1+H958)^5*(1+K958)/(I958-K958)/(1+I958)^5)-DCF!$C$12)/ASSUMPTIONS!$C$7</f>
        <v/>
      </c>
    </row>
    <row r="959">
      <c r="H959" s="83">
        <f>_xlfn.NORM.INV(RAND(),AVERAGE(ASSUMPTIONS!$C$38,ASSUMPTIONS!$C$39,ASSUMPTIONS!$C$40,ASSUMPTIONS!$C$41,ASSUMPTIONS!$C$42),ASSUMPTIONS!$C$68)</f>
        <v/>
      </c>
      <c r="I959" s="83">
        <f>MAX(_xlfn.NORM.INV(RAND(),DCF!$C$11,ASSUMPTIONS!$C$69),K959+0.005)</f>
        <v/>
      </c>
      <c r="J959" s="83">
        <f>_xlfn.NORM.INV(RAND(),ASSUMPTIONS!$C$19,ASSUMPTIONS!$C$70)</f>
        <v/>
      </c>
      <c r="K959" s="83">
        <f>_xlfn.NORM.INV(RAND(),ASSUMPTIONS!$C$43,ASSUMPTIONS!$C$71)</f>
        <v/>
      </c>
      <c r="L959" s="84">
        <f>(((ASSUMPTIONS!$C$18*J959*(1-ASSUMPTIONS!$C$20)+ASSUMPTIONS!$C$18*ASSUMPTIONS!$C$21-ASSUMPTIONS!$C$18*ASSUMPTIONS!$C$22)*(1+H959)*(1-((1+H959)/(1+I959))^5)/(I959-H959))+((ASSUMPTIONS!$C$18*J959*(1-ASSUMPTIONS!$C$20)+ASSUMPTIONS!$C$18*ASSUMPTIONS!$C$21-ASSUMPTIONS!$C$18*ASSUMPTIONS!$C$22)*(1+H959)^5*(1+K959)/(I959-K959)/(1+I959)^5)-DCF!$C$12)/ASSUMPTIONS!$C$7</f>
        <v/>
      </c>
    </row>
    <row r="960">
      <c r="H960" s="83">
        <f>_xlfn.NORM.INV(RAND(),AVERAGE(ASSUMPTIONS!$C$38,ASSUMPTIONS!$C$39,ASSUMPTIONS!$C$40,ASSUMPTIONS!$C$41,ASSUMPTIONS!$C$42),ASSUMPTIONS!$C$68)</f>
        <v/>
      </c>
      <c r="I960" s="83">
        <f>MAX(_xlfn.NORM.INV(RAND(),DCF!$C$11,ASSUMPTIONS!$C$69),K960+0.005)</f>
        <v/>
      </c>
      <c r="J960" s="83">
        <f>_xlfn.NORM.INV(RAND(),ASSUMPTIONS!$C$19,ASSUMPTIONS!$C$70)</f>
        <v/>
      </c>
      <c r="K960" s="83">
        <f>_xlfn.NORM.INV(RAND(),ASSUMPTIONS!$C$43,ASSUMPTIONS!$C$71)</f>
        <v/>
      </c>
      <c r="L960" s="84">
        <f>(((ASSUMPTIONS!$C$18*J960*(1-ASSUMPTIONS!$C$20)+ASSUMPTIONS!$C$18*ASSUMPTIONS!$C$21-ASSUMPTIONS!$C$18*ASSUMPTIONS!$C$22)*(1+H960)*(1-((1+H960)/(1+I960))^5)/(I960-H960))+((ASSUMPTIONS!$C$18*J960*(1-ASSUMPTIONS!$C$20)+ASSUMPTIONS!$C$18*ASSUMPTIONS!$C$21-ASSUMPTIONS!$C$18*ASSUMPTIONS!$C$22)*(1+H960)^5*(1+K960)/(I960-K960)/(1+I960)^5)-DCF!$C$12)/ASSUMPTIONS!$C$7</f>
        <v/>
      </c>
    </row>
    <row r="961">
      <c r="H961" s="83">
        <f>_xlfn.NORM.INV(RAND(),AVERAGE(ASSUMPTIONS!$C$38,ASSUMPTIONS!$C$39,ASSUMPTIONS!$C$40,ASSUMPTIONS!$C$41,ASSUMPTIONS!$C$42),ASSUMPTIONS!$C$68)</f>
        <v/>
      </c>
      <c r="I961" s="83">
        <f>MAX(_xlfn.NORM.INV(RAND(),DCF!$C$11,ASSUMPTIONS!$C$69),K961+0.005)</f>
        <v/>
      </c>
      <c r="J961" s="83">
        <f>_xlfn.NORM.INV(RAND(),ASSUMPTIONS!$C$19,ASSUMPTIONS!$C$70)</f>
        <v/>
      </c>
      <c r="K961" s="83">
        <f>_xlfn.NORM.INV(RAND(),ASSUMPTIONS!$C$43,ASSUMPTIONS!$C$71)</f>
        <v/>
      </c>
      <c r="L961" s="84">
        <f>(((ASSUMPTIONS!$C$18*J961*(1-ASSUMPTIONS!$C$20)+ASSUMPTIONS!$C$18*ASSUMPTIONS!$C$21-ASSUMPTIONS!$C$18*ASSUMPTIONS!$C$22)*(1+H961)*(1-((1+H961)/(1+I961))^5)/(I961-H961))+((ASSUMPTIONS!$C$18*J961*(1-ASSUMPTIONS!$C$20)+ASSUMPTIONS!$C$18*ASSUMPTIONS!$C$21-ASSUMPTIONS!$C$18*ASSUMPTIONS!$C$22)*(1+H961)^5*(1+K961)/(I961-K961)/(1+I961)^5)-DCF!$C$12)/ASSUMPTIONS!$C$7</f>
        <v/>
      </c>
    </row>
    <row r="962">
      <c r="H962" s="83">
        <f>_xlfn.NORM.INV(RAND(),AVERAGE(ASSUMPTIONS!$C$38,ASSUMPTIONS!$C$39,ASSUMPTIONS!$C$40,ASSUMPTIONS!$C$41,ASSUMPTIONS!$C$42),ASSUMPTIONS!$C$68)</f>
        <v/>
      </c>
      <c r="I962" s="83">
        <f>MAX(_xlfn.NORM.INV(RAND(),DCF!$C$11,ASSUMPTIONS!$C$69),K962+0.005)</f>
        <v/>
      </c>
      <c r="J962" s="83">
        <f>_xlfn.NORM.INV(RAND(),ASSUMPTIONS!$C$19,ASSUMPTIONS!$C$70)</f>
        <v/>
      </c>
      <c r="K962" s="83">
        <f>_xlfn.NORM.INV(RAND(),ASSUMPTIONS!$C$43,ASSUMPTIONS!$C$71)</f>
        <v/>
      </c>
      <c r="L962" s="84">
        <f>(((ASSUMPTIONS!$C$18*J962*(1-ASSUMPTIONS!$C$20)+ASSUMPTIONS!$C$18*ASSUMPTIONS!$C$21-ASSUMPTIONS!$C$18*ASSUMPTIONS!$C$22)*(1+H962)*(1-((1+H962)/(1+I962))^5)/(I962-H962))+((ASSUMPTIONS!$C$18*J962*(1-ASSUMPTIONS!$C$20)+ASSUMPTIONS!$C$18*ASSUMPTIONS!$C$21-ASSUMPTIONS!$C$18*ASSUMPTIONS!$C$22)*(1+H962)^5*(1+K962)/(I962-K962)/(1+I962)^5)-DCF!$C$12)/ASSUMPTIONS!$C$7</f>
        <v/>
      </c>
    </row>
    <row r="963">
      <c r="H963" s="83">
        <f>_xlfn.NORM.INV(RAND(),AVERAGE(ASSUMPTIONS!$C$38,ASSUMPTIONS!$C$39,ASSUMPTIONS!$C$40,ASSUMPTIONS!$C$41,ASSUMPTIONS!$C$42),ASSUMPTIONS!$C$68)</f>
        <v/>
      </c>
      <c r="I963" s="83">
        <f>MAX(_xlfn.NORM.INV(RAND(),DCF!$C$11,ASSUMPTIONS!$C$69),K963+0.005)</f>
        <v/>
      </c>
      <c r="J963" s="83">
        <f>_xlfn.NORM.INV(RAND(),ASSUMPTIONS!$C$19,ASSUMPTIONS!$C$70)</f>
        <v/>
      </c>
      <c r="K963" s="83">
        <f>_xlfn.NORM.INV(RAND(),ASSUMPTIONS!$C$43,ASSUMPTIONS!$C$71)</f>
        <v/>
      </c>
      <c r="L963" s="84">
        <f>(((ASSUMPTIONS!$C$18*J963*(1-ASSUMPTIONS!$C$20)+ASSUMPTIONS!$C$18*ASSUMPTIONS!$C$21-ASSUMPTIONS!$C$18*ASSUMPTIONS!$C$22)*(1+H963)*(1-((1+H963)/(1+I963))^5)/(I963-H963))+((ASSUMPTIONS!$C$18*J963*(1-ASSUMPTIONS!$C$20)+ASSUMPTIONS!$C$18*ASSUMPTIONS!$C$21-ASSUMPTIONS!$C$18*ASSUMPTIONS!$C$22)*(1+H963)^5*(1+K963)/(I963-K963)/(1+I963)^5)-DCF!$C$12)/ASSUMPTIONS!$C$7</f>
        <v/>
      </c>
    </row>
    <row r="964">
      <c r="H964" s="83">
        <f>_xlfn.NORM.INV(RAND(),AVERAGE(ASSUMPTIONS!$C$38,ASSUMPTIONS!$C$39,ASSUMPTIONS!$C$40,ASSUMPTIONS!$C$41,ASSUMPTIONS!$C$42),ASSUMPTIONS!$C$68)</f>
        <v/>
      </c>
      <c r="I964" s="83">
        <f>MAX(_xlfn.NORM.INV(RAND(),DCF!$C$11,ASSUMPTIONS!$C$69),K964+0.005)</f>
        <v/>
      </c>
      <c r="J964" s="83">
        <f>_xlfn.NORM.INV(RAND(),ASSUMPTIONS!$C$19,ASSUMPTIONS!$C$70)</f>
        <v/>
      </c>
      <c r="K964" s="83">
        <f>_xlfn.NORM.INV(RAND(),ASSUMPTIONS!$C$43,ASSUMPTIONS!$C$71)</f>
        <v/>
      </c>
      <c r="L964" s="84">
        <f>(((ASSUMPTIONS!$C$18*J964*(1-ASSUMPTIONS!$C$20)+ASSUMPTIONS!$C$18*ASSUMPTIONS!$C$21-ASSUMPTIONS!$C$18*ASSUMPTIONS!$C$22)*(1+H964)*(1-((1+H964)/(1+I964))^5)/(I964-H964))+((ASSUMPTIONS!$C$18*J964*(1-ASSUMPTIONS!$C$20)+ASSUMPTIONS!$C$18*ASSUMPTIONS!$C$21-ASSUMPTIONS!$C$18*ASSUMPTIONS!$C$22)*(1+H964)^5*(1+K964)/(I964-K964)/(1+I964)^5)-DCF!$C$12)/ASSUMPTIONS!$C$7</f>
        <v/>
      </c>
    </row>
    <row r="965">
      <c r="H965" s="83">
        <f>_xlfn.NORM.INV(RAND(),AVERAGE(ASSUMPTIONS!$C$38,ASSUMPTIONS!$C$39,ASSUMPTIONS!$C$40,ASSUMPTIONS!$C$41,ASSUMPTIONS!$C$42),ASSUMPTIONS!$C$68)</f>
        <v/>
      </c>
      <c r="I965" s="83">
        <f>MAX(_xlfn.NORM.INV(RAND(),DCF!$C$11,ASSUMPTIONS!$C$69),K965+0.005)</f>
        <v/>
      </c>
      <c r="J965" s="83">
        <f>_xlfn.NORM.INV(RAND(),ASSUMPTIONS!$C$19,ASSUMPTIONS!$C$70)</f>
        <v/>
      </c>
      <c r="K965" s="83">
        <f>_xlfn.NORM.INV(RAND(),ASSUMPTIONS!$C$43,ASSUMPTIONS!$C$71)</f>
        <v/>
      </c>
      <c r="L965" s="84">
        <f>(((ASSUMPTIONS!$C$18*J965*(1-ASSUMPTIONS!$C$20)+ASSUMPTIONS!$C$18*ASSUMPTIONS!$C$21-ASSUMPTIONS!$C$18*ASSUMPTIONS!$C$22)*(1+H965)*(1-((1+H965)/(1+I965))^5)/(I965-H965))+((ASSUMPTIONS!$C$18*J965*(1-ASSUMPTIONS!$C$20)+ASSUMPTIONS!$C$18*ASSUMPTIONS!$C$21-ASSUMPTIONS!$C$18*ASSUMPTIONS!$C$22)*(1+H965)^5*(1+K965)/(I965-K965)/(1+I965)^5)-DCF!$C$12)/ASSUMPTIONS!$C$7</f>
        <v/>
      </c>
    </row>
    <row r="966">
      <c r="H966" s="83">
        <f>_xlfn.NORM.INV(RAND(),AVERAGE(ASSUMPTIONS!$C$38,ASSUMPTIONS!$C$39,ASSUMPTIONS!$C$40,ASSUMPTIONS!$C$41,ASSUMPTIONS!$C$42),ASSUMPTIONS!$C$68)</f>
        <v/>
      </c>
      <c r="I966" s="83">
        <f>MAX(_xlfn.NORM.INV(RAND(),DCF!$C$11,ASSUMPTIONS!$C$69),K966+0.005)</f>
        <v/>
      </c>
      <c r="J966" s="83">
        <f>_xlfn.NORM.INV(RAND(),ASSUMPTIONS!$C$19,ASSUMPTIONS!$C$70)</f>
        <v/>
      </c>
      <c r="K966" s="83">
        <f>_xlfn.NORM.INV(RAND(),ASSUMPTIONS!$C$43,ASSUMPTIONS!$C$71)</f>
        <v/>
      </c>
      <c r="L966" s="84">
        <f>(((ASSUMPTIONS!$C$18*J966*(1-ASSUMPTIONS!$C$20)+ASSUMPTIONS!$C$18*ASSUMPTIONS!$C$21-ASSUMPTIONS!$C$18*ASSUMPTIONS!$C$22)*(1+H966)*(1-((1+H966)/(1+I966))^5)/(I966-H966))+((ASSUMPTIONS!$C$18*J966*(1-ASSUMPTIONS!$C$20)+ASSUMPTIONS!$C$18*ASSUMPTIONS!$C$21-ASSUMPTIONS!$C$18*ASSUMPTIONS!$C$22)*(1+H966)^5*(1+K966)/(I966-K966)/(1+I966)^5)-DCF!$C$12)/ASSUMPTIONS!$C$7</f>
        <v/>
      </c>
    </row>
    <row r="967">
      <c r="H967" s="83">
        <f>_xlfn.NORM.INV(RAND(),AVERAGE(ASSUMPTIONS!$C$38,ASSUMPTIONS!$C$39,ASSUMPTIONS!$C$40,ASSUMPTIONS!$C$41,ASSUMPTIONS!$C$42),ASSUMPTIONS!$C$68)</f>
        <v/>
      </c>
      <c r="I967" s="83">
        <f>MAX(_xlfn.NORM.INV(RAND(),DCF!$C$11,ASSUMPTIONS!$C$69),K967+0.005)</f>
        <v/>
      </c>
      <c r="J967" s="83">
        <f>_xlfn.NORM.INV(RAND(),ASSUMPTIONS!$C$19,ASSUMPTIONS!$C$70)</f>
        <v/>
      </c>
      <c r="K967" s="83">
        <f>_xlfn.NORM.INV(RAND(),ASSUMPTIONS!$C$43,ASSUMPTIONS!$C$71)</f>
        <v/>
      </c>
      <c r="L967" s="84">
        <f>(((ASSUMPTIONS!$C$18*J967*(1-ASSUMPTIONS!$C$20)+ASSUMPTIONS!$C$18*ASSUMPTIONS!$C$21-ASSUMPTIONS!$C$18*ASSUMPTIONS!$C$22)*(1+H967)*(1-((1+H967)/(1+I967))^5)/(I967-H967))+((ASSUMPTIONS!$C$18*J967*(1-ASSUMPTIONS!$C$20)+ASSUMPTIONS!$C$18*ASSUMPTIONS!$C$21-ASSUMPTIONS!$C$18*ASSUMPTIONS!$C$22)*(1+H967)^5*(1+K967)/(I967-K967)/(1+I967)^5)-DCF!$C$12)/ASSUMPTIONS!$C$7</f>
        <v/>
      </c>
    </row>
    <row r="968">
      <c r="H968" s="83">
        <f>_xlfn.NORM.INV(RAND(),AVERAGE(ASSUMPTIONS!$C$38,ASSUMPTIONS!$C$39,ASSUMPTIONS!$C$40,ASSUMPTIONS!$C$41,ASSUMPTIONS!$C$42),ASSUMPTIONS!$C$68)</f>
        <v/>
      </c>
      <c r="I968" s="83">
        <f>MAX(_xlfn.NORM.INV(RAND(),DCF!$C$11,ASSUMPTIONS!$C$69),K968+0.005)</f>
        <v/>
      </c>
      <c r="J968" s="83">
        <f>_xlfn.NORM.INV(RAND(),ASSUMPTIONS!$C$19,ASSUMPTIONS!$C$70)</f>
        <v/>
      </c>
      <c r="K968" s="83">
        <f>_xlfn.NORM.INV(RAND(),ASSUMPTIONS!$C$43,ASSUMPTIONS!$C$71)</f>
        <v/>
      </c>
      <c r="L968" s="84">
        <f>(((ASSUMPTIONS!$C$18*J968*(1-ASSUMPTIONS!$C$20)+ASSUMPTIONS!$C$18*ASSUMPTIONS!$C$21-ASSUMPTIONS!$C$18*ASSUMPTIONS!$C$22)*(1+H968)*(1-((1+H968)/(1+I968))^5)/(I968-H968))+((ASSUMPTIONS!$C$18*J968*(1-ASSUMPTIONS!$C$20)+ASSUMPTIONS!$C$18*ASSUMPTIONS!$C$21-ASSUMPTIONS!$C$18*ASSUMPTIONS!$C$22)*(1+H968)^5*(1+K968)/(I968-K968)/(1+I968)^5)-DCF!$C$12)/ASSUMPTIONS!$C$7</f>
        <v/>
      </c>
    </row>
    <row r="969">
      <c r="H969" s="83">
        <f>_xlfn.NORM.INV(RAND(),AVERAGE(ASSUMPTIONS!$C$38,ASSUMPTIONS!$C$39,ASSUMPTIONS!$C$40,ASSUMPTIONS!$C$41,ASSUMPTIONS!$C$42),ASSUMPTIONS!$C$68)</f>
        <v/>
      </c>
      <c r="I969" s="83">
        <f>MAX(_xlfn.NORM.INV(RAND(),DCF!$C$11,ASSUMPTIONS!$C$69),K969+0.005)</f>
        <v/>
      </c>
      <c r="J969" s="83">
        <f>_xlfn.NORM.INV(RAND(),ASSUMPTIONS!$C$19,ASSUMPTIONS!$C$70)</f>
        <v/>
      </c>
      <c r="K969" s="83">
        <f>_xlfn.NORM.INV(RAND(),ASSUMPTIONS!$C$43,ASSUMPTIONS!$C$71)</f>
        <v/>
      </c>
      <c r="L969" s="84">
        <f>(((ASSUMPTIONS!$C$18*J969*(1-ASSUMPTIONS!$C$20)+ASSUMPTIONS!$C$18*ASSUMPTIONS!$C$21-ASSUMPTIONS!$C$18*ASSUMPTIONS!$C$22)*(1+H969)*(1-((1+H969)/(1+I969))^5)/(I969-H969))+((ASSUMPTIONS!$C$18*J969*(1-ASSUMPTIONS!$C$20)+ASSUMPTIONS!$C$18*ASSUMPTIONS!$C$21-ASSUMPTIONS!$C$18*ASSUMPTIONS!$C$22)*(1+H969)^5*(1+K969)/(I969-K969)/(1+I969)^5)-DCF!$C$12)/ASSUMPTIONS!$C$7</f>
        <v/>
      </c>
    </row>
    <row r="970">
      <c r="H970" s="83">
        <f>_xlfn.NORM.INV(RAND(),AVERAGE(ASSUMPTIONS!$C$38,ASSUMPTIONS!$C$39,ASSUMPTIONS!$C$40,ASSUMPTIONS!$C$41,ASSUMPTIONS!$C$42),ASSUMPTIONS!$C$68)</f>
        <v/>
      </c>
      <c r="I970" s="83">
        <f>MAX(_xlfn.NORM.INV(RAND(),DCF!$C$11,ASSUMPTIONS!$C$69),K970+0.005)</f>
        <v/>
      </c>
      <c r="J970" s="83">
        <f>_xlfn.NORM.INV(RAND(),ASSUMPTIONS!$C$19,ASSUMPTIONS!$C$70)</f>
        <v/>
      </c>
      <c r="K970" s="83">
        <f>_xlfn.NORM.INV(RAND(),ASSUMPTIONS!$C$43,ASSUMPTIONS!$C$71)</f>
        <v/>
      </c>
      <c r="L970" s="84">
        <f>(((ASSUMPTIONS!$C$18*J970*(1-ASSUMPTIONS!$C$20)+ASSUMPTIONS!$C$18*ASSUMPTIONS!$C$21-ASSUMPTIONS!$C$18*ASSUMPTIONS!$C$22)*(1+H970)*(1-((1+H970)/(1+I970))^5)/(I970-H970))+((ASSUMPTIONS!$C$18*J970*(1-ASSUMPTIONS!$C$20)+ASSUMPTIONS!$C$18*ASSUMPTIONS!$C$21-ASSUMPTIONS!$C$18*ASSUMPTIONS!$C$22)*(1+H970)^5*(1+K970)/(I970-K970)/(1+I970)^5)-DCF!$C$12)/ASSUMPTIONS!$C$7</f>
        <v/>
      </c>
    </row>
    <row r="971">
      <c r="H971" s="83">
        <f>_xlfn.NORM.INV(RAND(),AVERAGE(ASSUMPTIONS!$C$38,ASSUMPTIONS!$C$39,ASSUMPTIONS!$C$40,ASSUMPTIONS!$C$41,ASSUMPTIONS!$C$42),ASSUMPTIONS!$C$68)</f>
        <v/>
      </c>
      <c r="I971" s="83">
        <f>MAX(_xlfn.NORM.INV(RAND(),DCF!$C$11,ASSUMPTIONS!$C$69),K971+0.005)</f>
        <v/>
      </c>
      <c r="J971" s="83">
        <f>_xlfn.NORM.INV(RAND(),ASSUMPTIONS!$C$19,ASSUMPTIONS!$C$70)</f>
        <v/>
      </c>
      <c r="K971" s="83">
        <f>_xlfn.NORM.INV(RAND(),ASSUMPTIONS!$C$43,ASSUMPTIONS!$C$71)</f>
        <v/>
      </c>
      <c r="L971" s="84">
        <f>(((ASSUMPTIONS!$C$18*J971*(1-ASSUMPTIONS!$C$20)+ASSUMPTIONS!$C$18*ASSUMPTIONS!$C$21-ASSUMPTIONS!$C$18*ASSUMPTIONS!$C$22)*(1+H971)*(1-((1+H971)/(1+I971))^5)/(I971-H971))+((ASSUMPTIONS!$C$18*J971*(1-ASSUMPTIONS!$C$20)+ASSUMPTIONS!$C$18*ASSUMPTIONS!$C$21-ASSUMPTIONS!$C$18*ASSUMPTIONS!$C$22)*(1+H971)^5*(1+K971)/(I971-K971)/(1+I971)^5)-DCF!$C$12)/ASSUMPTIONS!$C$7</f>
        <v/>
      </c>
    </row>
    <row r="972">
      <c r="H972" s="83">
        <f>_xlfn.NORM.INV(RAND(),AVERAGE(ASSUMPTIONS!$C$38,ASSUMPTIONS!$C$39,ASSUMPTIONS!$C$40,ASSUMPTIONS!$C$41,ASSUMPTIONS!$C$42),ASSUMPTIONS!$C$68)</f>
        <v/>
      </c>
      <c r="I972" s="83">
        <f>MAX(_xlfn.NORM.INV(RAND(),DCF!$C$11,ASSUMPTIONS!$C$69),K972+0.005)</f>
        <v/>
      </c>
      <c r="J972" s="83">
        <f>_xlfn.NORM.INV(RAND(),ASSUMPTIONS!$C$19,ASSUMPTIONS!$C$70)</f>
        <v/>
      </c>
      <c r="K972" s="83">
        <f>_xlfn.NORM.INV(RAND(),ASSUMPTIONS!$C$43,ASSUMPTIONS!$C$71)</f>
        <v/>
      </c>
      <c r="L972" s="84">
        <f>(((ASSUMPTIONS!$C$18*J972*(1-ASSUMPTIONS!$C$20)+ASSUMPTIONS!$C$18*ASSUMPTIONS!$C$21-ASSUMPTIONS!$C$18*ASSUMPTIONS!$C$22)*(1+H972)*(1-((1+H972)/(1+I972))^5)/(I972-H972))+((ASSUMPTIONS!$C$18*J972*(1-ASSUMPTIONS!$C$20)+ASSUMPTIONS!$C$18*ASSUMPTIONS!$C$21-ASSUMPTIONS!$C$18*ASSUMPTIONS!$C$22)*(1+H972)^5*(1+K972)/(I972-K972)/(1+I972)^5)-DCF!$C$12)/ASSUMPTIONS!$C$7</f>
        <v/>
      </c>
    </row>
    <row r="973">
      <c r="H973" s="83">
        <f>_xlfn.NORM.INV(RAND(),AVERAGE(ASSUMPTIONS!$C$38,ASSUMPTIONS!$C$39,ASSUMPTIONS!$C$40,ASSUMPTIONS!$C$41,ASSUMPTIONS!$C$42),ASSUMPTIONS!$C$68)</f>
        <v/>
      </c>
      <c r="I973" s="83">
        <f>MAX(_xlfn.NORM.INV(RAND(),DCF!$C$11,ASSUMPTIONS!$C$69),K973+0.005)</f>
        <v/>
      </c>
      <c r="J973" s="83">
        <f>_xlfn.NORM.INV(RAND(),ASSUMPTIONS!$C$19,ASSUMPTIONS!$C$70)</f>
        <v/>
      </c>
      <c r="K973" s="83">
        <f>_xlfn.NORM.INV(RAND(),ASSUMPTIONS!$C$43,ASSUMPTIONS!$C$71)</f>
        <v/>
      </c>
      <c r="L973" s="84">
        <f>(((ASSUMPTIONS!$C$18*J973*(1-ASSUMPTIONS!$C$20)+ASSUMPTIONS!$C$18*ASSUMPTIONS!$C$21-ASSUMPTIONS!$C$18*ASSUMPTIONS!$C$22)*(1+H973)*(1-((1+H973)/(1+I973))^5)/(I973-H973))+((ASSUMPTIONS!$C$18*J973*(1-ASSUMPTIONS!$C$20)+ASSUMPTIONS!$C$18*ASSUMPTIONS!$C$21-ASSUMPTIONS!$C$18*ASSUMPTIONS!$C$22)*(1+H973)^5*(1+K973)/(I973-K973)/(1+I973)^5)-DCF!$C$12)/ASSUMPTIONS!$C$7</f>
        <v/>
      </c>
    </row>
    <row r="974">
      <c r="H974" s="83">
        <f>_xlfn.NORM.INV(RAND(),AVERAGE(ASSUMPTIONS!$C$38,ASSUMPTIONS!$C$39,ASSUMPTIONS!$C$40,ASSUMPTIONS!$C$41,ASSUMPTIONS!$C$42),ASSUMPTIONS!$C$68)</f>
        <v/>
      </c>
      <c r="I974" s="83">
        <f>MAX(_xlfn.NORM.INV(RAND(),DCF!$C$11,ASSUMPTIONS!$C$69),K974+0.005)</f>
        <v/>
      </c>
      <c r="J974" s="83">
        <f>_xlfn.NORM.INV(RAND(),ASSUMPTIONS!$C$19,ASSUMPTIONS!$C$70)</f>
        <v/>
      </c>
      <c r="K974" s="83">
        <f>_xlfn.NORM.INV(RAND(),ASSUMPTIONS!$C$43,ASSUMPTIONS!$C$71)</f>
        <v/>
      </c>
      <c r="L974" s="84">
        <f>(((ASSUMPTIONS!$C$18*J974*(1-ASSUMPTIONS!$C$20)+ASSUMPTIONS!$C$18*ASSUMPTIONS!$C$21-ASSUMPTIONS!$C$18*ASSUMPTIONS!$C$22)*(1+H974)*(1-((1+H974)/(1+I974))^5)/(I974-H974))+((ASSUMPTIONS!$C$18*J974*(1-ASSUMPTIONS!$C$20)+ASSUMPTIONS!$C$18*ASSUMPTIONS!$C$21-ASSUMPTIONS!$C$18*ASSUMPTIONS!$C$22)*(1+H974)^5*(1+K974)/(I974-K974)/(1+I974)^5)-DCF!$C$12)/ASSUMPTIONS!$C$7</f>
        <v/>
      </c>
    </row>
    <row r="975">
      <c r="H975" s="83">
        <f>_xlfn.NORM.INV(RAND(),AVERAGE(ASSUMPTIONS!$C$38,ASSUMPTIONS!$C$39,ASSUMPTIONS!$C$40,ASSUMPTIONS!$C$41,ASSUMPTIONS!$C$42),ASSUMPTIONS!$C$68)</f>
        <v/>
      </c>
      <c r="I975" s="83">
        <f>MAX(_xlfn.NORM.INV(RAND(),DCF!$C$11,ASSUMPTIONS!$C$69),K975+0.005)</f>
        <v/>
      </c>
      <c r="J975" s="83">
        <f>_xlfn.NORM.INV(RAND(),ASSUMPTIONS!$C$19,ASSUMPTIONS!$C$70)</f>
        <v/>
      </c>
      <c r="K975" s="83">
        <f>_xlfn.NORM.INV(RAND(),ASSUMPTIONS!$C$43,ASSUMPTIONS!$C$71)</f>
        <v/>
      </c>
      <c r="L975" s="84">
        <f>(((ASSUMPTIONS!$C$18*J975*(1-ASSUMPTIONS!$C$20)+ASSUMPTIONS!$C$18*ASSUMPTIONS!$C$21-ASSUMPTIONS!$C$18*ASSUMPTIONS!$C$22)*(1+H975)*(1-((1+H975)/(1+I975))^5)/(I975-H975))+((ASSUMPTIONS!$C$18*J975*(1-ASSUMPTIONS!$C$20)+ASSUMPTIONS!$C$18*ASSUMPTIONS!$C$21-ASSUMPTIONS!$C$18*ASSUMPTIONS!$C$22)*(1+H975)^5*(1+K975)/(I975-K975)/(1+I975)^5)-DCF!$C$12)/ASSUMPTIONS!$C$7</f>
        <v/>
      </c>
    </row>
    <row r="976">
      <c r="H976" s="83">
        <f>_xlfn.NORM.INV(RAND(),AVERAGE(ASSUMPTIONS!$C$38,ASSUMPTIONS!$C$39,ASSUMPTIONS!$C$40,ASSUMPTIONS!$C$41,ASSUMPTIONS!$C$42),ASSUMPTIONS!$C$68)</f>
        <v/>
      </c>
      <c r="I976" s="83">
        <f>MAX(_xlfn.NORM.INV(RAND(),DCF!$C$11,ASSUMPTIONS!$C$69),K976+0.005)</f>
        <v/>
      </c>
      <c r="J976" s="83">
        <f>_xlfn.NORM.INV(RAND(),ASSUMPTIONS!$C$19,ASSUMPTIONS!$C$70)</f>
        <v/>
      </c>
      <c r="K976" s="83">
        <f>_xlfn.NORM.INV(RAND(),ASSUMPTIONS!$C$43,ASSUMPTIONS!$C$71)</f>
        <v/>
      </c>
      <c r="L976" s="84">
        <f>(((ASSUMPTIONS!$C$18*J976*(1-ASSUMPTIONS!$C$20)+ASSUMPTIONS!$C$18*ASSUMPTIONS!$C$21-ASSUMPTIONS!$C$18*ASSUMPTIONS!$C$22)*(1+H976)*(1-((1+H976)/(1+I976))^5)/(I976-H976))+((ASSUMPTIONS!$C$18*J976*(1-ASSUMPTIONS!$C$20)+ASSUMPTIONS!$C$18*ASSUMPTIONS!$C$21-ASSUMPTIONS!$C$18*ASSUMPTIONS!$C$22)*(1+H976)^5*(1+K976)/(I976-K976)/(1+I976)^5)-DCF!$C$12)/ASSUMPTIONS!$C$7</f>
        <v/>
      </c>
    </row>
    <row r="977">
      <c r="H977" s="83">
        <f>_xlfn.NORM.INV(RAND(),AVERAGE(ASSUMPTIONS!$C$38,ASSUMPTIONS!$C$39,ASSUMPTIONS!$C$40,ASSUMPTIONS!$C$41,ASSUMPTIONS!$C$42),ASSUMPTIONS!$C$68)</f>
        <v/>
      </c>
      <c r="I977" s="83">
        <f>MAX(_xlfn.NORM.INV(RAND(),DCF!$C$11,ASSUMPTIONS!$C$69),K977+0.005)</f>
        <v/>
      </c>
      <c r="J977" s="83">
        <f>_xlfn.NORM.INV(RAND(),ASSUMPTIONS!$C$19,ASSUMPTIONS!$C$70)</f>
        <v/>
      </c>
      <c r="K977" s="83">
        <f>_xlfn.NORM.INV(RAND(),ASSUMPTIONS!$C$43,ASSUMPTIONS!$C$71)</f>
        <v/>
      </c>
      <c r="L977" s="84">
        <f>(((ASSUMPTIONS!$C$18*J977*(1-ASSUMPTIONS!$C$20)+ASSUMPTIONS!$C$18*ASSUMPTIONS!$C$21-ASSUMPTIONS!$C$18*ASSUMPTIONS!$C$22)*(1+H977)*(1-((1+H977)/(1+I977))^5)/(I977-H977))+((ASSUMPTIONS!$C$18*J977*(1-ASSUMPTIONS!$C$20)+ASSUMPTIONS!$C$18*ASSUMPTIONS!$C$21-ASSUMPTIONS!$C$18*ASSUMPTIONS!$C$22)*(1+H977)^5*(1+K977)/(I977-K977)/(1+I977)^5)-DCF!$C$12)/ASSUMPTIONS!$C$7</f>
        <v/>
      </c>
    </row>
    <row r="978">
      <c r="H978" s="83">
        <f>_xlfn.NORM.INV(RAND(),AVERAGE(ASSUMPTIONS!$C$38,ASSUMPTIONS!$C$39,ASSUMPTIONS!$C$40,ASSUMPTIONS!$C$41,ASSUMPTIONS!$C$42),ASSUMPTIONS!$C$68)</f>
        <v/>
      </c>
      <c r="I978" s="83">
        <f>MAX(_xlfn.NORM.INV(RAND(),DCF!$C$11,ASSUMPTIONS!$C$69),K978+0.005)</f>
        <v/>
      </c>
      <c r="J978" s="83">
        <f>_xlfn.NORM.INV(RAND(),ASSUMPTIONS!$C$19,ASSUMPTIONS!$C$70)</f>
        <v/>
      </c>
      <c r="K978" s="83">
        <f>_xlfn.NORM.INV(RAND(),ASSUMPTIONS!$C$43,ASSUMPTIONS!$C$71)</f>
        <v/>
      </c>
      <c r="L978" s="84">
        <f>(((ASSUMPTIONS!$C$18*J978*(1-ASSUMPTIONS!$C$20)+ASSUMPTIONS!$C$18*ASSUMPTIONS!$C$21-ASSUMPTIONS!$C$18*ASSUMPTIONS!$C$22)*(1+H978)*(1-((1+H978)/(1+I978))^5)/(I978-H978))+((ASSUMPTIONS!$C$18*J978*(1-ASSUMPTIONS!$C$20)+ASSUMPTIONS!$C$18*ASSUMPTIONS!$C$21-ASSUMPTIONS!$C$18*ASSUMPTIONS!$C$22)*(1+H978)^5*(1+K978)/(I978-K978)/(1+I978)^5)-DCF!$C$12)/ASSUMPTIONS!$C$7</f>
        <v/>
      </c>
    </row>
    <row r="979">
      <c r="H979" s="83">
        <f>_xlfn.NORM.INV(RAND(),AVERAGE(ASSUMPTIONS!$C$38,ASSUMPTIONS!$C$39,ASSUMPTIONS!$C$40,ASSUMPTIONS!$C$41,ASSUMPTIONS!$C$42),ASSUMPTIONS!$C$68)</f>
        <v/>
      </c>
      <c r="I979" s="83">
        <f>MAX(_xlfn.NORM.INV(RAND(),DCF!$C$11,ASSUMPTIONS!$C$69),K979+0.005)</f>
        <v/>
      </c>
      <c r="J979" s="83">
        <f>_xlfn.NORM.INV(RAND(),ASSUMPTIONS!$C$19,ASSUMPTIONS!$C$70)</f>
        <v/>
      </c>
      <c r="K979" s="83">
        <f>_xlfn.NORM.INV(RAND(),ASSUMPTIONS!$C$43,ASSUMPTIONS!$C$71)</f>
        <v/>
      </c>
      <c r="L979" s="84">
        <f>(((ASSUMPTIONS!$C$18*J979*(1-ASSUMPTIONS!$C$20)+ASSUMPTIONS!$C$18*ASSUMPTIONS!$C$21-ASSUMPTIONS!$C$18*ASSUMPTIONS!$C$22)*(1+H979)*(1-((1+H979)/(1+I979))^5)/(I979-H979))+((ASSUMPTIONS!$C$18*J979*(1-ASSUMPTIONS!$C$20)+ASSUMPTIONS!$C$18*ASSUMPTIONS!$C$21-ASSUMPTIONS!$C$18*ASSUMPTIONS!$C$22)*(1+H979)^5*(1+K979)/(I979-K979)/(1+I979)^5)-DCF!$C$12)/ASSUMPTIONS!$C$7</f>
        <v/>
      </c>
    </row>
    <row r="980">
      <c r="H980" s="83">
        <f>_xlfn.NORM.INV(RAND(),AVERAGE(ASSUMPTIONS!$C$38,ASSUMPTIONS!$C$39,ASSUMPTIONS!$C$40,ASSUMPTIONS!$C$41,ASSUMPTIONS!$C$42),ASSUMPTIONS!$C$68)</f>
        <v/>
      </c>
      <c r="I980" s="83">
        <f>MAX(_xlfn.NORM.INV(RAND(),DCF!$C$11,ASSUMPTIONS!$C$69),K980+0.005)</f>
        <v/>
      </c>
      <c r="J980" s="83">
        <f>_xlfn.NORM.INV(RAND(),ASSUMPTIONS!$C$19,ASSUMPTIONS!$C$70)</f>
        <v/>
      </c>
      <c r="K980" s="83">
        <f>_xlfn.NORM.INV(RAND(),ASSUMPTIONS!$C$43,ASSUMPTIONS!$C$71)</f>
        <v/>
      </c>
      <c r="L980" s="84">
        <f>(((ASSUMPTIONS!$C$18*J980*(1-ASSUMPTIONS!$C$20)+ASSUMPTIONS!$C$18*ASSUMPTIONS!$C$21-ASSUMPTIONS!$C$18*ASSUMPTIONS!$C$22)*(1+H980)*(1-((1+H980)/(1+I980))^5)/(I980-H980))+((ASSUMPTIONS!$C$18*J980*(1-ASSUMPTIONS!$C$20)+ASSUMPTIONS!$C$18*ASSUMPTIONS!$C$21-ASSUMPTIONS!$C$18*ASSUMPTIONS!$C$22)*(1+H980)^5*(1+K980)/(I980-K980)/(1+I980)^5)-DCF!$C$12)/ASSUMPTIONS!$C$7</f>
        <v/>
      </c>
    </row>
    <row r="981">
      <c r="H981" s="83">
        <f>_xlfn.NORM.INV(RAND(),AVERAGE(ASSUMPTIONS!$C$38,ASSUMPTIONS!$C$39,ASSUMPTIONS!$C$40,ASSUMPTIONS!$C$41,ASSUMPTIONS!$C$42),ASSUMPTIONS!$C$68)</f>
        <v/>
      </c>
      <c r="I981" s="83">
        <f>MAX(_xlfn.NORM.INV(RAND(),DCF!$C$11,ASSUMPTIONS!$C$69),K981+0.005)</f>
        <v/>
      </c>
      <c r="J981" s="83">
        <f>_xlfn.NORM.INV(RAND(),ASSUMPTIONS!$C$19,ASSUMPTIONS!$C$70)</f>
        <v/>
      </c>
      <c r="K981" s="83">
        <f>_xlfn.NORM.INV(RAND(),ASSUMPTIONS!$C$43,ASSUMPTIONS!$C$71)</f>
        <v/>
      </c>
      <c r="L981" s="84">
        <f>(((ASSUMPTIONS!$C$18*J981*(1-ASSUMPTIONS!$C$20)+ASSUMPTIONS!$C$18*ASSUMPTIONS!$C$21-ASSUMPTIONS!$C$18*ASSUMPTIONS!$C$22)*(1+H981)*(1-((1+H981)/(1+I981))^5)/(I981-H981))+((ASSUMPTIONS!$C$18*J981*(1-ASSUMPTIONS!$C$20)+ASSUMPTIONS!$C$18*ASSUMPTIONS!$C$21-ASSUMPTIONS!$C$18*ASSUMPTIONS!$C$22)*(1+H981)^5*(1+K981)/(I981-K981)/(1+I981)^5)-DCF!$C$12)/ASSUMPTIONS!$C$7</f>
        <v/>
      </c>
    </row>
    <row r="982">
      <c r="H982" s="83">
        <f>_xlfn.NORM.INV(RAND(),AVERAGE(ASSUMPTIONS!$C$38,ASSUMPTIONS!$C$39,ASSUMPTIONS!$C$40,ASSUMPTIONS!$C$41,ASSUMPTIONS!$C$42),ASSUMPTIONS!$C$68)</f>
        <v/>
      </c>
      <c r="I982" s="83">
        <f>MAX(_xlfn.NORM.INV(RAND(),DCF!$C$11,ASSUMPTIONS!$C$69),K982+0.005)</f>
        <v/>
      </c>
      <c r="J982" s="83">
        <f>_xlfn.NORM.INV(RAND(),ASSUMPTIONS!$C$19,ASSUMPTIONS!$C$70)</f>
        <v/>
      </c>
      <c r="K982" s="83">
        <f>_xlfn.NORM.INV(RAND(),ASSUMPTIONS!$C$43,ASSUMPTIONS!$C$71)</f>
        <v/>
      </c>
      <c r="L982" s="84">
        <f>(((ASSUMPTIONS!$C$18*J982*(1-ASSUMPTIONS!$C$20)+ASSUMPTIONS!$C$18*ASSUMPTIONS!$C$21-ASSUMPTIONS!$C$18*ASSUMPTIONS!$C$22)*(1+H982)*(1-((1+H982)/(1+I982))^5)/(I982-H982))+((ASSUMPTIONS!$C$18*J982*(1-ASSUMPTIONS!$C$20)+ASSUMPTIONS!$C$18*ASSUMPTIONS!$C$21-ASSUMPTIONS!$C$18*ASSUMPTIONS!$C$22)*(1+H982)^5*(1+K982)/(I982-K982)/(1+I982)^5)-DCF!$C$12)/ASSUMPTIONS!$C$7</f>
        <v/>
      </c>
    </row>
    <row r="983">
      <c r="H983" s="83">
        <f>_xlfn.NORM.INV(RAND(),AVERAGE(ASSUMPTIONS!$C$38,ASSUMPTIONS!$C$39,ASSUMPTIONS!$C$40,ASSUMPTIONS!$C$41,ASSUMPTIONS!$C$42),ASSUMPTIONS!$C$68)</f>
        <v/>
      </c>
      <c r="I983" s="83">
        <f>MAX(_xlfn.NORM.INV(RAND(),DCF!$C$11,ASSUMPTIONS!$C$69),K983+0.005)</f>
        <v/>
      </c>
      <c r="J983" s="83">
        <f>_xlfn.NORM.INV(RAND(),ASSUMPTIONS!$C$19,ASSUMPTIONS!$C$70)</f>
        <v/>
      </c>
      <c r="K983" s="83">
        <f>_xlfn.NORM.INV(RAND(),ASSUMPTIONS!$C$43,ASSUMPTIONS!$C$71)</f>
        <v/>
      </c>
      <c r="L983" s="84">
        <f>(((ASSUMPTIONS!$C$18*J983*(1-ASSUMPTIONS!$C$20)+ASSUMPTIONS!$C$18*ASSUMPTIONS!$C$21-ASSUMPTIONS!$C$18*ASSUMPTIONS!$C$22)*(1+H983)*(1-((1+H983)/(1+I983))^5)/(I983-H983))+((ASSUMPTIONS!$C$18*J983*(1-ASSUMPTIONS!$C$20)+ASSUMPTIONS!$C$18*ASSUMPTIONS!$C$21-ASSUMPTIONS!$C$18*ASSUMPTIONS!$C$22)*(1+H983)^5*(1+K983)/(I983-K983)/(1+I983)^5)-DCF!$C$12)/ASSUMPTIONS!$C$7</f>
        <v/>
      </c>
    </row>
    <row r="984">
      <c r="H984" s="83">
        <f>_xlfn.NORM.INV(RAND(),AVERAGE(ASSUMPTIONS!$C$38,ASSUMPTIONS!$C$39,ASSUMPTIONS!$C$40,ASSUMPTIONS!$C$41,ASSUMPTIONS!$C$42),ASSUMPTIONS!$C$68)</f>
        <v/>
      </c>
      <c r="I984" s="83">
        <f>MAX(_xlfn.NORM.INV(RAND(),DCF!$C$11,ASSUMPTIONS!$C$69),K984+0.005)</f>
        <v/>
      </c>
      <c r="J984" s="83">
        <f>_xlfn.NORM.INV(RAND(),ASSUMPTIONS!$C$19,ASSUMPTIONS!$C$70)</f>
        <v/>
      </c>
      <c r="K984" s="83">
        <f>_xlfn.NORM.INV(RAND(),ASSUMPTIONS!$C$43,ASSUMPTIONS!$C$71)</f>
        <v/>
      </c>
      <c r="L984" s="84">
        <f>(((ASSUMPTIONS!$C$18*J984*(1-ASSUMPTIONS!$C$20)+ASSUMPTIONS!$C$18*ASSUMPTIONS!$C$21-ASSUMPTIONS!$C$18*ASSUMPTIONS!$C$22)*(1+H984)*(1-((1+H984)/(1+I984))^5)/(I984-H984))+((ASSUMPTIONS!$C$18*J984*(1-ASSUMPTIONS!$C$20)+ASSUMPTIONS!$C$18*ASSUMPTIONS!$C$21-ASSUMPTIONS!$C$18*ASSUMPTIONS!$C$22)*(1+H984)^5*(1+K984)/(I984-K984)/(1+I984)^5)-DCF!$C$12)/ASSUMPTIONS!$C$7</f>
        <v/>
      </c>
    </row>
    <row r="985">
      <c r="H985" s="83">
        <f>_xlfn.NORM.INV(RAND(),AVERAGE(ASSUMPTIONS!$C$38,ASSUMPTIONS!$C$39,ASSUMPTIONS!$C$40,ASSUMPTIONS!$C$41,ASSUMPTIONS!$C$42),ASSUMPTIONS!$C$68)</f>
        <v/>
      </c>
      <c r="I985" s="83">
        <f>MAX(_xlfn.NORM.INV(RAND(),DCF!$C$11,ASSUMPTIONS!$C$69),K985+0.005)</f>
        <v/>
      </c>
      <c r="J985" s="83">
        <f>_xlfn.NORM.INV(RAND(),ASSUMPTIONS!$C$19,ASSUMPTIONS!$C$70)</f>
        <v/>
      </c>
      <c r="K985" s="83">
        <f>_xlfn.NORM.INV(RAND(),ASSUMPTIONS!$C$43,ASSUMPTIONS!$C$71)</f>
        <v/>
      </c>
      <c r="L985" s="84">
        <f>(((ASSUMPTIONS!$C$18*J985*(1-ASSUMPTIONS!$C$20)+ASSUMPTIONS!$C$18*ASSUMPTIONS!$C$21-ASSUMPTIONS!$C$18*ASSUMPTIONS!$C$22)*(1+H985)*(1-((1+H985)/(1+I985))^5)/(I985-H985))+((ASSUMPTIONS!$C$18*J985*(1-ASSUMPTIONS!$C$20)+ASSUMPTIONS!$C$18*ASSUMPTIONS!$C$21-ASSUMPTIONS!$C$18*ASSUMPTIONS!$C$22)*(1+H985)^5*(1+K985)/(I985-K985)/(1+I985)^5)-DCF!$C$12)/ASSUMPTIONS!$C$7</f>
        <v/>
      </c>
    </row>
    <row r="986">
      <c r="H986" s="83">
        <f>_xlfn.NORM.INV(RAND(),AVERAGE(ASSUMPTIONS!$C$38,ASSUMPTIONS!$C$39,ASSUMPTIONS!$C$40,ASSUMPTIONS!$C$41,ASSUMPTIONS!$C$42),ASSUMPTIONS!$C$68)</f>
        <v/>
      </c>
      <c r="I986" s="83">
        <f>MAX(_xlfn.NORM.INV(RAND(),DCF!$C$11,ASSUMPTIONS!$C$69),K986+0.005)</f>
        <v/>
      </c>
      <c r="J986" s="83">
        <f>_xlfn.NORM.INV(RAND(),ASSUMPTIONS!$C$19,ASSUMPTIONS!$C$70)</f>
        <v/>
      </c>
      <c r="K986" s="83">
        <f>_xlfn.NORM.INV(RAND(),ASSUMPTIONS!$C$43,ASSUMPTIONS!$C$71)</f>
        <v/>
      </c>
      <c r="L986" s="84">
        <f>(((ASSUMPTIONS!$C$18*J986*(1-ASSUMPTIONS!$C$20)+ASSUMPTIONS!$C$18*ASSUMPTIONS!$C$21-ASSUMPTIONS!$C$18*ASSUMPTIONS!$C$22)*(1+H986)*(1-((1+H986)/(1+I986))^5)/(I986-H986))+((ASSUMPTIONS!$C$18*J986*(1-ASSUMPTIONS!$C$20)+ASSUMPTIONS!$C$18*ASSUMPTIONS!$C$21-ASSUMPTIONS!$C$18*ASSUMPTIONS!$C$22)*(1+H986)^5*(1+K986)/(I986-K986)/(1+I986)^5)-DCF!$C$12)/ASSUMPTIONS!$C$7</f>
        <v/>
      </c>
    </row>
    <row r="987">
      <c r="H987" s="83">
        <f>_xlfn.NORM.INV(RAND(),AVERAGE(ASSUMPTIONS!$C$38,ASSUMPTIONS!$C$39,ASSUMPTIONS!$C$40,ASSUMPTIONS!$C$41,ASSUMPTIONS!$C$42),ASSUMPTIONS!$C$68)</f>
        <v/>
      </c>
      <c r="I987" s="83">
        <f>MAX(_xlfn.NORM.INV(RAND(),DCF!$C$11,ASSUMPTIONS!$C$69),K987+0.005)</f>
        <v/>
      </c>
      <c r="J987" s="83">
        <f>_xlfn.NORM.INV(RAND(),ASSUMPTIONS!$C$19,ASSUMPTIONS!$C$70)</f>
        <v/>
      </c>
      <c r="K987" s="83">
        <f>_xlfn.NORM.INV(RAND(),ASSUMPTIONS!$C$43,ASSUMPTIONS!$C$71)</f>
        <v/>
      </c>
      <c r="L987" s="84">
        <f>(((ASSUMPTIONS!$C$18*J987*(1-ASSUMPTIONS!$C$20)+ASSUMPTIONS!$C$18*ASSUMPTIONS!$C$21-ASSUMPTIONS!$C$18*ASSUMPTIONS!$C$22)*(1+H987)*(1-((1+H987)/(1+I987))^5)/(I987-H987))+((ASSUMPTIONS!$C$18*J987*(1-ASSUMPTIONS!$C$20)+ASSUMPTIONS!$C$18*ASSUMPTIONS!$C$21-ASSUMPTIONS!$C$18*ASSUMPTIONS!$C$22)*(1+H987)^5*(1+K987)/(I987-K987)/(1+I987)^5)-DCF!$C$12)/ASSUMPTIONS!$C$7</f>
        <v/>
      </c>
    </row>
    <row r="988">
      <c r="H988" s="83">
        <f>_xlfn.NORM.INV(RAND(),AVERAGE(ASSUMPTIONS!$C$38,ASSUMPTIONS!$C$39,ASSUMPTIONS!$C$40,ASSUMPTIONS!$C$41,ASSUMPTIONS!$C$42),ASSUMPTIONS!$C$68)</f>
        <v/>
      </c>
      <c r="I988" s="83">
        <f>MAX(_xlfn.NORM.INV(RAND(),DCF!$C$11,ASSUMPTIONS!$C$69),K988+0.005)</f>
        <v/>
      </c>
      <c r="J988" s="83">
        <f>_xlfn.NORM.INV(RAND(),ASSUMPTIONS!$C$19,ASSUMPTIONS!$C$70)</f>
        <v/>
      </c>
      <c r="K988" s="83">
        <f>_xlfn.NORM.INV(RAND(),ASSUMPTIONS!$C$43,ASSUMPTIONS!$C$71)</f>
        <v/>
      </c>
      <c r="L988" s="84">
        <f>(((ASSUMPTIONS!$C$18*J988*(1-ASSUMPTIONS!$C$20)+ASSUMPTIONS!$C$18*ASSUMPTIONS!$C$21-ASSUMPTIONS!$C$18*ASSUMPTIONS!$C$22)*(1+H988)*(1-((1+H988)/(1+I988))^5)/(I988-H988))+((ASSUMPTIONS!$C$18*J988*(1-ASSUMPTIONS!$C$20)+ASSUMPTIONS!$C$18*ASSUMPTIONS!$C$21-ASSUMPTIONS!$C$18*ASSUMPTIONS!$C$22)*(1+H988)^5*(1+K988)/(I988-K988)/(1+I988)^5)-DCF!$C$12)/ASSUMPTIONS!$C$7</f>
        <v/>
      </c>
    </row>
    <row r="989">
      <c r="H989" s="83">
        <f>_xlfn.NORM.INV(RAND(),AVERAGE(ASSUMPTIONS!$C$38,ASSUMPTIONS!$C$39,ASSUMPTIONS!$C$40,ASSUMPTIONS!$C$41,ASSUMPTIONS!$C$42),ASSUMPTIONS!$C$68)</f>
        <v/>
      </c>
      <c r="I989" s="83">
        <f>MAX(_xlfn.NORM.INV(RAND(),DCF!$C$11,ASSUMPTIONS!$C$69),K989+0.005)</f>
        <v/>
      </c>
      <c r="J989" s="83">
        <f>_xlfn.NORM.INV(RAND(),ASSUMPTIONS!$C$19,ASSUMPTIONS!$C$70)</f>
        <v/>
      </c>
      <c r="K989" s="83">
        <f>_xlfn.NORM.INV(RAND(),ASSUMPTIONS!$C$43,ASSUMPTIONS!$C$71)</f>
        <v/>
      </c>
      <c r="L989" s="84">
        <f>(((ASSUMPTIONS!$C$18*J989*(1-ASSUMPTIONS!$C$20)+ASSUMPTIONS!$C$18*ASSUMPTIONS!$C$21-ASSUMPTIONS!$C$18*ASSUMPTIONS!$C$22)*(1+H989)*(1-((1+H989)/(1+I989))^5)/(I989-H989))+((ASSUMPTIONS!$C$18*J989*(1-ASSUMPTIONS!$C$20)+ASSUMPTIONS!$C$18*ASSUMPTIONS!$C$21-ASSUMPTIONS!$C$18*ASSUMPTIONS!$C$22)*(1+H989)^5*(1+K989)/(I989-K989)/(1+I989)^5)-DCF!$C$12)/ASSUMPTIONS!$C$7</f>
        <v/>
      </c>
    </row>
    <row r="990">
      <c r="H990" s="83">
        <f>_xlfn.NORM.INV(RAND(),AVERAGE(ASSUMPTIONS!$C$38,ASSUMPTIONS!$C$39,ASSUMPTIONS!$C$40,ASSUMPTIONS!$C$41,ASSUMPTIONS!$C$42),ASSUMPTIONS!$C$68)</f>
        <v/>
      </c>
      <c r="I990" s="83">
        <f>MAX(_xlfn.NORM.INV(RAND(),DCF!$C$11,ASSUMPTIONS!$C$69),K990+0.005)</f>
        <v/>
      </c>
      <c r="J990" s="83">
        <f>_xlfn.NORM.INV(RAND(),ASSUMPTIONS!$C$19,ASSUMPTIONS!$C$70)</f>
        <v/>
      </c>
      <c r="K990" s="83">
        <f>_xlfn.NORM.INV(RAND(),ASSUMPTIONS!$C$43,ASSUMPTIONS!$C$71)</f>
        <v/>
      </c>
      <c r="L990" s="84">
        <f>(((ASSUMPTIONS!$C$18*J990*(1-ASSUMPTIONS!$C$20)+ASSUMPTIONS!$C$18*ASSUMPTIONS!$C$21-ASSUMPTIONS!$C$18*ASSUMPTIONS!$C$22)*(1+H990)*(1-((1+H990)/(1+I990))^5)/(I990-H990))+((ASSUMPTIONS!$C$18*J990*(1-ASSUMPTIONS!$C$20)+ASSUMPTIONS!$C$18*ASSUMPTIONS!$C$21-ASSUMPTIONS!$C$18*ASSUMPTIONS!$C$22)*(1+H990)^5*(1+K990)/(I990-K990)/(1+I990)^5)-DCF!$C$12)/ASSUMPTIONS!$C$7</f>
        <v/>
      </c>
    </row>
    <row r="991">
      <c r="H991" s="83">
        <f>_xlfn.NORM.INV(RAND(),AVERAGE(ASSUMPTIONS!$C$38,ASSUMPTIONS!$C$39,ASSUMPTIONS!$C$40,ASSUMPTIONS!$C$41,ASSUMPTIONS!$C$42),ASSUMPTIONS!$C$68)</f>
        <v/>
      </c>
      <c r="I991" s="83">
        <f>MAX(_xlfn.NORM.INV(RAND(),DCF!$C$11,ASSUMPTIONS!$C$69),K991+0.005)</f>
        <v/>
      </c>
      <c r="J991" s="83">
        <f>_xlfn.NORM.INV(RAND(),ASSUMPTIONS!$C$19,ASSUMPTIONS!$C$70)</f>
        <v/>
      </c>
      <c r="K991" s="83">
        <f>_xlfn.NORM.INV(RAND(),ASSUMPTIONS!$C$43,ASSUMPTIONS!$C$71)</f>
        <v/>
      </c>
      <c r="L991" s="84">
        <f>(((ASSUMPTIONS!$C$18*J991*(1-ASSUMPTIONS!$C$20)+ASSUMPTIONS!$C$18*ASSUMPTIONS!$C$21-ASSUMPTIONS!$C$18*ASSUMPTIONS!$C$22)*(1+H991)*(1-((1+H991)/(1+I991))^5)/(I991-H991))+((ASSUMPTIONS!$C$18*J991*(1-ASSUMPTIONS!$C$20)+ASSUMPTIONS!$C$18*ASSUMPTIONS!$C$21-ASSUMPTIONS!$C$18*ASSUMPTIONS!$C$22)*(1+H991)^5*(1+K991)/(I991-K991)/(1+I991)^5)-DCF!$C$12)/ASSUMPTIONS!$C$7</f>
        <v/>
      </c>
    </row>
    <row r="992">
      <c r="H992" s="83">
        <f>_xlfn.NORM.INV(RAND(),AVERAGE(ASSUMPTIONS!$C$38,ASSUMPTIONS!$C$39,ASSUMPTIONS!$C$40,ASSUMPTIONS!$C$41,ASSUMPTIONS!$C$42),ASSUMPTIONS!$C$68)</f>
        <v/>
      </c>
      <c r="I992" s="83">
        <f>MAX(_xlfn.NORM.INV(RAND(),DCF!$C$11,ASSUMPTIONS!$C$69),K992+0.005)</f>
        <v/>
      </c>
      <c r="J992" s="83">
        <f>_xlfn.NORM.INV(RAND(),ASSUMPTIONS!$C$19,ASSUMPTIONS!$C$70)</f>
        <v/>
      </c>
      <c r="K992" s="83">
        <f>_xlfn.NORM.INV(RAND(),ASSUMPTIONS!$C$43,ASSUMPTIONS!$C$71)</f>
        <v/>
      </c>
      <c r="L992" s="84">
        <f>(((ASSUMPTIONS!$C$18*J992*(1-ASSUMPTIONS!$C$20)+ASSUMPTIONS!$C$18*ASSUMPTIONS!$C$21-ASSUMPTIONS!$C$18*ASSUMPTIONS!$C$22)*(1+H992)*(1-((1+H992)/(1+I992))^5)/(I992-H992))+((ASSUMPTIONS!$C$18*J992*(1-ASSUMPTIONS!$C$20)+ASSUMPTIONS!$C$18*ASSUMPTIONS!$C$21-ASSUMPTIONS!$C$18*ASSUMPTIONS!$C$22)*(1+H992)^5*(1+K992)/(I992-K992)/(1+I992)^5)-DCF!$C$12)/ASSUMPTIONS!$C$7</f>
        <v/>
      </c>
    </row>
    <row r="993">
      <c r="H993" s="83">
        <f>_xlfn.NORM.INV(RAND(),AVERAGE(ASSUMPTIONS!$C$38,ASSUMPTIONS!$C$39,ASSUMPTIONS!$C$40,ASSUMPTIONS!$C$41,ASSUMPTIONS!$C$42),ASSUMPTIONS!$C$68)</f>
        <v/>
      </c>
      <c r="I993" s="83">
        <f>MAX(_xlfn.NORM.INV(RAND(),DCF!$C$11,ASSUMPTIONS!$C$69),K993+0.005)</f>
        <v/>
      </c>
      <c r="J993" s="83">
        <f>_xlfn.NORM.INV(RAND(),ASSUMPTIONS!$C$19,ASSUMPTIONS!$C$70)</f>
        <v/>
      </c>
      <c r="K993" s="83">
        <f>_xlfn.NORM.INV(RAND(),ASSUMPTIONS!$C$43,ASSUMPTIONS!$C$71)</f>
        <v/>
      </c>
      <c r="L993" s="84">
        <f>(((ASSUMPTIONS!$C$18*J993*(1-ASSUMPTIONS!$C$20)+ASSUMPTIONS!$C$18*ASSUMPTIONS!$C$21-ASSUMPTIONS!$C$18*ASSUMPTIONS!$C$22)*(1+H993)*(1-((1+H993)/(1+I993))^5)/(I993-H993))+((ASSUMPTIONS!$C$18*J993*(1-ASSUMPTIONS!$C$20)+ASSUMPTIONS!$C$18*ASSUMPTIONS!$C$21-ASSUMPTIONS!$C$18*ASSUMPTIONS!$C$22)*(1+H993)^5*(1+K993)/(I993-K993)/(1+I993)^5)-DCF!$C$12)/ASSUMPTIONS!$C$7</f>
        <v/>
      </c>
    </row>
    <row r="994">
      <c r="H994" s="83">
        <f>_xlfn.NORM.INV(RAND(),AVERAGE(ASSUMPTIONS!$C$38,ASSUMPTIONS!$C$39,ASSUMPTIONS!$C$40,ASSUMPTIONS!$C$41,ASSUMPTIONS!$C$42),ASSUMPTIONS!$C$68)</f>
        <v/>
      </c>
      <c r="I994" s="83">
        <f>MAX(_xlfn.NORM.INV(RAND(),DCF!$C$11,ASSUMPTIONS!$C$69),K994+0.005)</f>
        <v/>
      </c>
      <c r="J994" s="83">
        <f>_xlfn.NORM.INV(RAND(),ASSUMPTIONS!$C$19,ASSUMPTIONS!$C$70)</f>
        <v/>
      </c>
      <c r="K994" s="83">
        <f>_xlfn.NORM.INV(RAND(),ASSUMPTIONS!$C$43,ASSUMPTIONS!$C$71)</f>
        <v/>
      </c>
      <c r="L994" s="84">
        <f>(((ASSUMPTIONS!$C$18*J994*(1-ASSUMPTIONS!$C$20)+ASSUMPTIONS!$C$18*ASSUMPTIONS!$C$21-ASSUMPTIONS!$C$18*ASSUMPTIONS!$C$22)*(1+H994)*(1-((1+H994)/(1+I994))^5)/(I994-H994))+((ASSUMPTIONS!$C$18*J994*(1-ASSUMPTIONS!$C$20)+ASSUMPTIONS!$C$18*ASSUMPTIONS!$C$21-ASSUMPTIONS!$C$18*ASSUMPTIONS!$C$22)*(1+H994)^5*(1+K994)/(I994-K994)/(1+I994)^5)-DCF!$C$12)/ASSUMPTIONS!$C$7</f>
        <v/>
      </c>
    </row>
    <row r="995">
      <c r="H995" s="83">
        <f>_xlfn.NORM.INV(RAND(),AVERAGE(ASSUMPTIONS!$C$38,ASSUMPTIONS!$C$39,ASSUMPTIONS!$C$40,ASSUMPTIONS!$C$41,ASSUMPTIONS!$C$42),ASSUMPTIONS!$C$68)</f>
        <v/>
      </c>
      <c r="I995" s="83">
        <f>MAX(_xlfn.NORM.INV(RAND(),DCF!$C$11,ASSUMPTIONS!$C$69),K995+0.005)</f>
        <v/>
      </c>
      <c r="J995" s="83">
        <f>_xlfn.NORM.INV(RAND(),ASSUMPTIONS!$C$19,ASSUMPTIONS!$C$70)</f>
        <v/>
      </c>
      <c r="K995" s="83">
        <f>_xlfn.NORM.INV(RAND(),ASSUMPTIONS!$C$43,ASSUMPTIONS!$C$71)</f>
        <v/>
      </c>
      <c r="L995" s="84">
        <f>(((ASSUMPTIONS!$C$18*J995*(1-ASSUMPTIONS!$C$20)+ASSUMPTIONS!$C$18*ASSUMPTIONS!$C$21-ASSUMPTIONS!$C$18*ASSUMPTIONS!$C$22)*(1+H995)*(1-((1+H995)/(1+I995))^5)/(I995-H995))+((ASSUMPTIONS!$C$18*J995*(1-ASSUMPTIONS!$C$20)+ASSUMPTIONS!$C$18*ASSUMPTIONS!$C$21-ASSUMPTIONS!$C$18*ASSUMPTIONS!$C$22)*(1+H995)^5*(1+K995)/(I995-K995)/(1+I995)^5)-DCF!$C$12)/ASSUMPTIONS!$C$7</f>
        <v/>
      </c>
    </row>
    <row r="996">
      <c r="H996" s="83">
        <f>_xlfn.NORM.INV(RAND(),AVERAGE(ASSUMPTIONS!$C$38,ASSUMPTIONS!$C$39,ASSUMPTIONS!$C$40,ASSUMPTIONS!$C$41,ASSUMPTIONS!$C$42),ASSUMPTIONS!$C$68)</f>
        <v/>
      </c>
      <c r="I996" s="83">
        <f>MAX(_xlfn.NORM.INV(RAND(),DCF!$C$11,ASSUMPTIONS!$C$69),K996+0.005)</f>
        <v/>
      </c>
      <c r="J996" s="83">
        <f>_xlfn.NORM.INV(RAND(),ASSUMPTIONS!$C$19,ASSUMPTIONS!$C$70)</f>
        <v/>
      </c>
      <c r="K996" s="83">
        <f>_xlfn.NORM.INV(RAND(),ASSUMPTIONS!$C$43,ASSUMPTIONS!$C$71)</f>
        <v/>
      </c>
      <c r="L996" s="84">
        <f>(((ASSUMPTIONS!$C$18*J996*(1-ASSUMPTIONS!$C$20)+ASSUMPTIONS!$C$18*ASSUMPTIONS!$C$21-ASSUMPTIONS!$C$18*ASSUMPTIONS!$C$22)*(1+H996)*(1-((1+H996)/(1+I996))^5)/(I996-H996))+((ASSUMPTIONS!$C$18*J996*(1-ASSUMPTIONS!$C$20)+ASSUMPTIONS!$C$18*ASSUMPTIONS!$C$21-ASSUMPTIONS!$C$18*ASSUMPTIONS!$C$22)*(1+H996)^5*(1+K996)/(I996-K996)/(1+I996)^5)-DCF!$C$12)/ASSUMPTIONS!$C$7</f>
        <v/>
      </c>
    </row>
    <row r="997">
      <c r="H997" s="83">
        <f>_xlfn.NORM.INV(RAND(),AVERAGE(ASSUMPTIONS!$C$38,ASSUMPTIONS!$C$39,ASSUMPTIONS!$C$40,ASSUMPTIONS!$C$41,ASSUMPTIONS!$C$42),ASSUMPTIONS!$C$68)</f>
        <v/>
      </c>
      <c r="I997" s="83">
        <f>MAX(_xlfn.NORM.INV(RAND(),DCF!$C$11,ASSUMPTIONS!$C$69),K997+0.005)</f>
        <v/>
      </c>
      <c r="J997" s="83">
        <f>_xlfn.NORM.INV(RAND(),ASSUMPTIONS!$C$19,ASSUMPTIONS!$C$70)</f>
        <v/>
      </c>
      <c r="K997" s="83">
        <f>_xlfn.NORM.INV(RAND(),ASSUMPTIONS!$C$43,ASSUMPTIONS!$C$71)</f>
        <v/>
      </c>
      <c r="L997" s="84">
        <f>(((ASSUMPTIONS!$C$18*J997*(1-ASSUMPTIONS!$C$20)+ASSUMPTIONS!$C$18*ASSUMPTIONS!$C$21-ASSUMPTIONS!$C$18*ASSUMPTIONS!$C$22)*(1+H997)*(1-((1+H997)/(1+I997))^5)/(I997-H997))+((ASSUMPTIONS!$C$18*J997*(1-ASSUMPTIONS!$C$20)+ASSUMPTIONS!$C$18*ASSUMPTIONS!$C$21-ASSUMPTIONS!$C$18*ASSUMPTIONS!$C$22)*(1+H997)^5*(1+K997)/(I997-K997)/(1+I997)^5)-DCF!$C$12)/ASSUMPTIONS!$C$7</f>
        <v/>
      </c>
    </row>
    <row r="998">
      <c r="H998" s="83">
        <f>_xlfn.NORM.INV(RAND(),AVERAGE(ASSUMPTIONS!$C$38,ASSUMPTIONS!$C$39,ASSUMPTIONS!$C$40,ASSUMPTIONS!$C$41,ASSUMPTIONS!$C$42),ASSUMPTIONS!$C$68)</f>
        <v/>
      </c>
      <c r="I998" s="83">
        <f>MAX(_xlfn.NORM.INV(RAND(),DCF!$C$11,ASSUMPTIONS!$C$69),K998+0.005)</f>
        <v/>
      </c>
      <c r="J998" s="83">
        <f>_xlfn.NORM.INV(RAND(),ASSUMPTIONS!$C$19,ASSUMPTIONS!$C$70)</f>
        <v/>
      </c>
      <c r="K998" s="83">
        <f>_xlfn.NORM.INV(RAND(),ASSUMPTIONS!$C$43,ASSUMPTIONS!$C$71)</f>
        <v/>
      </c>
      <c r="L998" s="84">
        <f>(((ASSUMPTIONS!$C$18*J998*(1-ASSUMPTIONS!$C$20)+ASSUMPTIONS!$C$18*ASSUMPTIONS!$C$21-ASSUMPTIONS!$C$18*ASSUMPTIONS!$C$22)*(1+H998)*(1-((1+H998)/(1+I998))^5)/(I998-H998))+((ASSUMPTIONS!$C$18*J998*(1-ASSUMPTIONS!$C$20)+ASSUMPTIONS!$C$18*ASSUMPTIONS!$C$21-ASSUMPTIONS!$C$18*ASSUMPTIONS!$C$22)*(1+H998)^5*(1+K998)/(I998-K998)/(1+I998)^5)-DCF!$C$12)/ASSUMPTIONS!$C$7</f>
        <v/>
      </c>
    </row>
    <row r="999">
      <c r="H999" s="83">
        <f>_xlfn.NORM.INV(RAND(),AVERAGE(ASSUMPTIONS!$C$38,ASSUMPTIONS!$C$39,ASSUMPTIONS!$C$40,ASSUMPTIONS!$C$41,ASSUMPTIONS!$C$42),ASSUMPTIONS!$C$68)</f>
        <v/>
      </c>
      <c r="I999" s="83">
        <f>MAX(_xlfn.NORM.INV(RAND(),DCF!$C$11,ASSUMPTIONS!$C$69),K999+0.005)</f>
        <v/>
      </c>
      <c r="J999" s="83">
        <f>_xlfn.NORM.INV(RAND(),ASSUMPTIONS!$C$19,ASSUMPTIONS!$C$70)</f>
        <v/>
      </c>
      <c r="K999" s="83">
        <f>_xlfn.NORM.INV(RAND(),ASSUMPTIONS!$C$43,ASSUMPTIONS!$C$71)</f>
        <v/>
      </c>
      <c r="L999" s="84">
        <f>(((ASSUMPTIONS!$C$18*J999*(1-ASSUMPTIONS!$C$20)+ASSUMPTIONS!$C$18*ASSUMPTIONS!$C$21-ASSUMPTIONS!$C$18*ASSUMPTIONS!$C$22)*(1+H999)*(1-((1+H999)/(1+I999))^5)/(I999-H999))+((ASSUMPTIONS!$C$18*J999*(1-ASSUMPTIONS!$C$20)+ASSUMPTIONS!$C$18*ASSUMPTIONS!$C$21-ASSUMPTIONS!$C$18*ASSUMPTIONS!$C$22)*(1+H999)^5*(1+K999)/(I999-K999)/(1+I999)^5)-DCF!$C$12)/ASSUMPTIONS!$C$7</f>
        <v/>
      </c>
    </row>
    <row r="1000">
      <c r="H1000" s="83">
        <f>_xlfn.NORM.INV(RAND(),AVERAGE(ASSUMPTIONS!$C$38,ASSUMPTIONS!$C$39,ASSUMPTIONS!$C$40,ASSUMPTIONS!$C$41,ASSUMPTIONS!$C$42),ASSUMPTIONS!$C$68)</f>
        <v/>
      </c>
      <c r="I1000" s="83">
        <f>MAX(_xlfn.NORM.INV(RAND(),DCF!$C$11,ASSUMPTIONS!$C$69),K1000+0.005)</f>
        <v/>
      </c>
      <c r="J1000" s="83">
        <f>_xlfn.NORM.INV(RAND(),ASSUMPTIONS!$C$19,ASSUMPTIONS!$C$70)</f>
        <v/>
      </c>
      <c r="K1000" s="83">
        <f>_xlfn.NORM.INV(RAND(),ASSUMPTIONS!$C$43,ASSUMPTIONS!$C$71)</f>
        <v/>
      </c>
      <c r="L1000" s="84">
        <f>(((ASSUMPTIONS!$C$18*J1000*(1-ASSUMPTIONS!$C$20)+ASSUMPTIONS!$C$18*ASSUMPTIONS!$C$21-ASSUMPTIONS!$C$18*ASSUMPTIONS!$C$22)*(1+H1000)*(1-((1+H1000)/(1+I1000))^5)/(I1000-H1000))+((ASSUMPTIONS!$C$18*J1000*(1-ASSUMPTIONS!$C$20)+ASSUMPTIONS!$C$18*ASSUMPTIONS!$C$21-ASSUMPTIONS!$C$18*ASSUMPTIONS!$C$22)*(1+H1000)^5*(1+K1000)/(I1000-K1000)/(1+I1000)^5)-DCF!$C$12)/ASSUMPTIONS!$C$7</f>
        <v/>
      </c>
    </row>
    <row r="1001">
      <c r="H1001" s="83">
        <f>_xlfn.NORM.INV(RAND(),AVERAGE(ASSUMPTIONS!$C$38,ASSUMPTIONS!$C$39,ASSUMPTIONS!$C$40,ASSUMPTIONS!$C$41,ASSUMPTIONS!$C$42),ASSUMPTIONS!$C$68)</f>
        <v/>
      </c>
      <c r="I1001" s="83">
        <f>MAX(_xlfn.NORM.INV(RAND(),DCF!$C$11,ASSUMPTIONS!$C$69),K1001+0.005)</f>
        <v/>
      </c>
      <c r="J1001" s="83">
        <f>_xlfn.NORM.INV(RAND(),ASSUMPTIONS!$C$19,ASSUMPTIONS!$C$70)</f>
        <v/>
      </c>
      <c r="K1001" s="83">
        <f>_xlfn.NORM.INV(RAND(),ASSUMPTIONS!$C$43,ASSUMPTIONS!$C$71)</f>
        <v/>
      </c>
      <c r="L1001" s="84">
        <f>(((ASSUMPTIONS!$C$18*J1001*(1-ASSUMPTIONS!$C$20)+ASSUMPTIONS!$C$18*ASSUMPTIONS!$C$21-ASSUMPTIONS!$C$18*ASSUMPTIONS!$C$22)*(1+H1001)*(1-((1+H1001)/(1+I1001))^5)/(I1001-H1001))+((ASSUMPTIONS!$C$18*J1001*(1-ASSUMPTIONS!$C$20)+ASSUMPTIONS!$C$18*ASSUMPTIONS!$C$21-ASSUMPTIONS!$C$18*ASSUMPTIONS!$C$22)*(1+H1001)^5*(1+K1001)/(I1001-K1001)/(1+I1001)^5)-DCF!$C$12)/ASSUMPTIONS!$C$7</f>
        <v/>
      </c>
    </row>
    <row r="1002">
      <c r="H1002" s="83">
        <f>_xlfn.NORM.INV(RAND(),AVERAGE(ASSUMPTIONS!$C$38,ASSUMPTIONS!$C$39,ASSUMPTIONS!$C$40,ASSUMPTIONS!$C$41,ASSUMPTIONS!$C$42),ASSUMPTIONS!$C$68)</f>
        <v/>
      </c>
      <c r="I1002" s="83">
        <f>MAX(_xlfn.NORM.INV(RAND(),DCF!$C$11,ASSUMPTIONS!$C$69),K1002+0.005)</f>
        <v/>
      </c>
      <c r="J1002" s="83">
        <f>_xlfn.NORM.INV(RAND(),ASSUMPTIONS!$C$19,ASSUMPTIONS!$C$70)</f>
        <v/>
      </c>
      <c r="K1002" s="83">
        <f>_xlfn.NORM.INV(RAND(),ASSUMPTIONS!$C$43,ASSUMPTIONS!$C$71)</f>
        <v/>
      </c>
      <c r="L1002" s="84">
        <f>(((ASSUMPTIONS!$C$18*J1002*(1-ASSUMPTIONS!$C$20)+ASSUMPTIONS!$C$18*ASSUMPTIONS!$C$21-ASSUMPTIONS!$C$18*ASSUMPTIONS!$C$22)*(1+H1002)*(1-((1+H1002)/(1+I1002))^5)/(I1002-H1002))+((ASSUMPTIONS!$C$18*J1002*(1-ASSUMPTIONS!$C$20)+ASSUMPTIONS!$C$18*ASSUMPTIONS!$C$21-ASSUMPTIONS!$C$18*ASSUMPTIONS!$C$22)*(1+H1002)^5*(1+K1002)/(I1002-K1002)/(1+I1002)^5)-DCF!$C$12)/ASSUMPTIONS!$C$7</f>
        <v/>
      </c>
    </row>
    <row r="1003">
      <c r="H1003" s="83">
        <f>_xlfn.NORM.INV(RAND(),AVERAGE(ASSUMPTIONS!$C$38,ASSUMPTIONS!$C$39,ASSUMPTIONS!$C$40,ASSUMPTIONS!$C$41,ASSUMPTIONS!$C$42),ASSUMPTIONS!$C$68)</f>
        <v/>
      </c>
      <c r="I1003" s="83">
        <f>MAX(_xlfn.NORM.INV(RAND(),DCF!$C$11,ASSUMPTIONS!$C$69),K1003+0.005)</f>
        <v/>
      </c>
      <c r="J1003" s="83">
        <f>_xlfn.NORM.INV(RAND(),ASSUMPTIONS!$C$19,ASSUMPTIONS!$C$70)</f>
        <v/>
      </c>
      <c r="K1003" s="83">
        <f>_xlfn.NORM.INV(RAND(),ASSUMPTIONS!$C$43,ASSUMPTIONS!$C$71)</f>
        <v/>
      </c>
      <c r="L1003" s="84">
        <f>(((ASSUMPTIONS!$C$18*J1003*(1-ASSUMPTIONS!$C$20)+ASSUMPTIONS!$C$18*ASSUMPTIONS!$C$21-ASSUMPTIONS!$C$18*ASSUMPTIONS!$C$22)*(1+H1003)*(1-((1+H1003)/(1+I1003))^5)/(I1003-H1003))+((ASSUMPTIONS!$C$18*J1003*(1-ASSUMPTIONS!$C$20)+ASSUMPTIONS!$C$18*ASSUMPTIONS!$C$21-ASSUMPTIONS!$C$18*ASSUMPTIONS!$C$22)*(1+H1003)^5*(1+K1003)/(I1003-K1003)/(1+I1003)^5)-DCF!$C$12)/ASSUMPTIONS!$C$7</f>
        <v/>
      </c>
    </row>
    <row r="1004">
      <c r="H1004" s="83">
        <f>_xlfn.NORM.INV(RAND(),AVERAGE(ASSUMPTIONS!$C$38,ASSUMPTIONS!$C$39,ASSUMPTIONS!$C$40,ASSUMPTIONS!$C$41,ASSUMPTIONS!$C$42),ASSUMPTIONS!$C$68)</f>
        <v/>
      </c>
      <c r="I1004" s="83">
        <f>MAX(_xlfn.NORM.INV(RAND(),DCF!$C$11,ASSUMPTIONS!$C$69),K1004+0.005)</f>
        <v/>
      </c>
      <c r="J1004" s="83">
        <f>_xlfn.NORM.INV(RAND(),ASSUMPTIONS!$C$19,ASSUMPTIONS!$C$70)</f>
        <v/>
      </c>
      <c r="K1004" s="83">
        <f>_xlfn.NORM.INV(RAND(),ASSUMPTIONS!$C$43,ASSUMPTIONS!$C$71)</f>
        <v/>
      </c>
      <c r="L1004" s="84">
        <f>(((ASSUMPTIONS!$C$18*J1004*(1-ASSUMPTIONS!$C$20)+ASSUMPTIONS!$C$18*ASSUMPTIONS!$C$21-ASSUMPTIONS!$C$18*ASSUMPTIONS!$C$22)*(1+H1004)*(1-((1+H1004)/(1+I1004))^5)/(I1004-H1004))+((ASSUMPTIONS!$C$18*J1004*(1-ASSUMPTIONS!$C$20)+ASSUMPTIONS!$C$18*ASSUMPTIONS!$C$21-ASSUMPTIONS!$C$18*ASSUMPTIONS!$C$22)*(1+H1004)^5*(1+K1004)/(I1004-K1004)/(1+I1004)^5)-DCF!$C$12)/ASSUMPTIONS!$C$7</f>
        <v/>
      </c>
    </row>
    <row r="1005">
      <c r="H1005" s="83">
        <f>_xlfn.NORM.INV(RAND(),AVERAGE(ASSUMPTIONS!$C$38,ASSUMPTIONS!$C$39,ASSUMPTIONS!$C$40,ASSUMPTIONS!$C$41,ASSUMPTIONS!$C$42),ASSUMPTIONS!$C$68)</f>
        <v/>
      </c>
      <c r="I1005" s="83">
        <f>MAX(_xlfn.NORM.INV(RAND(),DCF!$C$11,ASSUMPTIONS!$C$69),K1005+0.005)</f>
        <v/>
      </c>
      <c r="J1005" s="83">
        <f>_xlfn.NORM.INV(RAND(),ASSUMPTIONS!$C$19,ASSUMPTIONS!$C$70)</f>
        <v/>
      </c>
      <c r="K1005" s="83">
        <f>_xlfn.NORM.INV(RAND(),ASSUMPTIONS!$C$43,ASSUMPTIONS!$C$71)</f>
        <v/>
      </c>
      <c r="L1005" s="84">
        <f>(((ASSUMPTIONS!$C$18*J1005*(1-ASSUMPTIONS!$C$20)+ASSUMPTIONS!$C$18*ASSUMPTIONS!$C$21-ASSUMPTIONS!$C$18*ASSUMPTIONS!$C$22)*(1+H1005)*(1-((1+H1005)/(1+I1005))^5)/(I1005-H1005))+((ASSUMPTIONS!$C$18*J1005*(1-ASSUMPTIONS!$C$20)+ASSUMPTIONS!$C$18*ASSUMPTIONS!$C$21-ASSUMPTIONS!$C$18*ASSUMPTIONS!$C$22)*(1+H1005)^5*(1+K1005)/(I1005-K1005)/(1+I1005)^5)-DCF!$C$12)/ASSUMPTIONS!$C$7</f>
        <v/>
      </c>
    </row>
    <row r="1006">
      <c r="H1006" s="83">
        <f>_xlfn.NORM.INV(RAND(),AVERAGE(ASSUMPTIONS!$C$38,ASSUMPTIONS!$C$39,ASSUMPTIONS!$C$40,ASSUMPTIONS!$C$41,ASSUMPTIONS!$C$42),ASSUMPTIONS!$C$68)</f>
        <v/>
      </c>
      <c r="I1006" s="83">
        <f>MAX(_xlfn.NORM.INV(RAND(),DCF!$C$11,ASSUMPTIONS!$C$69),K1006+0.005)</f>
        <v/>
      </c>
      <c r="J1006" s="83">
        <f>_xlfn.NORM.INV(RAND(),ASSUMPTIONS!$C$19,ASSUMPTIONS!$C$70)</f>
        <v/>
      </c>
      <c r="K1006" s="83">
        <f>_xlfn.NORM.INV(RAND(),ASSUMPTIONS!$C$43,ASSUMPTIONS!$C$71)</f>
        <v/>
      </c>
      <c r="L1006" s="84">
        <f>(((ASSUMPTIONS!$C$18*J1006*(1-ASSUMPTIONS!$C$20)+ASSUMPTIONS!$C$18*ASSUMPTIONS!$C$21-ASSUMPTIONS!$C$18*ASSUMPTIONS!$C$22)*(1+H1006)*(1-((1+H1006)/(1+I1006))^5)/(I1006-H1006))+((ASSUMPTIONS!$C$18*J1006*(1-ASSUMPTIONS!$C$20)+ASSUMPTIONS!$C$18*ASSUMPTIONS!$C$21-ASSUMPTIONS!$C$18*ASSUMPTIONS!$C$22)*(1+H1006)^5*(1+K1006)/(I1006-K1006)/(1+I1006)^5)-DCF!$C$12)/ASSUMPTIONS!$C$7</f>
        <v/>
      </c>
    </row>
    <row r="1007">
      <c r="H1007" s="83">
        <f>_xlfn.NORM.INV(RAND(),AVERAGE(ASSUMPTIONS!$C$38,ASSUMPTIONS!$C$39,ASSUMPTIONS!$C$40,ASSUMPTIONS!$C$41,ASSUMPTIONS!$C$42),ASSUMPTIONS!$C$68)</f>
        <v/>
      </c>
      <c r="I1007" s="83">
        <f>MAX(_xlfn.NORM.INV(RAND(),DCF!$C$11,ASSUMPTIONS!$C$69),K1007+0.005)</f>
        <v/>
      </c>
      <c r="J1007" s="83">
        <f>_xlfn.NORM.INV(RAND(),ASSUMPTIONS!$C$19,ASSUMPTIONS!$C$70)</f>
        <v/>
      </c>
      <c r="K1007" s="83">
        <f>_xlfn.NORM.INV(RAND(),ASSUMPTIONS!$C$43,ASSUMPTIONS!$C$71)</f>
        <v/>
      </c>
      <c r="L1007" s="84">
        <f>(((ASSUMPTIONS!$C$18*J1007*(1-ASSUMPTIONS!$C$20)+ASSUMPTIONS!$C$18*ASSUMPTIONS!$C$21-ASSUMPTIONS!$C$18*ASSUMPTIONS!$C$22)*(1+H1007)*(1-((1+H1007)/(1+I1007))^5)/(I1007-H1007))+((ASSUMPTIONS!$C$18*J1007*(1-ASSUMPTIONS!$C$20)+ASSUMPTIONS!$C$18*ASSUMPTIONS!$C$21-ASSUMPTIONS!$C$18*ASSUMPTIONS!$C$22)*(1+H1007)^5*(1+K1007)/(I1007-K1007)/(1+I1007)^5)-DCF!$C$12)/ASSUMPTIONS!$C$7</f>
        <v/>
      </c>
    </row>
    <row r="1008">
      <c r="H1008" s="83">
        <f>_xlfn.NORM.INV(RAND(),AVERAGE(ASSUMPTIONS!$C$38,ASSUMPTIONS!$C$39,ASSUMPTIONS!$C$40,ASSUMPTIONS!$C$41,ASSUMPTIONS!$C$42),ASSUMPTIONS!$C$68)</f>
        <v/>
      </c>
      <c r="I1008" s="83">
        <f>MAX(_xlfn.NORM.INV(RAND(),DCF!$C$11,ASSUMPTIONS!$C$69),K1008+0.005)</f>
        <v/>
      </c>
      <c r="J1008" s="83">
        <f>_xlfn.NORM.INV(RAND(),ASSUMPTIONS!$C$19,ASSUMPTIONS!$C$70)</f>
        <v/>
      </c>
      <c r="K1008" s="83">
        <f>_xlfn.NORM.INV(RAND(),ASSUMPTIONS!$C$43,ASSUMPTIONS!$C$71)</f>
        <v/>
      </c>
      <c r="L1008" s="84">
        <f>(((ASSUMPTIONS!$C$18*J1008*(1-ASSUMPTIONS!$C$20)+ASSUMPTIONS!$C$18*ASSUMPTIONS!$C$21-ASSUMPTIONS!$C$18*ASSUMPTIONS!$C$22)*(1+H1008)*(1-((1+H1008)/(1+I1008))^5)/(I1008-H1008))+((ASSUMPTIONS!$C$18*J1008*(1-ASSUMPTIONS!$C$20)+ASSUMPTIONS!$C$18*ASSUMPTIONS!$C$21-ASSUMPTIONS!$C$18*ASSUMPTIONS!$C$22)*(1+H1008)^5*(1+K1008)/(I1008-K1008)/(1+I1008)^5)-DCF!$C$12)/ASSUMPTIONS!$C$7</f>
        <v/>
      </c>
    </row>
    <row r="1009">
      <c r="H1009" s="83">
        <f>_xlfn.NORM.INV(RAND(),AVERAGE(ASSUMPTIONS!$C$38,ASSUMPTIONS!$C$39,ASSUMPTIONS!$C$40,ASSUMPTIONS!$C$41,ASSUMPTIONS!$C$42),ASSUMPTIONS!$C$68)</f>
        <v/>
      </c>
      <c r="I1009" s="83">
        <f>MAX(_xlfn.NORM.INV(RAND(),DCF!$C$11,ASSUMPTIONS!$C$69),K1009+0.005)</f>
        <v/>
      </c>
      <c r="J1009" s="83">
        <f>_xlfn.NORM.INV(RAND(),ASSUMPTIONS!$C$19,ASSUMPTIONS!$C$70)</f>
        <v/>
      </c>
      <c r="K1009" s="83">
        <f>_xlfn.NORM.INV(RAND(),ASSUMPTIONS!$C$43,ASSUMPTIONS!$C$71)</f>
        <v/>
      </c>
      <c r="L1009" s="84">
        <f>(((ASSUMPTIONS!$C$18*J1009*(1-ASSUMPTIONS!$C$20)+ASSUMPTIONS!$C$18*ASSUMPTIONS!$C$21-ASSUMPTIONS!$C$18*ASSUMPTIONS!$C$22)*(1+H1009)*(1-((1+H1009)/(1+I1009))^5)/(I1009-H1009))+((ASSUMPTIONS!$C$18*J1009*(1-ASSUMPTIONS!$C$20)+ASSUMPTIONS!$C$18*ASSUMPTIONS!$C$21-ASSUMPTIONS!$C$18*ASSUMPTIONS!$C$22)*(1+H1009)^5*(1+K1009)/(I1009-K1009)/(1+I1009)^5)-DCF!$C$12)/ASSUMPTIONS!$C$7</f>
        <v/>
      </c>
    </row>
    <row r="1010">
      <c r="H1010" s="83">
        <f>_xlfn.NORM.INV(RAND(),AVERAGE(ASSUMPTIONS!$C$38,ASSUMPTIONS!$C$39,ASSUMPTIONS!$C$40,ASSUMPTIONS!$C$41,ASSUMPTIONS!$C$42),ASSUMPTIONS!$C$68)</f>
        <v/>
      </c>
      <c r="I1010" s="83">
        <f>MAX(_xlfn.NORM.INV(RAND(),DCF!$C$11,ASSUMPTIONS!$C$69),K1010+0.005)</f>
        <v/>
      </c>
      <c r="J1010" s="83">
        <f>_xlfn.NORM.INV(RAND(),ASSUMPTIONS!$C$19,ASSUMPTIONS!$C$70)</f>
        <v/>
      </c>
      <c r="K1010" s="83">
        <f>_xlfn.NORM.INV(RAND(),ASSUMPTIONS!$C$43,ASSUMPTIONS!$C$71)</f>
        <v/>
      </c>
      <c r="L1010" s="84">
        <f>(((ASSUMPTIONS!$C$18*J1010*(1-ASSUMPTIONS!$C$20)+ASSUMPTIONS!$C$18*ASSUMPTIONS!$C$21-ASSUMPTIONS!$C$18*ASSUMPTIONS!$C$22)*(1+H1010)*(1-((1+H1010)/(1+I1010))^5)/(I1010-H1010))+((ASSUMPTIONS!$C$18*J1010*(1-ASSUMPTIONS!$C$20)+ASSUMPTIONS!$C$18*ASSUMPTIONS!$C$21-ASSUMPTIONS!$C$18*ASSUMPTIONS!$C$22)*(1+H1010)^5*(1+K1010)/(I1010-K1010)/(1+I1010)^5)-DCF!$C$12)/ASSUMPTIONS!$C$7</f>
        <v/>
      </c>
    </row>
    <row r="1011">
      <c r="H1011" s="83">
        <f>_xlfn.NORM.INV(RAND(),AVERAGE(ASSUMPTIONS!$C$38,ASSUMPTIONS!$C$39,ASSUMPTIONS!$C$40,ASSUMPTIONS!$C$41,ASSUMPTIONS!$C$42),ASSUMPTIONS!$C$68)</f>
        <v/>
      </c>
      <c r="I1011" s="83">
        <f>MAX(_xlfn.NORM.INV(RAND(),DCF!$C$11,ASSUMPTIONS!$C$69),K1011+0.005)</f>
        <v/>
      </c>
      <c r="J1011" s="83">
        <f>_xlfn.NORM.INV(RAND(),ASSUMPTIONS!$C$19,ASSUMPTIONS!$C$70)</f>
        <v/>
      </c>
      <c r="K1011" s="83">
        <f>_xlfn.NORM.INV(RAND(),ASSUMPTIONS!$C$43,ASSUMPTIONS!$C$71)</f>
        <v/>
      </c>
      <c r="L1011" s="84">
        <f>(((ASSUMPTIONS!$C$18*J1011*(1-ASSUMPTIONS!$C$20)+ASSUMPTIONS!$C$18*ASSUMPTIONS!$C$21-ASSUMPTIONS!$C$18*ASSUMPTIONS!$C$22)*(1+H1011)*(1-((1+H1011)/(1+I1011))^5)/(I1011-H1011))+((ASSUMPTIONS!$C$18*J1011*(1-ASSUMPTIONS!$C$20)+ASSUMPTIONS!$C$18*ASSUMPTIONS!$C$21-ASSUMPTIONS!$C$18*ASSUMPTIONS!$C$22)*(1+H1011)^5*(1+K1011)/(I1011-K1011)/(1+I1011)^5)-DCF!$C$12)/ASSUMPTIONS!$C$7</f>
        <v/>
      </c>
    </row>
    <row r="1012">
      <c r="H1012" s="83">
        <f>_xlfn.NORM.INV(RAND(),AVERAGE(ASSUMPTIONS!$C$38,ASSUMPTIONS!$C$39,ASSUMPTIONS!$C$40,ASSUMPTIONS!$C$41,ASSUMPTIONS!$C$42),ASSUMPTIONS!$C$68)</f>
        <v/>
      </c>
      <c r="I1012" s="83">
        <f>MAX(_xlfn.NORM.INV(RAND(),DCF!$C$11,ASSUMPTIONS!$C$69),K1012+0.005)</f>
        <v/>
      </c>
      <c r="J1012" s="83">
        <f>_xlfn.NORM.INV(RAND(),ASSUMPTIONS!$C$19,ASSUMPTIONS!$C$70)</f>
        <v/>
      </c>
      <c r="K1012" s="83">
        <f>_xlfn.NORM.INV(RAND(),ASSUMPTIONS!$C$43,ASSUMPTIONS!$C$71)</f>
        <v/>
      </c>
      <c r="L1012" s="84">
        <f>(((ASSUMPTIONS!$C$18*J1012*(1-ASSUMPTIONS!$C$20)+ASSUMPTIONS!$C$18*ASSUMPTIONS!$C$21-ASSUMPTIONS!$C$18*ASSUMPTIONS!$C$22)*(1+H1012)*(1-((1+H1012)/(1+I1012))^5)/(I1012-H1012))+((ASSUMPTIONS!$C$18*J1012*(1-ASSUMPTIONS!$C$20)+ASSUMPTIONS!$C$18*ASSUMPTIONS!$C$21-ASSUMPTIONS!$C$18*ASSUMPTIONS!$C$22)*(1+H1012)^5*(1+K1012)/(I1012-K1012)/(1+I1012)^5)-DCF!$C$12)/ASSUMPTIONS!$C$7</f>
        <v/>
      </c>
    </row>
    <row r="1013">
      <c r="H1013" s="83">
        <f>_xlfn.NORM.INV(RAND(),AVERAGE(ASSUMPTIONS!$C$38,ASSUMPTIONS!$C$39,ASSUMPTIONS!$C$40,ASSUMPTIONS!$C$41,ASSUMPTIONS!$C$42),ASSUMPTIONS!$C$68)</f>
        <v/>
      </c>
      <c r="I1013" s="83">
        <f>MAX(_xlfn.NORM.INV(RAND(),DCF!$C$11,ASSUMPTIONS!$C$69),K1013+0.005)</f>
        <v/>
      </c>
      <c r="J1013" s="83">
        <f>_xlfn.NORM.INV(RAND(),ASSUMPTIONS!$C$19,ASSUMPTIONS!$C$70)</f>
        <v/>
      </c>
      <c r="K1013" s="83">
        <f>_xlfn.NORM.INV(RAND(),ASSUMPTIONS!$C$43,ASSUMPTIONS!$C$71)</f>
        <v/>
      </c>
      <c r="L1013" s="84">
        <f>(((ASSUMPTIONS!$C$18*J1013*(1-ASSUMPTIONS!$C$20)+ASSUMPTIONS!$C$18*ASSUMPTIONS!$C$21-ASSUMPTIONS!$C$18*ASSUMPTIONS!$C$22)*(1+H1013)*(1-((1+H1013)/(1+I1013))^5)/(I1013-H1013))+((ASSUMPTIONS!$C$18*J1013*(1-ASSUMPTIONS!$C$20)+ASSUMPTIONS!$C$18*ASSUMPTIONS!$C$21-ASSUMPTIONS!$C$18*ASSUMPTIONS!$C$22)*(1+H1013)^5*(1+K1013)/(I1013-K1013)/(1+I1013)^5)-DCF!$C$12)/ASSUMPTIONS!$C$7</f>
        <v/>
      </c>
    </row>
    <row r="1014">
      <c r="H1014" s="83">
        <f>_xlfn.NORM.INV(RAND(),AVERAGE(ASSUMPTIONS!$C$38,ASSUMPTIONS!$C$39,ASSUMPTIONS!$C$40,ASSUMPTIONS!$C$41,ASSUMPTIONS!$C$42),ASSUMPTIONS!$C$68)</f>
        <v/>
      </c>
      <c r="I1014" s="83">
        <f>MAX(_xlfn.NORM.INV(RAND(),DCF!$C$11,ASSUMPTIONS!$C$69),K1014+0.005)</f>
        <v/>
      </c>
      <c r="J1014" s="83">
        <f>_xlfn.NORM.INV(RAND(),ASSUMPTIONS!$C$19,ASSUMPTIONS!$C$70)</f>
        <v/>
      </c>
      <c r="K1014" s="83">
        <f>_xlfn.NORM.INV(RAND(),ASSUMPTIONS!$C$43,ASSUMPTIONS!$C$71)</f>
        <v/>
      </c>
      <c r="L1014" s="84">
        <f>(((ASSUMPTIONS!$C$18*J1014*(1-ASSUMPTIONS!$C$20)+ASSUMPTIONS!$C$18*ASSUMPTIONS!$C$21-ASSUMPTIONS!$C$18*ASSUMPTIONS!$C$22)*(1+H1014)*(1-((1+H1014)/(1+I1014))^5)/(I1014-H1014))+((ASSUMPTIONS!$C$18*J1014*(1-ASSUMPTIONS!$C$20)+ASSUMPTIONS!$C$18*ASSUMPTIONS!$C$21-ASSUMPTIONS!$C$18*ASSUMPTIONS!$C$22)*(1+H1014)^5*(1+K1014)/(I1014-K1014)/(1+I1014)^5)-DCF!$C$12)/ASSUMPTIONS!$C$7</f>
        <v/>
      </c>
    </row>
    <row r="1015">
      <c r="H1015" s="83">
        <f>_xlfn.NORM.INV(RAND(),AVERAGE(ASSUMPTIONS!$C$38,ASSUMPTIONS!$C$39,ASSUMPTIONS!$C$40,ASSUMPTIONS!$C$41,ASSUMPTIONS!$C$42),ASSUMPTIONS!$C$68)</f>
        <v/>
      </c>
      <c r="I1015" s="83">
        <f>MAX(_xlfn.NORM.INV(RAND(),DCF!$C$11,ASSUMPTIONS!$C$69),K1015+0.005)</f>
        <v/>
      </c>
      <c r="J1015" s="83">
        <f>_xlfn.NORM.INV(RAND(),ASSUMPTIONS!$C$19,ASSUMPTIONS!$C$70)</f>
        <v/>
      </c>
      <c r="K1015" s="83">
        <f>_xlfn.NORM.INV(RAND(),ASSUMPTIONS!$C$43,ASSUMPTIONS!$C$71)</f>
        <v/>
      </c>
      <c r="L1015" s="84">
        <f>(((ASSUMPTIONS!$C$18*J1015*(1-ASSUMPTIONS!$C$20)+ASSUMPTIONS!$C$18*ASSUMPTIONS!$C$21-ASSUMPTIONS!$C$18*ASSUMPTIONS!$C$22)*(1+H1015)*(1-((1+H1015)/(1+I1015))^5)/(I1015-H1015))+((ASSUMPTIONS!$C$18*J1015*(1-ASSUMPTIONS!$C$20)+ASSUMPTIONS!$C$18*ASSUMPTIONS!$C$21-ASSUMPTIONS!$C$18*ASSUMPTIONS!$C$22)*(1+H1015)^5*(1+K1015)/(I1015-K1015)/(1+I1015)^5)-DCF!$C$12)/ASSUMPTIONS!$C$7</f>
        <v/>
      </c>
    </row>
    <row r="1016">
      <c r="H1016" s="83">
        <f>_xlfn.NORM.INV(RAND(),AVERAGE(ASSUMPTIONS!$C$38,ASSUMPTIONS!$C$39,ASSUMPTIONS!$C$40,ASSUMPTIONS!$C$41,ASSUMPTIONS!$C$42),ASSUMPTIONS!$C$68)</f>
        <v/>
      </c>
      <c r="I1016" s="83">
        <f>MAX(_xlfn.NORM.INV(RAND(),DCF!$C$11,ASSUMPTIONS!$C$69),K1016+0.005)</f>
        <v/>
      </c>
      <c r="J1016" s="83">
        <f>_xlfn.NORM.INV(RAND(),ASSUMPTIONS!$C$19,ASSUMPTIONS!$C$70)</f>
        <v/>
      </c>
      <c r="K1016" s="83">
        <f>_xlfn.NORM.INV(RAND(),ASSUMPTIONS!$C$43,ASSUMPTIONS!$C$71)</f>
        <v/>
      </c>
      <c r="L1016" s="84">
        <f>(((ASSUMPTIONS!$C$18*J1016*(1-ASSUMPTIONS!$C$20)+ASSUMPTIONS!$C$18*ASSUMPTIONS!$C$21-ASSUMPTIONS!$C$18*ASSUMPTIONS!$C$22)*(1+H1016)*(1-((1+H1016)/(1+I1016))^5)/(I1016-H1016))+((ASSUMPTIONS!$C$18*J1016*(1-ASSUMPTIONS!$C$20)+ASSUMPTIONS!$C$18*ASSUMPTIONS!$C$21-ASSUMPTIONS!$C$18*ASSUMPTIONS!$C$22)*(1+H1016)^5*(1+K1016)/(I1016-K1016)/(1+I1016)^5)-DCF!$C$12)/ASSUMPTIONS!$C$7</f>
        <v/>
      </c>
    </row>
    <row r="1017">
      <c r="H1017" s="83">
        <f>_xlfn.NORM.INV(RAND(),AVERAGE(ASSUMPTIONS!$C$38,ASSUMPTIONS!$C$39,ASSUMPTIONS!$C$40,ASSUMPTIONS!$C$41,ASSUMPTIONS!$C$42),ASSUMPTIONS!$C$68)</f>
        <v/>
      </c>
      <c r="I1017" s="83">
        <f>MAX(_xlfn.NORM.INV(RAND(),DCF!$C$11,ASSUMPTIONS!$C$69),K1017+0.005)</f>
        <v/>
      </c>
      <c r="J1017" s="83">
        <f>_xlfn.NORM.INV(RAND(),ASSUMPTIONS!$C$19,ASSUMPTIONS!$C$70)</f>
        <v/>
      </c>
      <c r="K1017" s="83">
        <f>_xlfn.NORM.INV(RAND(),ASSUMPTIONS!$C$43,ASSUMPTIONS!$C$71)</f>
        <v/>
      </c>
      <c r="L1017" s="84">
        <f>(((ASSUMPTIONS!$C$18*J1017*(1-ASSUMPTIONS!$C$20)+ASSUMPTIONS!$C$18*ASSUMPTIONS!$C$21-ASSUMPTIONS!$C$18*ASSUMPTIONS!$C$22)*(1+H1017)*(1-((1+H1017)/(1+I1017))^5)/(I1017-H1017))+((ASSUMPTIONS!$C$18*J1017*(1-ASSUMPTIONS!$C$20)+ASSUMPTIONS!$C$18*ASSUMPTIONS!$C$21-ASSUMPTIONS!$C$18*ASSUMPTIONS!$C$22)*(1+H1017)^5*(1+K1017)/(I1017-K1017)/(1+I1017)^5)-DCF!$C$12)/ASSUMPTIONS!$C$7</f>
        <v/>
      </c>
    </row>
    <row r="1018">
      <c r="H1018" s="83">
        <f>_xlfn.NORM.INV(RAND(),AVERAGE(ASSUMPTIONS!$C$38,ASSUMPTIONS!$C$39,ASSUMPTIONS!$C$40,ASSUMPTIONS!$C$41,ASSUMPTIONS!$C$42),ASSUMPTIONS!$C$68)</f>
        <v/>
      </c>
      <c r="I1018" s="83">
        <f>MAX(_xlfn.NORM.INV(RAND(),DCF!$C$11,ASSUMPTIONS!$C$69),K1018+0.005)</f>
        <v/>
      </c>
      <c r="J1018" s="83">
        <f>_xlfn.NORM.INV(RAND(),ASSUMPTIONS!$C$19,ASSUMPTIONS!$C$70)</f>
        <v/>
      </c>
      <c r="K1018" s="83">
        <f>_xlfn.NORM.INV(RAND(),ASSUMPTIONS!$C$43,ASSUMPTIONS!$C$71)</f>
        <v/>
      </c>
      <c r="L1018" s="84">
        <f>(((ASSUMPTIONS!$C$18*J1018*(1-ASSUMPTIONS!$C$20)+ASSUMPTIONS!$C$18*ASSUMPTIONS!$C$21-ASSUMPTIONS!$C$18*ASSUMPTIONS!$C$22)*(1+H1018)*(1-((1+H1018)/(1+I1018))^5)/(I1018-H1018))+((ASSUMPTIONS!$C$18*J1018*(1-ASSUMPTIONS!$C$20)+ASSUMPTIONS!$C$18*ASSUMPTIONS!$C$21-ASSUMPTIONS!$C$18*ASSUMPTIONS!$C$22)*(1+H1018)^5*(1+K1018)/(I1018-K1018)/(1+I1018)^5)-DCF!$C$12)/ASSUMPTIONS!$C$7</f>
        <v/>
      </c>
    </row>
    <row r="1019">
      <c r="H1019" s="83">
        <f>_xlfn.NORM.INV(RAND(),AVERAGE(ASSUMPTIONS!$C$38,ASSUMPTIONS!$C$39,ASSUMPTIONS!$C$40,ASSUMPTIONS!$C$41,ASSUMPTIONS!$C$42),ASSUMPTIONS!$C$68)</f>
        <v/>
      </c>
      <c r="I1019" s="83">
        <f>MAX(_xlfn.NORM.INV(RAND(),DCF!$C$11,ASSUMPTIONS!$C$69),K1019+0.005)</f>
        <v/>
      </c>
      <c r="J1019" s="83">
        <f>_xlfn.NORM.INV(RAND(),ASSUMPTIONS!$C$19,ASSUMPTIONS!$C$70)</f>
        <v/>
      </c>
      <c r="K1019" s="83">
        <f>_xlfn.NORM.INV(RAND(),ASSUMPTIONS!$C$43,ASSUMPTIONS!$C$71)</f>
        <v/>
      </c>
      <c r="L1019" s="84">
        <f>(((ASSUMPTIONS!$C$18*J1019*(1-ASSUMPTIONS!$C$20)+ASSUMPTIONS!$C$18*ASSUMPTIONS!$C$21-ASSUMPTIONS!$C$18*ASSUMPTIONS!$C$22)*(1+H1019)*(1-((1+H1019)/(1+I1019))^5)/(I1019-H1019))+((ASSUMPTIONS!$C$18*J1019*(1-ASSUMPTIONS!$C$20)+ASSUMPTIONS!$C$18*ASSUMPTIONS!$C$21-ASSUMPTIONS!$C$18*ASSUMPTIONS!$C$22)*(1+H1019)^5*(1+K1019)/(I1019-K1019)/(1+I1019)^5)-DCF!$C$12)/ASSUMPTIONS!$C$7</f>
        <v/>
      </c>
    </row>
    <row r="1020">
      <c r="H1020" s="83">
        <f>_xlfn.NORM.INV(RAND(),AVERAGE(ASSUMPTIONS!$C$38,ASSUMPTIONS!$C$39,ASSUMPTIONS!$C$40,ASSUMPTIONS!$C$41,ASSUMPTIONS!$C$42),ASSUMPTIONS!$C$68)</f>
        <v/>
      </c>
      <c r="I1020" s="83">
        <f>MAX(_xlfn.NORM.INV(RAND(),DCF!$C$11,ASSUMPTIONS!$C$69),K1020+0.005)</f>
        <v/>
      </c>
      <c r="J1020" s="83">
        <f>_xlfn.NORM.INV(RAND(),ASSUMPTIONS!$C$19,ASSUMPTIONS!$C$70)</f>
        <v/>
      </c>
      <c r="K1020" s="83">
        <f>_xlfn.NORM.INV(RAND(),ASSUMPTIONS!$C$43,ASSUMPTIONS!$C$71)</f>
        <v/>
      </c>
      <c r="L1020" s="84">
        <f>(((ASSUMPTIONS!$C$18*J1020*(1-ASSUMPTIONS!$C$20)+ASSUMPTIONS!$C$18*ASSUMPTIONS!$C$21-ASSUMPTIONS!$C$18*ASSUMPTIONS!$C$22)*(1+H1020)*(1-((1+H1020)/(1+I1020))^5)/(I1020-H1020))+((ASSUMPTIONS!$C$18*J1020*(1-ASSUMPTIONS!$C$20)+ASSUMPTIONS!$C$18*ASSUMPTIONS!$C$21-ASSUMPTIONS!$C$18*ASSUMPTIONS!$C$22)*(1+H1020)^5*(1+K1020)/(I1020-K1020)/(1+I1020)^5)-DCF!$C$12)/ASSUMPTIONS!$C$7</f>
        <v/>
      </c>
    </row>
    <row r="1021">
      <c r="H1021" s="83">
        <f>_xlfn.NORM.INV(RAND(),AVERAGE(ASSUMPTIONS!$C$38,ASSUMPTIONS!$C$39,ASSUMPTIONS!$C$40,ASSUMPTIONS!$C$41,ASSUMPTIONS!$C$42),ASSUMPTIONS!$C$68)</f>
        <v/>
      </c>
      <c r="I1021" s="83">
        <f>MAX(_xlfn.NORM.INV(RAND(),DCF!$C$11,ASSUMPTIONS!$C$69),K1021+0.005)</f>
        <v/>
      </c>
      <c r="J1021" s="83">
        <f>_xlfn.NORM.INV(RAND(),ASSUMPTIONS!$C$19,ASSUMPTIONS!$C$70)</f>
        <v/>
      </c>
      <c r="K1021" s="83">
        <f>_xlfn.NORM.INV(RAND(),ASSUMPTIONS!$C$43,ASSUMPTIONS!$C$71)</f>
        <v/>
      </c>
      <c r="L1021" s="84">
        <f>(((ASSUMPTIONS!$C$18*J1021*(1-ASSUMPTIONS!$C$20)+ASSUMPTIONS!$C$18*ASSUMPTIONS!$C$21-ASSUMPTIONS!$C$18*ASSUMPTIONS!$C$22)*(1+H1021)*(1-((1+H1021)/(1+I1021))^5)/(I1021-H1021))+((ASSUMPTIONS!$C$18*J1021*(1-ASSUMPTIONS!$C$20)+ASSUMPTIONS!$C$18*ASSUMPTIONS!$C$21-ASSUMPTIONS!$C$18*ASSUMPTIONS!$C$22)*(1+H1021)^5*(1+K1021)/(I1021-K1021)/(1+I1021)^5)-DCF!$C$12)/ASSUMPTIONS!$C$7</f>
        <v/>
      </c>
    </row>
    <row r="1022">
      <c r="H1022" s="83">
        <f>_xlfn.NORM.INV(RAND(),AVERAGE(ASSUMPTIONS!$C$38,ASSUMPTIONS!$C$39,ASSUMPTIONS!$C$40,ASSUMPTIONS!$C$41,ASSUMPTIONS!$C$42),ASSUMPTIONS!$C$68)</f>
        <v/>
      </c>
      <c r="I1022" s="83">
        <f>MAX(_xlfn.NORM.INV(RAND(),DCF!$C$11,ASSUMPTIONS!$C$69),K1022+0.005)</f>
        <v/>
      </c>
      <c r="J1022" s="83">
        <f>_xlfn.NORM.INV(RAND(),ASSUMPTIONS!$C$19,ASSUMPTIONS!$C$70)</f>
        <v/>
      </c>
      <c r="K1022" s="83">
        <f>_xlfn.NORM.INV(RAND(),ASSUMPTIONS!$C$43,ASSUMPTIONS!$C$71)</f>
        <v/>
      </c>
      <c r="L1022" s="84">
        <f>(((ASSUMPTIONS!$C$18*J1022*(1-ASSUMPTIONS!$C$20)+ASSUMPTIONS!$C$18*ASSUMPTIONS!$C$21-ASSUMPTIONS!$C$18*ASSUMPTIONS!$C$22)*(1+H1022)*(1-((1+H1022)/(1+I1022))^5)/(I1022-H1022))+((ASSUMPTIONS!$C$18*J1022*(1-ASSUMPTIONS!$C$20)+ASSUMPTIONS!$C$18*ASSUMPTIONS!$C$21-ASSUMPTIONS!$C$18*ASSUMPTIONS!$C$22)*(1+H1022)^5*(1+K1022)/(I1022-K1022)/(1+I1022)^5)-DCF!$C$12)/ASSUMPTIONS!$C$7</f>
        <v/>
      </c>
    </row>
    <row r="1023">
      <c r="H1023" s="83">
        <f>_xlfn.NORM.INV(RAND(),AVERAGE(ASSUMPTIONS!$C$38,ASSUMPTIONS!$C$39,ASSUMPTIONS!$C$40,ASSUMPTIONS!$C$41,ASSUMPTIONS!$C$42),ASSUMPTIONS!$C$68)</f>
        <v/>
      </c>
      <c r="I1023" s="83">
        <f>MAX(_xlfn.NORM.INV(RAND(),DCF!$C$11,ASSUMPTIONS!$C$69),K1023+0.005)</f>
        <v/>
      </c>
      <c r="J1023" s="83">
        <f>_xlfn.NORM.INV(RAND(),ASSUMPTIONS!$C$19,ASSUMPTIONS!$C$70)</f>
        <v/>
      </c>
      <c r="K1023" s="83">
        <f>_xlfn.NORM.INV(RAND(),ASSUMPTIONS!$C$43,ASSUMPTIONS!$C$71)</f>
        <v/>
      </c>
      <c r="L1023" s="84">
        <f>(((ASSUMPTIONS!$C$18*J1023*(1-ASSUMPTIONS!$C$20)+ASSUMPTIONS!$C$18*ASSUMPTIONS!$C$21-ASSUMPTIONS!$C$18*ASSUMPTIONS!$C$22)*(1+H1023)*(1-((1+H1023)/(1+I1023))^5)/(I1023-H1023))+((ASSUMPTIONS!$C$18*J1023*(1-ASSUMPTIONS!$C$20)+ASSUMPTIONS!$C$18*ASSUMPTIONS!$C$21-ASSUMPTIONS!$C$18*ASSUMPTIONS!$C$22)*(1+H1023)^5*(1+K1023)/(I1023-K1023)/(1+I1023)^5)-DCF!$C$12)/ASSUMPTIONS!$C$7</f>
        <v/>
      </c>
    </row>
    <row r="1024">
      <c r="H1024" s="83">
        <f>_xlfn.NORM.INV(RAND(),AVERAGE(ASSUMPTIONS!$C$38,ASSUMPTIONS!$C$39,ASSUMPTIONS!$C$40,ASSUMPTIONS!$C$41,ASSUMPTIONS!$C$42),ASSUMPTIONS!$C$68)</f>
        <v/>
      </c>
      <c r="I1024" s="83">
        <f>MAX(_xlfn.NORM.INV(RAND(),DCF!$C$11,ASSUMPTIONS!$C$69),K1024+0.005)</f>
        <v/>
      </c>
      <c r="J1024" s="83">
        <f>_xlfn.NORM.INV(RAND(),ASSUMPTIONS!$C$19,ASSUMPTIONS!$C$70)</f>
        <v/>
      </c>
      <c r="K1024" s="83">
        <f>_xlfn.NORM.INV(RAND(),ASSUMPTIONS!$C$43,ASSUMPTIONS!$C$71)</f>
        <v/>
      </c>
      <c r="L1024" s="84">
        <f>(((ASSUMPTIONS!$C$18*J1024*(1-ASSUMPTIONS!$C$20)+ASSUMPTIONS!$C$18*ASSUMPTIONS!$C$21-ASSUMPTIONS!$C$18*ASSUMPTIONS!$C$22)*(1+H1024)*(1-((1+H1024)/(1+I1024))^5)/(I1024-H1024))+((ASSUMPTIONS!$C$18*J1024*(1-ASSUMPTIONS!$C$20)+ASSUMPTIONS!$C$18*ASSUMPTIONS!$C$21-ASSUMPTIONS!$C$18*ASSUMPTIONS!$C$22)*(1+H1024)^5*(1+K1024)/(I1024-K1024)/(1+I1024)^5)-DCF!$C$12)/ASSUMPTIONS!$C$7</f>
        <v/>
      </c>
    </row>
    <row r="1025">
      <c r="H1025" s="83">
        <f>_xlfn.NORM.INV(RAND(),AVERAGE(ASSUMPTIONS!$C$38,ASSUMPTIONS!$C$39,ASSUMPTIONS!$C$40,ASSUMPTIONS!$C$41,ASSUMPTIONS!$C$42),ASSUMPTIONS!$C$68)</f>
        <v/>
      </c>
      <c r="I1025" s="83">
        <f>MAX(_xlfn.NORM.INV(RAND(),DCF!$C$11,ASSUMPTIONS!$C$69),K1025+0.005)</f>
        <v/>
      </c>
      <c r="J1025" s="83">
        <f>_xlfn.NORM.INV(RAND(),ASSUMPTIONS!$C$19,ASSUMPTIONS!$C$70)</f>
        <v/>
      </c>
      <c r="K1025" s="83">
        <f>_xlfn.NORM.INV(RAND(),ASSUMPTIONS!$C$43,ASSUMPTIONS!$C$71)</f>
        <v/>
      </c>
      <c r="L1025" s="84">
        <f>(((ASSUMPTIONS!$C$18*J1025*(1-ASSUMPTIONS!$C$20)+ASSUMPTIONS!$C$18*ASSUMPTIONS!$C$21-ASSUMPTIONS!$C$18*ASSUMPTIONS!$C$22)*(1+H1025)*(1-((1+H1025)/(1+I1025))^5)/(I1025-H1025))+((ASSUMPTIONS!$C$18*J1025*(1-ASSUMPTIONS!$C$20)+ASSUMPTIONS!$C$18*ASSUMPTIONS!$C$21-ASSUMPTIONS!$C$18*ASSUMPTIONS!$C$22)*(1+H1025)^5*(1+K1025)/(I1025-K1025)/(1+I1025)^5)-DCF!$C$12)/ASSUMPTIONS!$C$7</f>
        <v/>
      </c>
    </row>
    <row r="1026">
      <c r="H1026" s="83">
        <f>_xlfn.NORM.INV(RAND(),AVERAGE(ASSUMPTIONS!$C$38,ASSUMPTIONS!$C$39,ASSUMPTIONS!$C$40,ASSUMPTIONS!$C$41,ASSUMPTIONS!$C$42),ASSUMPTIONS!$C$68)</f>
        <v/>
      </c>
      <c r="I1026" s="83">
        <f>MAX(_xlfn.NORM.INV(RAND(),DCF!$C$11,ASSUMPTIONS!$C$69),K1026+0.005)</f>
        <v/>
      </c>
      <c r="J1026" s="83">
        <f>_xlfn.NORM.INV(RAND(),ASSUMPTIONS!$C$19,ASSUMPTIONS!$C$70)</f>
        <v/>
      </c>
      <c r="K1026" s="83">
        <f>_xlfn.NORM.INV(RAND(),ASSUMPTIONS!$C$43,ASSUMPTIONS!$C$71)</f>
        <v/>
      </c>
      <c r="L1026" s="84">
        <f>(((ASSUMPTIONS!$C$18*J1026*(1-ASSUMPTIONS!$C$20)+ASSUMPTIONS!$C$18*ASSUMPTIONS!$C$21-ASSUMPTIONS!$C$18*ASSUMPTIONS!$C$22)*(1+H1026)*(1-((1+H1026)/(1+I1026))^5)/(I1026-H1026))+((ASSUMPTIONS!$C$18*J1026*(1-ASSUMPTIONS!$C$20)+ASSUMPTIONS!$C$18*ASSUMPTIONS!$C$21-ASSUMPTIONS!$C$18*ASSUMPTIONS!$C$22)*(1+H1026)^5*(1+K1026)/(I1026-K1026)/(1+I1026)^5)-DCF!$C$12)/ASSUMPTIONS!$C$7</f>
        <v/>
      </c>
    </row>
    <row r="1027">
      <c r="H1027" s="83">
        <f>_xlfn.NORM.INV(RAND(),AVERAGE(ASSUMPTIONS!$C$38,ASSUMPTIONS!$C$39,ASSUMPTIONS!$C$40,ASSUMPTIONS!$C$41,ASSUMPTIONS!$C$42),ASSUMPTIONS!$C$68)</f>
        <v/>
      </c>
      <c r="I1027" s="83">
        <f>MAX(_xlfn.NORM.INV(RAND(),DCF!$C$11,ASSUMPTIONS!$C$69),K1027+0.005)</f>
        <v/>
      </c>
      <c r="J1027" s="83">
        <f>_xlfn.NORM.INV(RAND(),ASSUMPTIONS!$C$19,ASSUMPTIONS!$C$70)</f>
        <v/>
      </c>
      <c r="K1027" s="83">
        <f>_xlfn.NORM.INV(RAND(),ASSUMPTIONS!$C$43,ASSUMPTIONS!$C$71)</f>
        <v/>
      </c>
      <c r="L1027" s="84">
        <f>(((ASSUMPTIONS!$C$18*J1027*(1-ASSUMPTIONS!$C$20)+ASSUMPTIONS!$C$18*ASSUMPTIONS!$C$21-ASSUMPTIONS!$C$18*ASSUMPTIONS!$C$22)*(1+H1027)*(1-((1+H1027)/(1+I1027))^5)/(I1027-H1027))+((ASSUMPTIONS!$C$18*J1027*(1-ASSUMPTIONS!$C$20)+ASSUMPTIONS!$C$18*ASSUMPTIONS!$C$21-ASSUMPTIONS!$C$18*ASSUMPTIONS!$C$22)*(1+H1027)^5*(1+K1027)/(I1027-K1027)/(1+I1027)^5)-DCF!$C$12)/ASSUMPTIONS!$C$7</f>
        <v/>
      </c>
    </row>
    <row r="1028">
      <c r="H1028" s="83">
        <f>_xlfn.NORM.INV(RAND(),AVERAGE(ASSUMPTIONS!$C$38,ASSUMPTIONS!$C$39,ASSUMPTIONS!$C$40,ASSUMPTIONS!$C$41,ASSUMPTIONS!$C$42),ASSUMPTIONS!$C$68)</f>
        <v/>
      </c>
      <c r="I1028" s="83">
        <f>MAX(_xlfn.NORM.INV(RAND(),DCF!$C$11,ASSUMPTIONS!$C$69),K1028+0.005)</f>
        <v/>
      </c>
      <c r="J1028" s="83">
        <f>_xlfn.NORM.INV(RAND(),ASSUMPTIONS!$C$19,ASSUMPTIONS!$C$70)</f>
        <v/>
      </c>
      <c r="K1028" s="83">
        <f>_xlfn.NORM.INV(RAND(),ASSUMPTIONS!$C$43,ASSUMPTIONS!$C$71)</f>
        <v/>
      </c>
      <c r="L1028" s="84">
        <f>(((ASSUMPTIONS!$C$18*J1028*(1-ASSUMPTIONS!$C$20)+ASSUMPTIONS!$C$18*ASSUMPTIONS!$C$21-ASSUMPTIONS!$C$18*ASSUMPTIONS!$C$22)*(1+H1028)*(1-((1+H1028)/(1+I1028))^5)/(I1028-H1028))+((ASSUMPTIONS!$C$18*J1028*(1-ASSUMPTIONS!$C$20)+ASSUMPTIONS!$C$18*ASSUMPTIONS!$C$21-ASSUMPTIONS!$C$18*ASSUMPTIONS!$C$22)*(1+H1028)^5*(1+K1028)/(I1028-K1028)/(1+I1028)^5)-DCF!$C$12)/ASSUMPTIONS!$C$7</f>
        <v/>
      </c>
    </row>
    <row r="1029">
      <c r="H1029" s="83">
        <f>_xlfn.NORM.INV(RAND(),AVERAGE(ASSUMPTIONS!$C$38,ASSUMPTIONS!$C$39,ASSUMPTIONS!$C$40,ASSUMPTIONS!$C$41,ASSUMPTIONS!$C$42),ASSUMPTIONS!$C$68)</f>
        <v/>
      </c>
      <c r="I1029" s="83">
        <f>MAX(_xlfn.NORM.INV(RAND(),DCF!$C$11,ASSUMPTIONS!$C$69),K1029+0.005)</f>
        <v/>
      </c>
      <c r="J1029" s="83">
        <f>_xlfn.NORM.INV(RAND(),ASSUMPTIONS!$C$19,ASSUMPTIONS!$C$70)</f>
        <v/>
      </c>
      <c r="K1029" s="83">
        <f>_xlfn.NORM.INV(RAND(),ASSUMPTIONS!$C$43,ASSUMPTIONS!$C$71)</f>
        <v/>
      </c>
      <c r="L1029" s="84">
        <f>(((ASSUMPTIONS!$C$18*J1029*(1-ASSUMPTIONS!$C$20)+ASSUMPTIONS!$C$18*ASSUMPTIONS!$C$21-ASSUMPTIONS!$C$18*ASSUMPTIONS!$C$22)*(1+H1029)*(1-((1+H1029)/(1+I1029))^5)/(I1029-H1029))+((ASSUMPTIONS!$C$18*J1029*(1-ASSUMPTIONS!$C$20)+ASSUMPTIONS!$C$18*ASSUMPTIONS!$C$21-ASSUMPTIONS!$C$18*ASSUMPTIONS!$C$22)*(1+H1029)^5*(1+K1029)/(I1029-K1029)/(1+I1029)^5)-DCF!$C$12)/ASSUMPTIONS!$C$7</f>
        <v/>
      </c>
    </row>
    <row r="1030">
      <c r="H1030" s="83">
        <f>_xlfn.NORM.INV(RAND(),AVERAGE(ASSUMPTIONS!$C$38,ASSUMPTIONS!$C$39,ASSUMPTIONS!$C$40,ASSUMPTIONS!$C$41,ASSUMPTIONS!$C$42),ASSUMPTIONS!$C$68)</f>
        <v/>
      </c>
      <c r="I1030" s="83">
        <f>MAX(_xlfn.NORM.INV(RAND(),DCF!$C$11,ASSUMPTIONS!$C$69),K1030+0.005)</f>
        <v/>
      </c>
      <c r="J1030" s="83">
        <f>_xlfn.NORM.INV(RAND(),ASSUMPTIONS!$C$19,ASSUMPTIONS!$C$70)</f>
        <v/>
      </c>
      <c r="K1030" s="83">
        <f>_xlfn.NORM.INV(RAND(),ASSUMPTIONS!$C$43,ASSUMPTIONS!$C$71)</f>
        <v/>
      </c>
      <c r="L1030" s="84">
        <f>(((ASSUMPTIONS!$C$18*J1030*(1-ASSUMPTIONS!$C$20)+ASSUMPTIONS!$C$18*ASSUMPTIONS!$C$21-ASSUMPTIONS!$C$18*ASSUMPTIONS!$C$22)*(1+H1030)*(1-((1+H1030)/(1+I1030))^5)/(I1030-H1030))+((ASSUMPTIONS!$C$18*J1030*(1-ASSUMPTIONS!$C$20)+ASSUMPTIONS!$C$18*ASSUMPTIONS!$C$21-ASSUMPTIONS!$C$18*ASSUMPTIONS!$C$22)*(1+H1030)^5*(1+K1030)/(I1030-K1030)/(1+I1030)^5)-DCF!$C$12)/ASSUMPTIONS!$C$7</f>
        <v/>
      </c>
    </row>
    <row r="1031">
      <c r="H1031" s="83">
        <f>_xlfn.NORM.INV(RAND(),AVERAGE(ASSUMPTIONS!$C$38,ASSUMPTIONS!$C$39,ASSUMPTIONS!$C$40,ASSUMPTIONS!$C$41,ASSUMPTIONS!$C$42),ASSUMPTIONS!$C$68)</f>
        <v/>
      </c>
      <c r="I1031" s="83">
        <f>MAX(_xlfn.NORM.INV(RAND(),DCF!$C$11,ASSUMPTIONS!$C$69),K1031+0.005)</f>
        <v/>
      </c>
      <c r="J1031" s="83">
        <f>_xlfn.NORM.INV(RAND(),ASSUMPTIONS!$C$19,ASSUMPTIONS!$C$70)</f>
        <v/>
      </c>
      <c r="K1031" s="83">
        <f>_xlfn.NORM.INV(RAND(),ASSUMPTIONS!$C$43,ASSUMPTIONS!$C$71)</f>
        <v/>
      </c>
      <c r="L1031" s="84">
        <f>(((ASSUMPTIONS!$C$18*J1031*(1-ASSUMPTIONS!$C$20)+ASSUMPTIONS!$C$18*ASSUMPTIONS!$C$21-ASSUMPTIONS!$C$18*ASSUMPTIONS!$C$22)*(1+H1031)*(1-((1+H1031)/(1+I1031))^5)/(I1031-H1031))+((ASSUMPTIONS!$C$18*J1031*(1-ASSUMPTIONS!$C$20)+ASSUMPTIONS!$C$18*ASSUMPTIONS!$C$21-ASSUMPTIONS!$C$18*ASSUMPTIONS!$C$22)*(1+H1031)^5*(1+K1031)/(I1031-K1031)/(1+I1031)^5)-DCF!$C$12)/ASSUMPTIONS!$C$7</f>
        <v/>
      </c>
    </row>
    <row r="1032">
      <c r="H1032" s="83">
        <f>_xlfn.NORM.INV(RAND(),AVERAGE(ASSUMPTIONS!$C$38,ASSUMPTIONS!$C$39,ASSUMPTIONS!$C$40,ASSUMPTIONS!$C$41,ASSUMPTIONS!$C$42),ASSUMPTIONS!$C$68)</f>
        <v/>
      </c>
      <c r="I1032" s="83">
        <f>MAX(_xlfn.NORM.INV(RAND(),DCF!$C$11,ASSUMPTIONS!$C$69),K1032+0.005)</f>
        <v/>
      </c>
      <c r="J1032" s="83">
        <f>_xlfn.NORM.INV(RAND(),ASSUMPTIONS!$C$19,ASSUMPTIONS!$C$70)</f>
        <v/>
      </c>
      <c r="K1032" s="83">
        <f>_xlfn.NORM.INV(RAND(),ASSUMPTIONS!$C$43,ASSUMPTIONS!$C$71)</f>
        <v/>
      </c>
      <c r="L1032" s="84">
        <f>(((ASSUMPTIONS!$C$18*J1032*(1-ASSUMPTIONS!$C$20)+ASSUMPTIONS!$C$18*ASSUMPTIONS!$C$21-ASSUMPTIONS!$C$18*ASSUMPTIONS!$C$22)*(1+H1032)*(1-((1+H1032)/(1+I1032))^5)/(I1032-H1032))+((ASSUMPTIONS!$C$18*J1032*(1-ASSUMPTIONS!$C$20)+ASSUMPTIONS!$C$18*ASSUMPTIONS!$C$21-ASSUMPTIONS!$C$18*ASSUMPTIONS!$C$22)*(1+H1032)^5*(1+K1032)/(I1032-K1032)/(1+I1032)^5)-DCF!$C$12)/ASSUMPTIONS!$C$7</f>
        <v/>
      </c>
    </row>
    <row r="1033">
      <c r="H1033" s="83">
        <f>_xlfn.NORM.INV(RAND(),AVERAGE(ASSUMPTIONS!$C$38,ASSUMPTIONS!$C$39,ASSUMPTIONS!$C$40,ASSUMPTIONS!$C$41,ASSUMPTIONS!$C$42),ASSUMPTIONS!$C$68)</f>
        <v/>
      </c>
      <c r="I1033" s="83">
        <f>MAX(_xlfn.NORM.INV(RAND(),DCF!$C$11,ASSUMPTIONS!$C$69),K1033+0.005)</f>
        <v/>
      </c>
      <c r="J1033" s="83">
        <f>_xlfn.NORM.INV(RAND(),ASSUMPTIONS!$C$19,ASSUMPTIONS!$C$70)</f>
        <v/>
      </c>
      <c r="K1033" s="83">
        <f>_xlfn.NORM.INV(RAND(),ASSUMPTIONS!$C$43,ASSUMPTIONS!$C$71)</f>
        <v/>
      </c>
      <c r="L1033" s="84">
        <f>(((ASSUMPTIONS!$C$18*J1033*(1-ASSUMPTIONS!$C$20)+ASSUMPTIONS!$C$18*ASSUMPTIONS!$C$21-ASSUMPTIONS!$C$18*ASSUMPTIONS!$C$22)*(1+H1033)*(1-((1+H1033)/(1+I1033))^5)/(I1033-H1033))+((ASSUMPTIONS!$C$18*J1033*(1-ASSUMPTIONS!$C$20)+ASSUMPTIONS!$C$18*ASSUMPTIONS!$C$21-ASSUMPTIONS!$C$18*ASSUMPTIONS!$C$22)*(1+H1033)^5*(1+K1033)/(I1033-K1033)/(1+I1033)^5)-DCF!$C$12)/ASSUMPTIONS!$C$7</f>
        <v/>
      </c>
    </row>
    <row r="1034">
      <c r="H1034" s="83">
        <f>_xlfn.NORM.INV(RAND(),AVERAGE(ASSUMPTIONS!$C$38,ASSUMPTIONS!$C$39,ASSUMPTIONS!$C$40,ASSUMPTIONS!$C$41,ASSUMPTIONS!$C$42),ASSUMPTIONS!$C$68)</f>
        <v/>
      </c>
      <c r="I1034" s="83">
        <f>MAX(_xlfn.NORM.INV(RAND(),DCF!$C$11,ASSUMPTIONS!$C$69),K1034+0.005)</f>
        <v/>
      </c>
      <c r="J1034" s="83">
        <f>_xlfn.NORM.INV(RAND(),ASSUMPTIONS!$C$19,ASSUMPTIONS!$C$70)</f>
        <v/>
      </c>
      <c r="K1034" s="83">
        <f>_xlfn.NORM.INV(RAND(),ASSUMPTIONS!$C$43,ASSUMPTIONS!$C$71)</f>
        <v/>
      </c>
      <c r="L1034" s="84">
        <f>(((ASSUMPTIONS!$C$18*J1034*(1-ASSUMPTIONS!$C$20)+ASSUMPTIONS!$C$18*ASSUMPTIONS!$C$21-ASSUMPTIONS!$C$18*ASSUMPTIONS!$C$22)*(1+H1034)*(1-((1+H1034)/(1+I1034))^5)/(I1034-H1034))+((ASSUMPTIONS!$C$18*J1034*(1-ASSUMPTIONS!$C$20)+ASSUMPTIONS!$C$18*ASSUMPTIONS!$C$21-ASSUMPTIONS!$C$18*ASSUMPTIONS!$C$22)*(1+H1034)^5*(1+K1034)/(I1034-K1034)/(1+I1034)^5)-DCF!$C$12)/ASSUMPTIONS!$C$7</f>
        <v/>
      </c>
    </row>
    <row r="1035">
      <c r="H1035" s="83">
        <f>_xlfn.NORM.INV(RAND(),AVERAGE(ASSUMPTIONS!$C$38,ASSUMPTIONS!$C$39,ASSUMPTIONS!$C$40,ASSUMPTIONS!$C$41,ASSUMPTIONS!$C$42),ASSUMPTIONS!$C$68)</f>
        <v/>
      </c>
      <c r="I1035" s="83">
        <f>MAX(_xlfn.NORM.INV(RAND(),DCF!$C$11,ASSUMPTIONS!$C$69),K1035+0.005)</f>
        <v/>
      </c>
      <c r="J1035" s="83">
        <f>_xlfn.NORM.INV(RAND(),ASSUMPTIONS!$C$19,ASSUMPTIONS!$C$70)</f>
        <v/>
      </c>
      <c r="K1035" s="83">
        <f>_xlfn.NORM.INV(RAND(),ASSUMPTIONS!$C$43,ASSUMPTIONS!$C$71)</f>
        <v/>
      </c>
      <c r="L1035" s="84">
        <f>(((ASSUMPTIONS!$C$18*J1035*(1-ASSUMPTIONS!$C$20)+ASSUMPTIONS!$C$18*ASSUMPTIONS!$C$21-ASSUMPTIONS!$C$18*ASSUMPTIONS!$C$22)*(1+H1035)*(1-((1+H1035)/(1+I1035))^5)/(I1035-H1035))+((ASSUMPTIONS!$C$18*J1035*(1-ASSUMPTIONS!$C$20)+ASSUMPTIONS!$C$18*ASSUMPTIONS!$C$21-ASSUMPTIONS!$C$18*ASSUMPTIONS!$C$22)*(1+H1035)^5*(1+K1035)/(I1035-K1035)/(1+I1035)^5)-DCF!$C$12)/ASSUMPTIONS!$C$7</f>
        <v/>
      </c>
    </row>
    <row r="1036">
      <c r="H1036" s="83">
        <f>_xlfn.NORM.INV(RAND(),AVERAGE(ASSUMPTIONS!$C$38,ASSUMPTIONS!$C$39,ASSUMPTIONS!$C$40,ASSUMPTIONS!$C$41,ASSUMPTIONS!$C$42),ASSUMPTIONS!$C$68)</f>
        <v/>
      </c>
      <c r="I1036" s="83">
        <f>MAX(_xlfn.NORM.INV(RAND(),DCF!$C$11,ASSUMPTIONS!$C$69),K1036+0.005)</f>
        <v/>
      </c>
      <c r="J1036" s="83">
        <f>_xlfn.NORM.INV(RAND(),ASSUMPTIONS!$C$19,ASSUMPTIONS!$C$70)</f>
        <v/>
      </c>
      <c r="K1036" s="83">
        <f>_xlfn.NORM.INV(RAND(),ASSUMPTIONS!$C$43,ASSUMPTIONS!$C$71)</f>
        <v/>
      </c>
      <c r="L1036" s="84">
        <f>(((ASSUMPTIONS!$C$18*J1036*(1-ASSUMPTIONS!$C$20)+ASSUMPTIONS!$C$18*ASSUMPTIONS!$C$21-ASSUMPTIONS!$C$18*ASSUMPTIONS!$C$22)*(1+H1036)*(1-((1+H1036)/(1+I1036))^5)/(I1036-H1036))+((ASSUMPTIONS!$C$18*J1036*(1-ASSUMPTIONS!$C$20)+ASSUMPTIONS!$C$18*ASSUMPTIONS!$C$21-ASSUMPTIONS!$C$18*ASSUMPTIONS!$C$22)*(1+H1036)^5*(1+K1036)/(I1036-K1036)/(1+I1036)^5)-DCF!$C$12)/ASSUMPTIONS!$C$7</f>
        <v/>
      </c>
    </row>
    <row r="1037">
      <c r="H1037" s="83">
        <f>_xlfn.NORM.INV(RAND(),AVERAGE(ASSUMPTIONS!$C$38,ASSUMPTIONS!$C$39,ASSUMPTIONS!$C$40,ASSUMPTIONS!$C$41,ASSUMPTIONS!$C$42),ASSUMPTIONS!$C$68)</f>
        <v/>
      </c>
      <c r="I1037" s="83">
        <f>MAX(_xlfn.NORM.INV(RAND(),DCF!$C$11,ASSUMPTIONS!$C$69),K1037+0.005)</f>
        <v/>
      </c>
      <c r="J1037" s="83">
        <f>_xlfn.NORM.INV(RAND(),ASSUMPTIONS!$C$19,ASSUMPTIONS!$C$70)</f>
        <v/>
      </c>
      <c r="K1037" s="83">
        <f>_xlfn.NORM.INV(RAND(),ASSUMPTIONS!$C$43,ASSUMPTIONS!$C$71)</f>
        <v/>
      </c>
      <c r="L1037" s="84">
        <f>(((ASSUMPTIONS!$C$18*J1037*(1-ASSUMPTIONS!$C$20)+ASSUMPTIONS!$C$18*ASSUMPTIONS!$C$21-ASSUMPTIONS!$C$18*ASSUMPTIONS!$C$22)*(1+H1037)*(1-((1+H1037)/(1+I1037))^5)/(I1037-H1037))+((ASSUMPTIONS!$C$18*J1037*(1-ASSUMPTIONS!$C$20)+ASSUMPTIONS!$C$18*ASSUMPTIONS!$C$21-ASSUMPTIONS!$C$18*ASSUMPTIONS!$C$22)*(1+H1037)^5*(1+K1037)/(I1037-K1037)/(1+I1037)^5)-DCF!$C$12)/ASSUMPTIONS!$C$7</f>
        <v/>
      </c>
    </row>
    <row r="1038">
      <c r="H1038" s="83">
        <f>_xlfn.NORM.INV(RAND(),AVERAGE(ASSUMPTIONS!$C$38,ASSUMPTIONS!$C$39,ASSUMPTIONS!$C$40,ASSUMPTIONS!$C$41,ASSUMPTIONS!$C$42),ASSUMPTIONS!$C$68)</f>
        <v/>
      </c>
      <c r="I1038" s="83">
        <f>MAX(_xlfn.NORM.INV(RAND(),DCF!$C$11,ASSUMPTIONS!$C$69),K1038+0.005)</f>
        <v/>
      </c>
      <c r="J1038" s="83">
        <f>_xlfn.NORM.INV(RAND(),ASSUMPTIONS!$C$19,ASSUMPTIONS!$C$70)</f>
        <v/>
      </c>
      <c r="K1038" s="83">
        <f>_xlfn.NORM.INV(RAND(),ASSUMPTIONS!$C$43,ASSUMPTIONS!$C$71)</f>
        <v/>
      </c>
      <c r="L1038" s="84">
        <f>(((ASSUMPTIONS!$C$18*J1038*(1-ASSUMPTIONS!$C$20)+ASSUMPTIONS!$C$18*ASSUMPTIONS!$C$21-ASSUMPTIONS!$C$18*ASSUMPTIONS!$C$22)*(1+H1038)*(1-((1+H1038)/(1+I1038))^5)/(I1038-H1038))+((ASSUMPTIONS!$C$18*J1038*(1-ASSUMPTIONS!$C$20)+ASSUMPTIONS!$C$18*ASSUMPTIONS!$C$21-ASSUMPTIONS!$C$18*ASSUMPTIONS!$C$22)*(1+H1038)^5*(1+K1038)/(I1038-K1038)/(1+I1038)^5)-DCF!$C$12)/ASSUMPTIONS!$C$7</f>
        <v/>
      </c>
    </row>
    <row r="1039">
      <c r="H1039" s="83">
        <f>_xlfn.NORM.INV(RAND(),AVERAGE(ASSUMPTIONS!$C$38,ASSUMPTIONS!$C$39,ASSUMPTIONS!$C$40,ASSUMPTIONS!$C$41,ASSUMPTIONS!$C$42),ASSUMPTIONS!$C$68)</f>
        <v/>
      </c>
      <c r="I1039" s="83">
        <f>MAX(_xlfn.NORM.INV(RAND(),DCF!$C$11,ASSUMPTIONS!$C$69),K1039+0.005)</f>
        <v/>
      </c>
      <c r="J1039" s="83">
        <f>_xlfn.NORM.INV(RAND(),ASSUMPTIONS!$C$19,ASSUMPTIONS!$C$70)</f>
        <v/>
      </c>
      <c r="K1039" s="83">
        <f>_xlfn.NORM.INV(RAND(),ASSUMPTIONS!$C$43,ASSUMPTIONS!$C$71)</f>
        <v/>
      </c>
      <c r="L1039" s="84">
        <f>(((ASSUMPTIONS!$C$18*J1039*(1-ASSUMPTIONS!$C$20)+ASSUMPTIONS!$C$18*ASSUMPTIONS!$C$21-ASSUMPTIONS!$C$18*ASSUMPTIONS!$C$22)*(1+H1039)*(1-((1+H1039)/(1+I1039))^5)/(I1039-H1039))+((ASSUMPTIONS!$C$18*J1039*(1-ASSUMPTIONS!$C$20)+ASSUMPTIONS!$C$18*ASSUMPTIONS!$C$21-ASSUMPTIONS!$C$18*ASSUMPTIONS!$C$22)*(1+H1039)^5*(1+K1039)/(I1039-K1039)/(1+I1039)^5)-DCF!$C$12)/ASSUMPTIONS!$C$7</f>
        <v/>
      </c>
    </row>
    <row r="1040">
      <c r="H1040" s="83">
        <f>_xlfn.NORM.INV(RAND(),AVERAGE(ASSUMPTIONS!$C$38,ASSUMPTIONS!$C$39,ASSUMPTIONS!$C$40,ASSUMPTIONS!$C$41,ASSUMPTIONS!$C$42),ASSUMPTIONS!$C$68)</f>
        <v/>
      </c>
      <c r="I1040" s="83">
        <f>MAX(_xlfn.NORM.INV(RAND(),DCF!$C$11,ASSUMPTIONS!$C$69),K1040+0.005)</f>
        <v/>
      </c>
      <c r="J1040" s="83">
        <f>_xlfn.NORM.INV(RAND(),ASSUMPTIONS!$C$19,ASSUMPTIONS!$C$70)</f>
        <v/>
      </c>
      <c r="K1040" s="83">
        <f>_xlfn.NORM.INV(RAND(),ASSUMPTIONS!$C$43,ASSUMPTIONS!$C$71)</f>
        <v/>
      </c>
      <c r="L1040" s="84">
        <f>(((ASSUMPTIONS!$C$18*J1040*(1-ASSUMPTIONS!$C$20)+ASSUMPTIONS!$C$18*ASSUMPTIONS!$C$21-ASSUMPTIONS!$C$18*ASSUMPTIONS!$C$22)*(1+H1040)*(1-((1+H1040)/(1+I1040))^5)/(I1040-H1040))+((ASSUMPTIONS!$C$18*J1040*(1-ASSUMPTIONS!$C$20)+ASSUMPTIONS!$C$18*ASSUMPTIONS!$C$21-ASSUMPTIONS!$C$18*ASSUMPTIONS!$C$22)*(1+H1040)^5*(1+K1040)/(I1040-K1040)/(1+I1040)^5)-DCF!$C$12)/ASSUMPTIONS!$C$7</f>
        <v/>
      </c>
    </row>
    <row r="1041">
      <c r="H1041" s="83">
        <f>_xlfn.NORM.INV(RAND(),AVERAGE(ASSUMPTIONS!$C$38,ASSUMPTIONS!$C$39,ASSUMPTIONS!$C$40,ASSUMPTIONS!$C$41,ASSUMPTIONS!$C$42),ASSUMPTIONS!$C$68)</f>
        <v/>
      </c>
      <c r="I1041" s="83">
        <f>MAX(_xlfn.NORM.INV(RAND(),DCF!$C$11,ASSUMPTIONS!$C$69),K1041+0.005)</f>
        <v/>
      </c>
      <c r="J1041" s="83">
        <f>_xlfn.NORM.INV(RAND(),ASSUMPTIONS!$C$19,ASSUMPTIONS!$C$70)</f>
        <v/>
      </c>
      <c r="K1041" s="83">
        <f>_xlfn.NORM.INV(RAND(),ASSUMPTIONS!$C$43,ASSUMPTIONS!$C$71)</f>
        <v/>
      </c>
      <c r="L1041" s="84">
        <f>(((ASSUMPTIONS!$C$18*J1041*(1-ASSUMPTIONS!$C$20)+ASSUMPTIONS!$C$18*ASSUMPTIONS!$C$21-ASSUMPTIONS!$C$18*ASSUMPTIONS!$C$22)*(1+H1041)*(1-((1+H1041)/(1+I1041))^5)/(I1041-H1041))+((ASSUMPTIONS!$C$18*J1041*(1-ASSUMPTIONS!$C$20)+ASSUMPTIONS!$C$18*ASSUMPTIONS!$C$21-ASSUMPTIONS!$C$18*ASSUMPTIONS!$C$22)*(1+H1041)^5*(1+K1041)/(I1041-K1041)/(1+I1041)^5)-DCF!$C$12)/ASSUMPTIONS!$C$7</f>
        <v/>
      </c>
    </row>
    <row r="1042">
      <c r="H1042" s="83">
        <f>_xlfn.NORM.INV(RAND(),AVERAGE(ASSUMPTIONS!$C$38,ASSUMPTIONS!$C$39,ASSUMPTIONS!$C$40,ASSUMPTIONS!$C$41,ASSUMPTIONS!$C$42),ASSUMPTIONS!$C$68)</f>
        <v/>
      </c>
      <c r="I1042" s="83">
        <f>MAX(_xlfn.NORM.INV(RAND(),DCF!$C$11,ASSUMPTIONS!$C$69),K1042+0.005)</f>
        <v/>
      </c>
      <c r="J1042" s="83">
        <f>_xlfn.NORM.INV(RAND(),ASSUMPTIONS!$C$19,ASSUMPTIONS!$C$70)</f>
        <v/>
      </c>
      <c r="K1042" s="83">
        <f>_xlfn.NORM.INV(RAND(),ASSUMPTIONS!$C$43,ASSUMPTIONS!$C$71)</f>
        <v/>
      </c>
      <c r="L1042" s="84">
        <f>(((ASSUMPTIONS!$C$18*J1042*(1-ASSUMPTIONS!$C$20)+ASSUMPTIONS!$C$18*ASSUMPTIONS!$C$21-ASSUMPTIONS!$C$18*ASSUMPTIONS!$C$22)*(1+H1042)*(1-((1+H1042)/(1+I1042))^5)/(I1042-H1042))+((ASSUMPTIONS!$C$18*J1042*(1-ASSUMPTIONS!$C$20)+ASSUMPTIONS!$C$18*ASSUMPTIONS!$C$21-ASSUMPTIONS!$C$18*ASSUMPTIONS!$C$22)*(1+H1042)^5*(1+K1042)/(I1042-K1042)/(1+I1042)^5)-DCF!$C$12)/ASSUMPTIONS!$C$7</f>
        <v/>
      </c>
    </row>
    <row r="1043">
      <c r="H1043" s="83">
        <f>_xlfn.NORM.INV(RAND(),AVERAGE(ASSUMPTIONS!$C$38,ASSUMPTIONS!$C$39,ASSUMPTIONS!$C$40,ASSUMPTIONS!$C$41,ASSUMPTIONS!$C$42),ASSUMPTIONS!$C$68)</f>
        <v/>
      </c>
      <c r="I1043" s="83">
        <f>MAX(_xlfn.NORM.INV(RAND(),DCF!$C$11,ASSUMPTIONS!$C$69),K1043+0.005)</f>
        <v/>
      </c>
      <c r="J1043" s="83">
        <f>_xlfn.NORM.INV(RAND(),ASSUMPTIONS!$C$19,ASSUMPTIONS!$C$70)</f>
        <v/>
      </c>
      <c r="K1043" s="83">
        <f>_xlfn.NORM.INV(RAND(),ASSUMPTIONS!$C$43,ASSUMPTIONS!$C$71)</f>
        <v/>
      </c>
      <c r="L1043" s="84">
        <f>(((ASSUMPTIONS!$C$18*J1043*(1-ASSUMPTIONS!$C$20)+ASSUMPTIONS!$C$18*ASSUMPTIONS!$C$21-ASSUMPTIONS!$C$18*ASSUMPTIONS!$C$22)*(1+H1043)*(1-((1+H1043)/(1+I1043))^5)/(I1043-H1043))+((ASSUMPTIONS!$C$18*J1043*(1-ASSUMPTIONS!$C$20)+ASSUMPTIONS!$C$18*ASSUMPTIONS!$C$21-ASSUMPTIONS!$C$18*ASSUMPTIONS!$C$22)*(1+H1043)^5*(1+K1043)/(I1043-K1043)/(1+I1043)^5)-DCF!$C$12)/ASSUMPTIONS!$C$7</f>
        <v/>
      </c>
    </row>
    <row r="1044">
      <c r="H1044" s="83">
        <f>_xlfn.NORM.INV(RAND(),AVERAGE(ASSUMPTIONS!$C$38,ASSUMPTIONS!$C$39,ASSUMPTIONS!$C$40,ASSUMPTIONS!$C$41,ASSUMPTIONS!$C$42),ASSUMPTIONS!$C$68)</f>
        <v/>
      </c>
      <c r="I1044" s="83">
        <f>MAX(_xlfn.NORM.INV(RAND(),DCF!$C$11,ASSUMPTIONS!$C$69),K1044+0.005)</f>
        <v/>
      </c>
      <c r="J1044" s="83">
        <f>_xlfn.NORM.INV(RAND(),ASSUMPTIONS!$C$19,ASSUMPTIONS!$C$70)</f>
        <v/>
      </c>
      <c r="K1044" s="83">
        <f>_xlfn.NORM.INV(RAND(),ASSUMPTIONS!$C$43,ASSUMPTIONS!$C$71)</f>
        <v/>
      </c>
      <c r="L1044" s="84">
        <f>(((ASSUMPTIONS!$C$18*J1044*(1-ASSUMPTIONS!$C$20)+ASSUMPTIONS!$C$18*ASSUMPTIONS!$C$21-ASSUMPTIONS!$C$18*ASSUMPTIONS!$C$22)*(1+H1044)*(1-((1+H1044)/(1+I1044))^5)/(I1044-H1044))+((ASSUMPTIONS!$C$18*J1044*(1-ASSUMPTIONS!$C$20)+ASSUMPTIONS!$C$18*ASSUMPTIONS!$C$21-ASSUMPTIONS!$C$18*ASSUMPTIONS!$C$22)*(1+H1044)^5*(1+K1044)/(I1044-K1044)/(1+I1044)^5)-DCF!$C$12)/ASSUMPTIONS!$C$7</f>
        <v/>
      </c>
    </row>
    <row r="1045">
      <c r="H1045" s="83">
        <f>_xlfn.NORM.INV(RAND(),AVERAGE(ASSUMPTIONS!$C$38,ASSUMPTIONS!$C$39,ASSUMPTIONS!$C$40,ASSUMPTIONS!$C$41,ASSUMPTIONS!$C$42),ASSUMPTIONS!$C$68)</f>
        <v/>
      </c>
      <c r="I1045" s="83">
        <f>MAX(_xlfn.NORM.INV(RAND(),DCF!$C$11,ASSUMPTIONS!$C$69),K1045+0.005)</f>
        <v/>
      </c>
      <c r="J1045" s="83">
        <f>_xlfn.NORM.INV(RAND(),ASSUMPTIONS!$C$19,ASSUMPTIONS!$C$70)</f>
        <v/>
      </c>
      <c r="K1045" s="83">
        <f>_xlfn.NORM.INV(RAND(),ASSUMPTIONS!$C$43,ASSUMPTIONS!$C$71)</f>
        <v/>
      </c>
      <c r="L1045" s="84">
        <f>(((ASSUMPTIONS!$C$18*J1045*(1-ASSUMPTIONS!$C$20)+ASSUMPTIONS!$C$18*ASSUMPTIONS!$C$21-ASSUMPTIONS!$C$18*ASSUMPTIONS!$C$22)*(1+H1045)*(1-((1+H1045)/(1+I1045))^5)/(I1045-H1045))+((ASSUMPTIONS!$C$18*J1045*(1-ASSUMPTIONS!$C$20)+ASSUMPTIONS!$C$18*ASSUMPTIONS!$C$21-ASSUMPTIONS!$C$18*ASSUMPTIONS!$C$22)*(1+H1045)^5*(1+K1045)/(I1045-K1045)/(1+I1045)^5)-DCF!$C$12)/ASSUMPTIONS!$C$7</f>
        <v/>
      </c>
    </row>
    <row r="1046">
      <c r="H1046" s="83">
        <f>_xlfn.NORM.INV(RAND(),AVERAGE(ASSUMPTIONS!$C$38,ASSUMPTIONS!$C$39,ASSUMPTIONS!$C$40,ASSUMPTIONS!$C$41,ASSUMPTIONS!$C$42),ASSUMPTIONS!$C$68)</f>
        <v/>
      </c>
      <c r="I1046" s="83">
        <f>MAX(_xlfn.NORM.INV(RAND(),DCF!$C$11,ASSUMPTIONS!$C$69),K1046+0.005)</f>
        <v/>
      </c>
      <c r="J1046" s="83">
        <f>_xlfn.NORM.INV(RAND(),ASSUMPTIONS!$C$19,ASSUMPTIONS!$C$70)</f>
        <v/>
      </c>
      <c r="K1046" s="83">
        <f>_xlfn.NORM.INV(RAND(),ASSUMPTIONS!$C$43,ASSUMPTIONS!$C$71)</f>
        <v/>
      </c>
      <c r="L1046" s="84">
        <f>(((ASSUMPTIONS!$C$18*J1046*(1-ASSUMPTIONS!$C$20)+ASSUMPTIONS!$C$18*ASSUMPTIONS!$C$21-ASSUMPTIONS!$C$18*ASSUMPTIONS!$C$22)*(1+H1046)*(1-((1+H1046)/(1+I1046))^5)/(I1046-H1046))+((ASSUMPTIONS!$C$18*J1046*(1-ASSUMPTIONS!$C$20)+ASSUMPTIONS!$C$18*ASSUMPTIONS!$C$21-ASSUMPTIONS!$C$18*ASSUMPTIONS!$C$22)*(1+H1046)^5*(1+K1046)/(I1046-K1046)/(1+I1046)^5)-DCF!$C$12)/ASSUMPTIONS!$C$7</f>
        <v/>
      </c>
    </row>
    <row r="1047">
      <c r="H1047" s="83">
        <f>_xlfn.NORM.INV(RAND(),AVERAGE(ASSUMPTIONS!$C$38,ASSUMPTIONS!$C$39,ASSUMPTIONS!$C$40,ASSUMPTIONS!$C$41,ASSUMPTIONS!$C$42),ASSUMPTIONS!$C$68)</f>
        <v/>
      </c>
      <c r="I1047" s="83">
        <f>MAX(_xlfn.NORM.INV(RAND(),DCF!$C$11,ASSUMPTIONS!$C$69),K1047+0.005)</f>
        <v/>
      </c>
      <c r="J1047" s="83">
        <f>_xlfn.NORM.INV(RAND(),ASSUMPTIONS!$C$19,ASSUMPTIONS!$C$70)</f>
        <v/>
      </c>
      <c r="K1047" s="83">
        <f>_xlfn.NORM.INV(RAND(),ASSUMPTIONS!$C$43,ASSUMPTIONS!$C$71)</f>
        <v/>
      </c>
      <c r="L1047" s="84">
        <f>(((ASSUMPTIONS!$C$18*J1047*(1-ASSUMPTIONS!$C$20)+ASSUMPTIONS!$C$18*ASSUMPTIONS!$C$21-ASSUMPTIONS!$C$18*ASSUMPTIONS!$C$22)*(1+H1047)*(1-((1+H1047)/(1+I1047))^5)/(I1047-H1047))+((ASSUMPTIONS!$C$18*J1047*(1-ASSUMPTIONS!$C$20)+ASSUMPTIONS!$C$18*ASSUMPTIONS!$C$21-ASSUMPTIONS!$C$18*ASSUMPTIONS!$C$22)*(1+H1047)^5*(1+K1047)/(I1047-K1047)/(1+I1047)^5)-DCF!$C$12)/ASSUMPTIONS!$C$7</f>
        <v/>
      </c>
    </row>
    <row r="1048">
      <c r="H1048" s="83">
        <f>_xlfn.NORM.INV(RAND(),AVERAGE(ASSUMPTIONS!$C$38,ASSUMPTIONS!$C$39,ASSUMPTIONS!$C$40,ASSUMPTIONS!$C$41,ASSUMPTIONS!$C$42),ASSUMPTIONS!$C$68)</f>
        <v/>
      </c>
      <c r="I1048" s="83">
        <f>MAX(_xlfn.NORM.INV(RAND(),DCF!$C$11,ASSUMPTIONS!$C$69),K1048+0.005)</f>
        <v/>
      </c>
      <c r="J1048" s="83">
        <f>_xlfn.NORM.INV(RAND(),ASSUMPTIONS!$C$19,ASSUMPTIONS!$C$70)</f>
        <v/>
      </c>
      <c r="K1048" s="83">
        <f>_xlfn.NORM.INV(RAND(),ASSUMPTIONS!$C$43,ASSUMPTIONS!$C$71)</f>
        <v/>
      </c>
      <c r="L1048" s="84">
        <f>(((ASSUMPTIONS!$C$18*J1048*(1-ASSUMPTIONS!$C$20)+ASSUMPTIONS!$C$18*ASSUMPTIONS!$C$21-ASSUMPTIONS!$C$18*ASSUMPTIONS!$C$22)*(1+H1048)*(1-((1+H1048)/(1+I1048))^5)/(I1048-H1048))+((ASSUMPTIONS!$C$18*J1048*(1-ASSUMPTIONS!$C$20)+ASSUMPTIONS!$C$18*ASSUMPTIONS!$C$21-ASSUMPTIONS!$C$18*ASSUMPTIONS!$C$22)*(1+H1048)^5*(1+K1048)/(I1048-K1048)/(1+I1048)^5)-DCF!$C$12)/ASSUMPTIONS!$C$7</f>
        <v/>
      </c>
    </row>
    <row r="1049">
      <c r="H1049" s="83">
        <f>_xlfn.NORM.INV(RAND(),AVERAGE(ASSUMPTIONS!$C$38,ASSUMPTIONS!$C$39,ASSUMPTIONS!$C$40,ASSUMPTIONS!$C$41,ASSUMPTIONS!$C$42),ASSUMPTIONS!$C$68)</f>
        <v/>
      </c>
      <c r="I1049" s="83">
        <f>MAX(_xlfn.NORM.INV(RAND(),DCF!$C$11,ASSUMPTIONS!$C$69),K1049+0.005)</f>
        <v/>
      </c>
      <c r="J1049" s="83">
        <f>_xlfn.NORM.INV(RAND(),ASSUMPTIONS!$C$19,ASSUMPTIONS!$C$70)</f>
        <v/>
      </c>
      <c r="K1049" s="83">
        <f>_xlfn.NORM.INV(RAND(),ASSUMPTIONS!$C$43,ASSUMPTIONS!$C$71)</f>
        <v/>
      </c>
      <c r="L1049" s="84">
        <f>(((ASSUMPTIONS!$C$18*J1049*(1-ASSUMPTIONS!$C$20)+ASSUMPTIONS!$C$18*ASSUMPTIONS!$C$21-ASSUMPTIONS!$C$18*ASSUMPTIONS!$C$22)*(1+H1049)*(1-((1+H1049)/(1+I1049))^5)/(I1049-H1049))+((ASSUMPTIONS!$C$18*J1049*(1-ASSUMPTIONS!$C$20)+ASSUMPTIONS!$C$18*ASSUMPTIONS!$C$21-ASSUMPTIONS!$C$18*ASSUMPTIONS!$C$22)*(1+H1049)^5*(1+K1049)/(I1049-K1049)/(1+I1049)^5)-DCF!$C$12)/ASSUMPTIONS!$C$7</f>
        <v/>
      </c>
    </row>
    <row r="1050">
      <c r="H1050" s="83">
        <f>_xlfn.NORM.INV(RAND(),AVERAGE(ASSUMPTIONS!$C$38,ASSUMPTIONS!$C$39,ASSUMPTIONS!$C$40,ASSUMPTIONS!$C$41,ASSUMPTIONS!$C$42),ASSUMPTIONS!$C$68)</f>
        <v/>
      </c>
      <c r="I1050" s="83">
        <f>MAX(_xlfn.NORM.INV(RAND(),DCF!$C$11,ASSUMPTIONS!$C$69),K1050+0.005)</f>
        <v/>
      </c>
      <c r="J1050" s="83">
        <f>_xlfn.NORM.INV(RAND(),ASSUMPTIONS!$C$19,ASSUMPTIONS!$C$70)</f>
        <v/>
      </c>
      <c r="K1050" s="83">
        <f>_xlfn.NORM.INV(RAND(),ASSUMPTIONS!$C$43,ASSUMPTIONS!$C$71)</f>
        <v/>
      </c>
      <c r="L1050" s="84">
        <f>(((ASSUMPTIONS!$C$18*J1050*(1-ASSUMPTIONS!$C$20)+ASSUMPTIONS!$C$18*ASSUMPTIONS!$C$21-ASSUMPTIONS!$C$18*ASSUMPTIONS!$C$22)*(1+H1050)*(1-((1+H1050)/(1+I1050))^5)/(I1050-H1050))+((ASSUMPTIONS!$C$18*J1050*(1-ASSUMPTIONS!$C$20)+ASSUMPTIONS!$C$18*ASSUMPTIONS!$C$21-ASSUMPTIONS!$C$18*ASSUMPTIONS!$C$22)*(1+H1050)^5*(1+K1050)/(I1050-K1050)/(1+I1050)^5)-DCF!$C$12)/ASSUMPTIONS!$C$7</f>
        <v/>
      </c>
    </row>
    <row r="1051">
      <c r="H1051" s="83">
        <f>_xlfn.NORM.INV(RAND(),AVERAGE(ASSUMPTIONS!$C$38,ASSUMPTIONS!$C$39,ASSUMPTIONS!$C$40,ASSUMPTIONS!$C$41,ASSUMPTIONS!$C$42),ASSUMPTIONS!$C$68)</f>
        <v/>
      </c>
      <c r="I1051" s="83">
        <f>MAX(_xlfn.NORM.INV(RAND(),DCF!$C$11,ASSUMPTIONS!$C$69),K1051+0.005)</f>
        <v/>
      </c>
      <c r="J1051" s="83">
        <f>_xlfn.NORM.INV(RAND(),ASSUMPTIONS!$C$19,ASSUMPTIONS!$C$70)</f>
        <v/>
      </c>
      <c r="K1051" s="83">
        <f>_xlfn.NORM.INV(RAND(),ASSUMPTIONS!$C$43,ASSUMPTIONS!$C$71)</f>
        <v/>
      </c>
      <c r="L1051" s="84">
        <f>(((ASSUMPTIONS!$C$18*J1051*(1-ASSUMPTIONS!$C$20)+ASSUMPTIONS!$C$18*ASSUMPTIONS!$C$21-ASSUMPTIONS!$C$18*ASSUMPTIONS!$C$22)*(1+H1051)*(1-((1+H1051)/(1+I1051))^5)/(I1051-H1051))+((ASSUMPTIONS!$C$18*J1051*(1-ASSUMPTIONS!$C$20)+ASSUMPTIONS!$C$18*ASSUMPTIONS!$C$21-ASSUMPTIONS!$C$18*ASSUMPTIONS!$C$22)*(1+H1051)^5*(1+K1051)/(I1051-K1051)/(1+I1051)^5)-DCF!$C$12)/ASSUMPTIONS!$C$7</f>
        <v/>
      </c>
    </row>
    <row r="1052">
      <c r="H1052" s="83">
        <f>_xlfn.NORM.INV(RAND(),AVERAGE(ASSUMPTIONS!$C$38,ASSUMPTIONS!$C$39,ASSUMPTIONS!$C$40,ASSUMPTIONS!$C$41,ASSUMPTIONS!$C$42),ASSUMPTIONS!$C$68)</f>
        <v/>
      </c>
      <c r="I1052" s="83">
        <f>MAX(_xlfn.NORM.INV(RAND(),DCF!$C$11,ASSUMPTIONS!$C$69),K1052+0.005)</f>
        <v/>
      </c>
      <c r="J1052" s="83">
        <f>_xlfn.NORM.INV(RAND(),ASSUMPTIONS!$C$19,ASSUMPTIONS!$C$70)</f>
        <v/>
      </c>
      <c r="K1052" s="83">
        <f>_xlfn.NORM.INV(RAND(),ASSUMPTIONS!$C$43,ASSUMPTIONS!$C$71)</f>
        <v/>
      </c>
      <c r="L1052" s="84">
        <f>(((ASSUMPTIONS!$C$18*J1052*(1-ASSUMPTIONS!$C$20)+ASSUMPTIONS!$C$18*ASSUMPTIONS!$C$21-ASSUMPTIONS!$C$18*ASSUMPTIONS!$C$22)*(1+H1052)*(1-((1+H1052)/(1+I1052))^5)/(I1052-H1052))+((ASSUMPTIONS!$C$18*J1052*(1-ASSUMPTIONS!$C$20)+ASSUMPTIONS!$C$18*ASSUMPTIONS!$C$21-ASSUMPTIONS!$C$18*ASSUMPTIONS!$C$22)*(1+H1052)^5*(1+K1052)/(I1052-K1052)/(1+I1052)^5)-DCF!$C$12)/ASSUMPTIONS!$C$7</f>
        <v/>
      </c>
    </row>
    <row r="1053">
      <c r="H1053" s="83">
        <f>_xlfn.NORM.INV(RAND(),AVERAGE(ASSUMPTIONS!$C$38,ASSUMPTIONS!$C$39,ASSUMPTIONS!$C$40,ASSUMPTIONS!$C$41,ASSUMPTIONS!$C$42),ASSUMPTIONS!$C$68)</f>
        <v/>
      </c>
      <c r="I1053" s="83">
        <f>MAX(_xlfn.NORM.INV(RAND(),DCF!$C$11,ASSUMPTIONS!$C$69),K1053+0.005)</f>
        <v/>
      </c>
      <c r="J1053" s="83">
        <f>_xlfn.NORM.INV(RAND(),ASSUMPTIONS!$C$19,ASSUMPTIONS!$C$70)</f>
        <v/>
      </c>
      <c r="K1053" s="83">
        <f>_xlfn.NORM.INV(RAND(),ASSUMPTIONS!$C$43,ASSUMPTIONS!$C$71)</f>
        <v/>
      </c>
      <c r="L1053" s="84">
        <f>(((ASSUMPTIONS!$C$18*J1053*(1-ASSUMPTIONS!$C$20)+ASSUMPTIONS!$C$18*ASSUMPTIONS!$C$21-ASSUMPTIONS!$C$18*ASSUMPTIONS!$C$22)*(1+H1053)*(1-((1+H1053)/(1+I1053))^5)/(I1053-H1053))+((ASSUMPTIONS!$C$18*J1053*(1-ASSUMPTIONS!$C$20)+ASSUMPTIONS!$C$18*ASSUMPTIONS!$C$21-ASSUMPTIONS!$C$18*ASSUMPTIONS!$C$22)*(1+H1053)^5*(1+K1053)/(I1053-K1053)/(1+I1053)^5)-DCF!$C$12)/ASSUMPTIONS!$C$7</f>
        <v/>
      </c>
    </row>
    <row r="1054">
      <c r="H1054" s="83">
        <f>_xlfn.NORM.INV(RAND(),AVERAGE(ASSUMPTIONS!$C$38,ASSUMPTIONS!$C$39,ASSUMPTIONS!$C$40,ASSUMPTIONS!$C$41,ASSUMPTIONS!$C$42),ASSUMPTIONS!$C$68)</f>
        <v/>
      </c>
      <c r="I1054" s="83">
        <f>MAX(_xlfn.NORM.INV(RAND(),DCF!$C$11,ASSUMPTIONS!$C$69),K1054+0.005)</f>
        <v/>
      </c>
      <c r="J1054" s="83">
        <f>_xlfn.NORM.INV(RAND(),ASSUMPTIONS!$C$19,ASSUMPTIONS!$C$70)</f>
        <v/>
      </c>
      <c r="K1054" s="83">
        <f>_xlfn.NORM.INV(RAND(),ASSUMPTIONS!$C$43,ASSUMPTIONS!$C$71)</f>
        <v/>
      </c>
      <c r="L1054" s="84">
        <f>(((ASSUMPTIONS!$C$18*J1054*(1-ASSUMPTIONS!$C$20)+ASSUMPTIONS!$C$18*ASSUMPTIONS!$C$21-ASSUMPTIONS!$C$18*ASSUMPTIONS!$C$22)*(1+H1054)*(1-((1+H1054)/(1+I1054))^5)/(I1054-H1054))+((ASSUMPTIONS!$C$18*J1054*(1-ASSUMPTIONS!$C$20)+ASSUMPTIONS!$C$18*ASSUMPTIONS!$C$21-ASSUMPTIONS!$C$18*ASSUMPTIONS!$C$22)*(1+H1054)^5*(1+K1054)/(I1054-K1054)/(1+I1054)^5)-DCF!$C$12)/ASSUMPTIONS!$C$7</f>
        <v/>
      </c>
    </row>
    <row r="1055">
      <c r="H1055" s="83">
        <f>_xlfn.NORM.INV(RAND(),AVERAGE(ASSUMPTIONS!$C$38,ASSUMPTIONS!$C$39,ASSUMPTIONS!$C$40,ASSUMPTIONS!$C$41,ASSUMPTIONS!$C$42),ASSUMPTIONS!$C$68)</f>
        <v/>
      </c>
      <c r="I1055" s="83">
        <f>MAX(_xlfn.NORM.INV(RAND(),DCF!$C$11,ASSUMPTIONS!$C$69),K1055+0.005)</f>
        <v/>
      </c>
      <c r="J1055" s="83">
        <f>_xlfn.NORM.INV(RAND(),ASSUMPTIONS!$C$19,ASSUMPTIONS!$C$70)</f>
        <v/>
      </c>
      <c r="K1055" s="83">
        <f>_xlfn.NORM.INV(RAND(),ASSUMPTIONS!$C$43,ASSUMPTIONS!$C$71)</f>
        <v/>
      </c>
      <c r="L1055" s="84">
        <f>(((ASSUMPTIONS!$C$18*J1055*(1-ASSUMPTIONS!$C$20)+ASSUMPTIONS!$C$18*ASSUMPTIONS!$C$21-ASSUMPTIONS!$C$18*ASSUMPTIONS!$C$22)*(1+H1055)*(1-((1+H1055)/(1+I1055))^5)/(I1055-H1055))+((ASSUMPTIONS!$C$18*J1055*(1-ASSUMPTIONS!$C$20)+ASSUMPTIONS!$C$18*ASSUMPTIONS!$C$21-ASSUMPTIONS!$C$18*ASSUMPTIONS!$C$22)*(1+H1055)^5*(1+K1055)/(I1055-K1055)/(1+I1055)^5)-DCF!$C$12)/ASSUMPTIONS!$C$7</f>
        <v/>
      </c>
    </row>
    <row r="1056">
      <c r="H1056" s="83">
        <f>_xlfn.NORM.INV(RAND(),AVERAGE(ASSUMPTIONS!$C$38,ASSUMPTIONS!$C$39,ASSUMPTIONS!$C$40,ASSUMPTIONS!$C$41,ASSUMPTIONS!$C$42),ASSUMPTIONS!$C$68)</f>
        <v/>
      </c>
      <c r="I1056" s="83">
        <f>MAX(_xlfn.NORM.INV(RAND(),DCF!$C$11,ASSUMPTIONS!$C$69),K1056+0.005)</f>
        <v/>
      </c>
      <c r="J1056" s="83">
        <f>_xlfn.NORM.INV(RAND(),ASSUMPTIONS!$C$19,ASSUMPTIONS!$C$70)</f>
        <v/>
      </c>
      <c r="K1056" s="83">
        <f>_xlfn.NORM.INV(RAND(),ASSUMPTIONS!$C$43,ASSUMPTIONS!$C$71)</f>
        <v/>
      </c>
      <c r="L1056" s="84">
        <f>(((ASSUMPTIONS!$C$18*J1056*(1-ASSUMPTIONS!$C$20)+ASSUMPTIONS!$C$18*ASSUMPTIONS!$C$21-ASSUMPTIONS!$C$18*ASSUMPTIONS!$C$22)*(1+H1056)*(1-((1+H1056)/(1+I1056))^5)/(I1056-H1056))+((ASSUMPTIONS!$C$18*J1056*(1-ASSUMPTIONS!$C$20)+ASSUMPTIONS!$C$18*ASSUMPTIONS!$C$21-ASSUMPTIONS!$C$18*ASSUMPTIONS!$C$22)*(1+H1056)^5*(1+K1056)/(I1056-K1056)/(1+I1056)^5)-DCF!$C$12)/ASSUMPTIONS!$C$7</f>
        <v/>
      </c>
    </row>
    <row r="1057">
      <c r="H1057" s="83">
        <f>_xlfn.NORM.INV(RAND(),AVERAGE(ASSUMPTIONS!$C$38,ASSUMPTIONS!$C$39,ASSUMPTIONS!$C$40,ASSUMPTIONS!$C$41,ASSUMPTIONS!$C$42),ASSUMPTIONS!$C$68)</f>
        <v/>
      </c>
      <c r="I1057" s="83">
        <f>MAX(_xlfn.NORM.INV(RAND(),DCF!$C$11,ASSUMPTIONS!$C$69),K1057+0.005)</f>
        <v/>
      </c>
      <c r="J1057" s="83">
        <f>_xlfn.NORM.INV(RAND(),ASSUMPTIONS!$C$19,ASSUMPTIONS!$C$70)</f>
        <v/>
      </c>
      <c r="K1057" s="83">
        <f>_xlfn.NORM.INV(RAND(),ASSUMPTIONS!$C$43,ASSUMPTIONS!$C$71)</f>
        <v/>
      </c>
      <c r="L1057" s="84">
        <f>(((ASSUMPTIONS!$C$18*J1057*(1-ASSUMPTIONS!$C$20)+ASSUMPTIONS!$C$18*ASSUMPTIONS!$C$21-ASSUMPTIONS!$C$18*ASSUMPTIONS!$C$22)*(1+H1057)*(1-((1+H1057)/(1+I1057))^5)/(I1057-H1057))+((ASSUMPTIONS!$C$18*J1057*(1-ASSUMPTIONS!$C$20)+ASSUMPTIONS!$C$18*ASSUMPTIONS!$C$21-ASSUMPTIONS!$C$18*ASSUMPTIONS!$C$22)*(1+H1057)^5*(1+K1057)/(I1057-K1057)/(1+I1057)^5)-DCF!$C$12)/ASSUMPTIONS!$C$7</f>
        <v/>
      </c>
    </row>
    <row r="1058">
      <c r="H1058" s="83">
        <f>_xlfn.NORM.INV(RAND(),AVERAGE(ASSUMPTIONS!$C$38,ASSUMPTIONS!$C$39,ASSUMPTIONS!$C$40,ASSUMPTIONS!$C$41,ASSUMPTIONS!$C$42),ASSUMPTIONS!$C$68)</f>
        <v/>
      </c>
      <c r="I1058" s="83">
        <f>MAX(_xlfn.NORM.INV(RAND(),DCF!$C$11,ASSUMPTIONS!$C$69),K1058+0.005)</f>
        <v/>
      </c>
      <c r="J1058" s="83">
        <f>_xlfn.NORM.INV(RAND(),ASSUMPTIONS!$C$19,ASSUMPTIONS!$C$70)</f>
        <v/>
      </c>
      <c r="K1058" s="83">
        <f>_xlfn.NORM.INV(RAND(),ASSUMPTIONS!$C$43,ASSUMPTIONS!$C$71)</f>
        <v/>
      </c>
      <c r="L1058" s="84">
        <f>(((ASSUMPTIONS!$C$18*J1058*(1-ASSUMPTIONS!$C$20)+ASSUMPTIONS!$C$18*ASSUMPTIONS!$C$21-ASSUMPTIONS!$C$18*ASSUMPTIONS!$C$22)*(1+H1058)*(1-((1+H1058)/(1+I1058))^5)/(I1058-H1058))+((ASSUMPTIONS!$C$18*J1058*(1-ASSUMPTIONS!$C$20)+ASSUMPTIONS!$C$18*ASSUMPTIONS!$C$21-ASSUMPTIONS!$C$18*ASSUMPTIONS!$C$22)*(1+H1058)^5*(1+K1058)/(I1058-K1058)/(1+I1058)^5)-DCF!$C$12)/ASSUMPTIONS!$C$7</f>
        <v/>
      </c>
    </row>
    <row r="1059">
      <c r="H1059" s="83">
        <f>_xlfn.NORM.INV(RAND(),AVERAGE(ASSUMPTIONS!$C$38,ASSUMPTIONS!$C$39,ASSUMPTIONS!$C$40,ASSUMPTIONS!$C$41,ASSUMPTIONS!$C$42),ASSUMPTIONS!$C$68)</f>
        <v/>
      </c>
      <c r="I1059" s="83">
        <f>MAX(_xlfn.NORM.INV(RAND(),DCF!$C$11,ASSUMPTIONS!$C$69),K1059+0.005)</f>
        <v/>
      </c>
      <c r="J1059" s="83">
        <f>_xlfn.NORM.INV(RAND(),ASSUMPTIONS!$C$19,ASSUMPTIONS!$C$70)</f>
        <v/>
      </c>
      <c r="K1059" s="83">
        <f>_xlfn.NORM.INV(RAND(),ASSUMPTIONS!$C$43,ASSUMPTIONS!$C$71)</f>
        <v/>
      </c>
      <c r="L1059" s="84">
        <f>(((ASSUMPTIONS!$C$18*J1059*(1-ASSUMPTIONS!$C$20)+ASSUMPTIONS!$C$18*ASSUMPTIONS!$C$21-ASSUMPTIONS!$C$18*ASSUMPTIONS!$C$22)*(1+H1059)*(1-((1+H1059)/(1+I1059))^5)/(I1059-H1059))+((ASSUMPTIONS!$C$18*J1059*(1-ASSUMPTIONS!$C$20)+ASSUMPTIONS!$C$18*ASSUMPTIONS!$C$21-ASSUMPTIONS!$C$18*ASSUMPTIONS!$C$22)*(1+H1059)^5*(1+K1059)/(I1059-K1059)/(1+I1059)^5)-DCF!$C$12)/ASSUMPTIONS!$C$7</f>
        <v/>
      </c>
    </row>
    <row r="1060">
      <c r="H1060" s="83">
        <f>_xlfn.NORM.INV(RAND(),AVERAGE(ASSUMPTIONS!$C$38,ASSUMPTIONS!$C$39,ASSUMPTIONS!$C$40,ASSUMPTIONS!$C$41,ASSUMPTIONS!$C$42),ASSUMPTIONS!$C$68)</f>
        <v/>
      </c>
      <c r="I1060" s="83">
        <f>MAX(_xlfn.NORM.INV(RAND(),DCF!$C$11,ASSUMPTIONS!$C$69),K1060+0.005)</f>
        <v/>
      </c>
      <c r="J1060" s="83">
        <f>_xlfn.NORM.INV(RAND(),ASSUMPTIONS!$C$19,ASSUMPTIONS!$C$70)</f>
        <v/>
      </c>
      <c r="K1060" s="83">
        <f>_xlfn.NORM.INV(RAND(),ASSUMPTIONS!$C$43,ASSUMPTIONS!$C$71)</f>
        <v/>
      </c>
      <c r="L1060" s="84">
        <f>(((ASSUMPTIONS!$C$18*J1060*(1-ASSUMPTIONS!$C$20)+ASSUMPTIONS!$C$18*ASSUMPTIONS!$C$21-ASSUMPTIONS!$C$18*ASSUMPTIONS!$C$22)*(1+H1060)*(1-((1+H1060)/(1+I1060))^5)/(I1060-H1060))+((ASSUMPTIONS!$C$18*J1060*(1-ASSUMPTIONS!$C$20)+ASSUMPTIONS!$C$18*ASSUMPTIONS!$C$21-ASSUMPTIONS!$C$18*ASSUMPTIONS!$C$22)*(1+H1060)^5*(1+K1060)/(I1060-K1060)/(1+I1060)^5)-DCF!$C$12)/ASSUMPTIONS!$C$7</f>
        <v/>
      </c>
    </row>
    <row r="1061">
      <c r="H1061" s="83">
        <f>_xlfn.NORM.INV(RAND(),AVERAGE(ASSUMPTIONS!$C$38,ASSUMPTIONS!$C$39,ASSUMPTIONS!$C$40,ASSUMPTIONS!$C$41,ASSUMPTIONS!$C$42),ASSUMPTIONS!$C$68)</f>
        <v/>
      </c>
      <c r="I1061" s="83">
        <f>MAX(_xlfn.NORM.INV(RAND(),DCF!$C$11,ASSUMPTIONS!$C$69),K1061+0.005)</f>
        <v/>
      </c>
      <c r="J1061" s="83">
        <f>_xlfn.NORM.INV(RAND(),ASSUMPTIONS!$C$19,ASSUMPTIONS!$C$70)</f>
        <v/>
      </c>
      <c r="K1061" s="83">
        <f>_xlfn.NORM.INV(RAND(),ASSUMPTIONS!$C$43,ASSUMPTIONS!$C$71)</f>
        <v/>
      </c>
      <c r="L1061" s="84">
        <f>(((ASSUMPTIONS!$C$18*J1061*(1-ASSUMPTIONS!$C$20)+ASSUMPTIONS!$C$18*ASSUMPTIONS!$C$21-ASSUMPTIONS!$C$18*ASSUMPTIONS!$C$22)*(1+H1061)*(1-((1+H1061)/(1+I1061))^5)/(I1061-H1061))+((ASSUMPTIONS!$C$18*J1061*(1-ASSUMPTIONS!$C$20)+ASSUMPTIONS!$C$18*ASSUMPTIONS!$C$21-ASSUMPTIONS!$C$18*ASSUMPTIONS!$C$22)*(1+H1061)^5*(1+K1061)/(I1061-K1061)/(1+I1061)^5)-DCF!$C$12)/ASSUMPTIONS!$C$7</f>
        <v/>
      </c>
    </row>
    <row r="1062">
      <c r="H1062" s="83">
        <f>_xlfn.NORM.INV(RAND(),AVERAGE(ASSUMPTIONS!$C$38,ASSUMPTIONS!$C$39,ASSUMPTIONS!$C$40,ASSUMPTIONS!$C$41,ASSUMPTIONS!$C$42),ASSUMPTIONS!$C$68)</f>
        <v/>
      </c>
      <c r="I1062" s="83">
        <f>MAX(_xlfn.NORM.INV(RAND(),DCF!$C$11,ASSUMPTIONS!$C$69),K1062+0.005)</f>
        <v/>
      </c>
      <c r="J1062" s="83">
        <f>_xlfn.NORM.INV(RAND(),ASSUMPTIONS!$C$19,ASSUMPTIONS!$C$70)</f>
        <v/>
      </c>
      <c r="K1062" s="83">
        <f>_xlfn.NORM.INV(RAND(),ASSUMPTIONS!$C$43,ASSUMPTIONS!$C$71)</f>
        <v/>
      </c>
      <c r="L1062" s="84">
        <f>(((ASSUMPTIONS!$C$18*J1062*(1-ASSUMPTIONS!$C$20)+ASSUMPTIONS!$C$18*ASSUMPTIONS!$C$21-ASSUMPTIONS!$C$18*ASSUMPTIONS!$C$22)*(1+H1062)*(1-((1+H1062)/(1+I1062))^5)/(I1062-H1062))+((ASSUMPTIONS!$C$18*J1062*(1-ASSUMPTIONS!$C$20)+ASSUMPTIONS!$C$18*ASSUMPTIONS!$C$21-ASSUMPTIONS!$C$18*ASSUMPTIONS!$C$22)*(1+H1062)^5*(1+K1062)/(I1062-K1062)/(1+I1062)^5)-DCF!$C$12)/ASSUMPTIONS!$C$7</f>
        <v/>
      </c>
    </row>
    <row r="1063">
      <c r="H1063" s="83">
        <f>_xlfn.NORM.INV(RAND(),AVERAGE(ASSUMPTIONS!$C$38,ASSUMPTIONS!$C$39,ASSUMPTIONS!$C$40,ASSUMPTIONS!$C$41,ASSUMPTIONS!$C$42),ASSUMPTIONS!$C$68)</f>
        <v/>
      </c>
      <c r="I1063" s="83">
        <f>MAX(_xlfn.NORM.INV(RAND(),DCF!$C$11,ASSUMPTIONS!$C$69),K1063+0.005)</f>
        <v/>
      </c>
      <c r="J1063" s="83">
        <f>_xlfn.NORM.INV(RAND(),ASSUMPTIONS!$C$19,ASSUMPTIONS!$C$70)</f>
        <v/>
      </c>
      <c r="K1063" s="83">
        <f>_xlfn.NORM.INV(RAND(),ASSUMPTIONS!$C$43,ASSUMPTIONS!$C$71)</f>
        <v/>
      </c>
      <c r="L1063" s="84">
        <f>(((ASSUMPTIONS!$C$18*J1063*(1-ASSUMPTIONS!$C$20)+ASSUMPTIONS!$C$18*ASSUMPTIONS!$C$21-ASSUMPTIONS!$C$18*ASSUMPTIONS!$C$22)*(1+H1063)*(1-((1+H1063)/(1+I1063))^5)/(I1063-H1063))+((ASSUMPTIONS!$C$18*J1063*(1-ASSUMPTIONS!$C$20)+ASSUMPTIONS!$C$18*ASSUMPTIONS!$C$21-ASSUMPTIONS!$C$18*ASSUMPTIONS!$C$22)*(1+H1063)^5*(1+K1063)/(I1063-K1063)/(1+I1063)^5)-DCF!$C$12)/ASSUMPTIONS!$C$7</f>
        <v/>
      </c>
    </row>
    <row r="1064">
      <c r="H1064" s="83">
        <f>_xlfn.NORM.INV(RAND(),AVERAGE(ASSUMPTIONS!$C$38,ASSUMPTIONS!$C$39,ASSUMPTIONS!$C$40,ASSUMPTIONS!$C$41,ASSUMPTIONS!$C$42),ASSUMPTIONS!$C$68)</f>
        <v/>
      </c>
      <c r="I1064" s="83">
        <f>MAX(_xlfn.NORM.INV(RAND(),DCF!$C$11,ASSUMPTIONS!$C$69),K1064+0.005)</f>
        <v/>
      </c>
      <c r="J1064" s="83">
        <f>_xlfn.NORM.INV(RAND(),ASSUMPTIONS!$C$19,ASSUMPTIONS!$C$70)</f>
        <v/>
      </c>
      <c r="K1064" s="83">
        <f>_xlfn.NORM.INV(RAND(),ASSUMPTIONS!$C$43,ASSUMPTIONS!$C$71)</f>
        <v/>
      </c>
      <c r="L1064" s="84">
        <f>(((ASSUMPTIONS!$C$18*J1064*(1-ASSUMPTIONS!$C$20)+ASSUMPTIONS!$C$18*ASSUMPTIONS!$C$21-ASSUMPTIONS!$C$18*ASSUMPTIONS!$C$22)*(1+H1064)*(1-((1+H1064)/(1+I1064))^5)/(I1064-H1064))+((ASSUMPTIONS!$C$18*J1064*(1-ASSUMPTIONS!$C$20)+ASSUMPTIONS!$C$18*ASSUMPTIONS!$C$21-ASSUMPTIONS!$C$18*ASSUMPTIONS!$C$22)*(1+H1064)^5*(1+K1064)/(I1064-K1064)/(1+I1064)^5)-DCF!$C$12)/ASSUMPTIONS!$C$7</f>
        <v/>
      </c>
    </row>
    <row r="1065">
      <c r="H1065" s="83">
        <f>_xlfn.NORM.INV(RAND(),AVERAGE(ASSUMPTIONS!$C$38,ASSUMPTIONS!$C$39,ASSUMPTIONS!$C$40,ASSUMPTIONS!$C$41,ASSUMPTIONS!$C$42),ASSUMPTIONS!$C$68)</f>
        <v/>
      </c>
      <c r="I1065" s="83">
        <f>MAX(_xlfn.NORM.INV(RAND(),DCF!$C$11,ASSUMPTIONS!$C$69),K1065+0.005)</f>
        <v/>
      </c>
      <c r="J1065" s="83">
        <f>_xlfn.NORM.INV(RAND(),ASSUMPTIONS!$C$19,ASSUMPTIONS!$C$70)</f>
        <v/>
      </c>
      <c r="K1065" s="83">
        <f>_xlfn.NORM.INV(RAND(),ASSUMPTIONS!$C$43,ASSUMPTIONS!$C$71)</f>
        <v/>
      </c>
      <c r="L1065" s="84">
        <f>(((ASSUMPTIONS!$C$18*J1065*(1-ASSUMPTIONS!$C$20)+ASSUMPTIONS!$C$18*ASSUMPTIONS!$C$21-ASSUMPTIONS!$C$18*ASSUMPTIONS!$C$22)*(1+H1065)*(1-((1+H1065)/(1+I1065))^5)/(I1065-H1065))+((ASSUMPTIONS!$C$18*J1065*(1-ASSUMPTIONS!$C$20)+ASSUMPTIONS!$C$18*ASSUMPTIONS!$C$21-ASSUMPTIONS!$C$18*ASSUMPTIONS!$C$22)*(1+H1065)^5*(1+K1065)/(I1065-K1065)/(1+I1065)^5)-DCF!$C$12)/ASSUMPTIONS!$C$7</f>
        <v/>
      </c>
    </row>
    <row r="1066">
      <c r="H1066" s="83">
        <f>_xlfn.NORM.INV(RAND(),AVERAGE(ASSUMPTIONS!$C$38,ASSUMPTIONS!$C$39,ASSUMPTIONS!$C$40,ASSUMPTIONS!$C$41,ASSUMPTIONS!$C$42),ASSUMPTIONS!$C$68)</f>
        <v/>
      </c>
      <c r="I1066" s="83">
        <f>MAX(_xlfn.NORM.INV(RAND(),DCF!$C$11,ASSUMPTIONS!$C$69),K1066+0.005)</f>
        <v/>
      </c>
      <c r="J1066" s="83">
        <f>_xlfn.NORM.INV(RAND(),ASSUMPTIONS!$C$19,ASSUMPTIONS!$C$70)</f>
        <v/>
      </c>
      <c r="K1066" s="83">
        <f>_xlfn.NORM.INV(RAND(),ASSUMPTIONS!$C$43,ASSUMPTIONS!$C$71)</f>
        <v/>
      </c>
      <c r="L1066" s="84">
        <f>(((ASSUMPTIONS!$C$18*J1066*(1-ASSUMPTIONS!$C$20)+ASSUMPTIONS!$C$18*ASSUMPTIONS!$C$21-ASSUMPTIONS!$C$18*ASSUMPTIONS!$C$22)*(1+H1066)*(1-((1+H1066)/(1+I1066))^5)/(I1066-H1066))+((ASSUMPTIONS!$C$18*J1066*(1-ASSUMPTIONS!$C$20)+ASSUMPTIONS!$C$18*ASSUMPTIONS!$C$21-ASSUMPTIONS!$C$18*ASSUMPTIONS!$C$22)*(1+H1066)^5*(1+K1066)/(I1066-K1066)/(1+I1066)^5)-DCF!$C$12)/ASSUMPTIONS!$C$7</f>
        <v/>
      </c>
    </row>
    <row r="1067">
      <c r="H1067" s="83">
        <f>_xlfn.NORM.INV(RAND(),AVERAGE(ASSUMPTIONS!$C$38,ASSUMPTIONS!$C$39,ASSUMPTIONS!$C$40,ASSUMPTIONS!$C$41,ASSUMPTIONS!$C$42),ASSUMPTIONS!$C$68)</f>
        <v/>
      </c>
      <c r="I1067" s="83">
        <f>MAX(_xlfn.NORM.INV(RAND(),DCF!$C$11,ASSUMPTIONS!$C$69),K1067+0.005)</f>
        <v/>
      </c>
      <c r="J1067" s="83">
        <f>_xlfn.NORM.INV(RAND(),ASSUMPTIONS!$C$19,ASSUMPTIONS!$C$70)</f>
        <v/>
      </c>
      <c r="K1067" s="83">
        <f>_xlfn.NORM.INV(RAND(),ASSUMPTIONS!$C$43,ASSUMPTIONS!$C$71)</f>
        <v/>
      </c>
      <c r="L1067" s="84">
        <f>(((ASSUMPTIONS!$C$18*J1067*(1-ASSUMPTIONS!$C$20)+ASSUMPTIONS!$C$18*ASSUMPTIONS!$C$21-ASSUMPTIONS!$C$18*ASSUMPTIONS!$C$22)*(1+H1067)*(1-((1+H1067)/(1+I1067))^5)/(I1067-H1067))+((ASSUMPTIONS!$C$18*J1067*(1-ASSUMPTIONS!$C$20)+ASSUMPTIONS!$C$18*ASSUMPTIONS!$C$21-ASSUMPTIONS!$C$18*ASSUMPTIONS!$C$22)*(1+H1067)^5*(1+K1067)/(I1067-K1067)/(1+I1067)^5)-DCF!$C$12)/ASSUMPTIONS!$C$7</f>
        <v/>
      </c>
    </row>
    <row r="1068">
      <c r="H1068" s="83">
        <f>_xlfn.NORM.INV(RAND(),AVERAGE(ASSUMPTIONS!$C$38,ASSUMPTIONS!$C$39,ASSUMPTIONS!$C$40,ASSUMPTIONS!$C$41,ASSUMPTIONS!$C$42),ASSUMPTIONS!$C$68)</f>
        <v/>
      </c>
      <c r="I1068" s="83">
        <f>MAX(_xlfn.NORM.INV(RAND(),DCF!$C$11,ASSUMPTIONS!$C$69),K1068+0.005)</f>
        <v/>
      </c>
      <c r="J1068" s="83">
        <f>_xlfn.NORM.INV(RAND(),ASSUMPTIONS!$C$19,ASSUMPTIONS!$C$70)</f>
        <v/>
      </c>
      <c r="K1068" s="83">
        <f>_xlfn.NORM.INV(RAND(),ASSUMPTIONS!$C$43,ASSUMPTIONS!$C$71)</f>
        <v/>
      </c>
      <c r="L1068" s="84">
        <f>(((ASSUMPTIONS!$C$18*J1068*(1-ASSUMPTIONS!$C$20)+ASSUMPTIONS!$C$18*ASSUMPTIONS!$C$21-ASSUMPTIONS!$C$18*ASSUMPTIONS!$C$22)*(1+H1068)*(1-((1+H1068)/(1+I1068))^5)/(I1068-H1068))+((ASSUMPTIONS!$C$18*J1068*(1-ASSUMPTIONS!$C$20)+ASSUMPTIONS!$C$18*ASSUMPTIONS!$C$21-ASSUMPTIONS!$C$18*ASSUMPTIONS!$C$22)*(1+H1068)^5*(1+K1068)/(I1068-K1068)/(1+I1068)^5)-DCF!$C$12)/ASSUMPTIONS!$C$7</f>
        <v/>
      </c>
    </row>
    <row r="1069">
      <c r="H1069" s="83">
        <f>_xlfn.NORM.INV(RAND(),AVERAGE(ASSUMPTIONS!$C$38,ASSUMPTIONS!$C$39,ASSUMPTIONS!$C$40,ASSUMPTIONS!$C$41,ASSUMPTIONS!$C$42),ASSUMPTIONS!$C$68)</f>
        <v/>
      </c>
      <c r="I1069" s="83">
        <f>MAX(_xlfn.NORM.INV(RAND(),DCF!$C$11,ASSUMPTIONS!$C$69),K1069+0.005)</f>
        <v/>
      </c>
      <c r="J1069" s="83">
        <f>_xlfn.NORM.INV(RAND(),ASSUMPTIONS!$C$19,ASSUMPTIONS!$C$70)</f>
        <v/>
      </c>
      <c r="K1069" s="83">
        <f>_xlfn.NORM.INV(RAND(),ASSUMPTIONS!$C$43,ASSUMPTIONS!$C$71)</f>
        <v/>
      </c>
      <c r="L1069" s="84">
        <f>(((ASSUMPTIONS!$C$18*J1069*(1-ASSUMPTIONS!$C$20)+ASSUMPTIONS!$C$18*ASSUMPTIONS!$C$21-ASSUMPTIONS!$C$18*ASSUMPTIONS!$C$22)*(1+H1069)*(1-((1+H1069)/(1+I1069))^5)/(I1069-H1069))+((ASSUMPTIONS!$C$18*J1069*(1-ASSUMPTIONS!$C$20)+ASSUMPTIONS!$C$18*ASSUMPTIONS!$C$21-ASSUMPTIONS!$C$18*ASSUMPTIONS!$C$22)*(1+H1069)^5*(1+K1069)/(I1069-K1069)/(1+I1069)^5)-DCF!$C$12)/ASSUMPTIONS!$C$7</f>
        <v/>
      </c>
    </row>
    <row r="1070">
      <c r="H1070" s="83">
        <f>_xlfn.NORM.INV(RAND(),AVERAGE(ASSUMPTIONS!$C$38,ASSUMPTIONS!$C$39,ASSUMPTIONS!$C$40,ASSUMPTIONS!$C$41,ASSUMPTIONS!$C$42),ASSUMPTIONS!$C$68)</f>
        <v/>
      </c>
      <c r="I1070" s="83">
        <f>MAX(_xlfn.NORM.INV(RAND(),DCF!$C$11,ASSUMPTIONS!$C$69),K1070+0.005)</f>
        <v/>
      </c>
      <c r="J1070" s="83">
        <f>_xlfn.NORM.INV(RAND(),ASSUMPTIONS!$C$19,ASSUMPTIONS!$C$70)</f>
        <v/>
      </c>
      <c r="K1070" s="83">
        <f>_xlfn.NORM.INV(RAND(),ASSUMPTIONS!$C$43,ASSUMPTIONS!$C$71)</f>
        <v/>
      </c>
      <c r="L1070" s="84">
        <f>(((ASSUMPTIONS!$C$18*J1070*(1-ASSUMPTIONS!$C$20)+ASSUMPTIONS!$C$18*ASSUMPTIONS!$C$21-ASSUMPTIONS!$C$18*ASSUMPTIONS!$C$22)*(1+H1070)*(1-((1+H1070)/(1+I1070))^5)/(I1070-H1070))+((ASSUMPTIONS!$C$18*J1070*(1-ASSUMPTIONS!$C$20)+ASSUMPTIONS!$C$18*ASSUMPTIONS!$C$21-ASSUMPTIONS!$C$18*ASSUMPTIONS!$C$22)*(1+H1070)^5*(1+K1070)/(I1070-K1070)/(1+I1070)^5)-DCF!$C$12)/ASSUMPTIONS!$C$7</f>
        <v/>
      </c>
    </row>
    <row r="1071">
      <c r="H1071" s="83">
        <f>_xlfn.NORM.INV(RAND(),AVERAGE(ASSUMPTIONS!$C$38,ASSUMPTIONS!$C$39,ASSUMPTIONS!$C$40,ASSUMPTIONS!$C$41,ASSUMPTIONS!$C$42),ASSUMPTIONS!$C$68)</f>
        <v/>
      </c>
      <c r="I1071" s="83">
        <f>MAX(_xlfn.NORM.INV(RAND(),DCF!$C$11,ASSUMPTIONS!$C$69),K1071+0.005)</f>
        <v/>
      </c>
      <c r="J1071" s="83">
        <f>_xlfn.NORM.INV(RAND(),ASSUMPTIONS!$C$19,ASSUMPTIONS!$C$70)</f>
        <v/>
      </c>
      <c r="K1071" s="83">
        <f>_xlfn.NORM.INV(RAND(),ASSUMPTIONS!$C$43,ASSUMPTIONS!$C$71)</f>
        <v/>
      </c>
      <c r="L1071" s="84">
        <f>(((ASSUMPTIONS!$C$18*J1071*(1-ASSUMPTIONS!$C$20)+ASSUMPTIONS!$C$18*ASSUMPTIONS!$C$21-ASSUMPTIONS!$C$18*ASSUMPTIONS!$C$22)*(1+H1071)*(1-((1+H1071)/(1+I1071))^5)/(I1071-H1071))+((ASSUMPTIONS!$C$18*J1071*(1-ASSUMPTIONS!$C$20)+ASSUMPTIONS!$C$18*ASSUMPTIONS!$C$21-ASSUMPTIONS!$C$18*ASSUMPTIONS!$C$22)*(1+H1071)^5*(1+K1071)/(I1071-K1071)/(1+I1071)^5)-DCF!$C$12)/ASSUMPTIONS!$C$7</f>
        <v/>
      </c>
    </row>
    <row r="1072">
      <c r="H1072" s="83">
        <f>_xlfn.NORM.INV(RAND(),AVERAGE(ASSUMPTIONS!$C$38,ASSUMPTIONS!$C$39,ASSUMPTIONS!$C$40,ASSUMPTIONS!$C$41,ASSUMPTIONS!$C$42),ASSUMPTIONS!$C$68)</f>
        <v/>
      </c>
      <c r="I1072" s="83">
        <f>MAX(_xlfn.NORM.INV(RAND(),DCF!$C$11,ASSUMPTIONS!$C$69),K1072+0.005)</f>
        <v/>
      </c>
      <c r="J1072" s="83">
        <f>_xlfn.NORM.INV(RAND(),ASSUMPTIONS!$C$19,ASSUMPTIONS!$C$70)</f>
        <v/>
      </c>
      <c r="K1072" s="83">
        <f>_xlfn.NORM.INV(RAND(),ASSUMPTIONS!$C$43,ASSUMPTIONS!$C$71)</f>
        <v/>
      </c>
      <c r="L1072" s="84">
        <f>(((ASSUMPTIONS!$C$18*J1072*(1-ASSUMPTIONS!$C$20)+ASSUMPTIONS!$C$18*ASSUMPTIONS!$C$21-ASSUMPTIONS!$C$18*ASSUMPTIONS!$C$22)*(1+H1072)*(1-((1+H1072)/(1+I1072))^5)/(I1072-H1072))+((ASSUMPTIONS!$C$18*J1072*(1-ASSUMPTIONS!$C$20)+ASSUMPTIONS!$C$18*ASSUMPTIONS!$C$21-ASSUMPTIONS!$C$18*ASSUMPTIONS!$C$22)*(1+H1072)^5*(1+K1072)/(I1072-K1072)/(1+I1072)^5)-DCF!$C$12)/ASSUMPTIONS!$C$7</f>
        <v/>
      </c>
    </row>
    <row r="1073">
      <c r="H1073" s="83">
        <f>_xlfn.NORM.INV(RAND(),AVERAGE(ASSUMPTIONS!$C$38,ASSUMPTIONS!$C$39,ASSUMPTIONS!$C$40,ASSUMPTIONS!$C$41,ASSUMPTIONS!$C$42),ASSUMPTIONS!$C$68)</f>
        <v/>
      </c>
      <c r="I1073" s="83">
        <f>MAX(_xlfn.NORM.INV(RAND(),DCF!$C$11,ASSUMPTIONS!$C$69),K1073+0.005)</f>
        <v/>
      </c>
      <c r="J1073" s="83">
        <f>_xlfn.NORM.INV(RAND(),ASSUMPTIONS!$C$19,ASSUMPTIONS!$C$70)</f>
        <v/>
      </c>
      <c r="K1073" s="83">
        <f>_xlfn.NORM.INV(RAND(),ASSUMPTIONS!$C$43,ASSUMPTIONS!$C$71)</f>
        <v/>
      </c>
      <c r="L1073" s="84">
        <f>(((ASSUMPTIONS!$C$18*J1073*(1-ASSUMPTIONS!$C$20)+ASSUMPTIONS!$C$18*ASSUMPTIONS!$C$21-ASSUMPTIONS!$C$18*ASSUMPTIONS!$C$22)*(1+H1073)*(1-((1+H1073)/(1+I1073))^5)/(I1073-H1073))+((ASSUMPTIONS!$C$18*J1073*(1-ASSUMPTIONS!$C$20)+ASSUMPTIONS!$C$18*ASSUMPTIONS!$C$21-ASSUMPTIONS!$C$18*ASSUMPTIONS!$C$22)*(1+H1073)^5*(1+K1073)/(I1073-K1073)/(1+I1073)^5)-DCF!$C$12)/ASSUMPTIONS!$C$7</f>
        <v/>
      </c>
    </row>
    <row r="1074">
      <c r="H1074" s="83">
        <f>_xlfn.NORM.INV(RAND(),AVERAGE(ASSUMPTIONS!$C$38,ASSUMPTIONS!$C$39,ASSUMPTIONS!$C$40,ASSUMPTIONS!$C$41,ASSUMPTIONS!$C$42),ASSUMPTIONS!$C$68)</f>
        <v/>
      </c>
      <c r="I1074" s="83">
        <f>MAX(_xlfn.NORM.INV(RAND(),DCF!$C$11,ASSUMPTIONS!$C$69),K1074+0.005)</f>
        <v/>
      </c>
      <c r="J1074" s="83">
        <f>_xlfn.NORM.INV(RAND(),ASSUMPTIONS!$C$19,ASSUMPTIONS!$C$70)</f>
        <v/>
      </c>
      <c r="K1074" s="83">
        <f>_xlfn.NORM.INV(RAND(),ASSUMPTIONS!$C$43,ASSUMPTIONS!$C$71)</f>
        <v/>
      </c>
      <c r="L1074" s="84">
        <f>(((ASSUMPTIONS!$C$18*J1074*(1-ASSUMPTIONS!$C$20)+ASSUMPTIONS!$C$18*ASSUMPTIONS!$C$21-ASSUMPTIONS!$C$18*ASSUMPTIONS!$C$22)*(1+H1074)*(1-((1+H1074)/(1+I1074))^5)/(I1074-H1074))+((ASSUMPTIONS!$C$18*J1074*(1-ASSUMPTIONS!$C$20)+ASSUMPTIONS!$C$18*ASSUMPTIONS!$C$21-ASSUMPTIONS!$C$18*ASSUMPTIONS!$C$22)*(1+H1074)^5*(1+K1074)/(I1074-K1074)/(1+I1074)^5)-DCF!$C$12)/ASSUMPTIONS!$C$7</f>
        <v/>
      </c>
    </row>
    <row r="1075">
      <c r="H1075" s="83">
        <f>_xlfn.NORM.INV(RAND(),AVERAGE(ASSUMPTIONS!$C$38,ASSUMPTIONS!$C$39,ASSUMPTIONS!$C$40,ASSUMPTIONS!$C$41,ASSUMPTIONS!$C$42),ASSUMPTIONS!$C$68)</f>
        <v/>
      </c>
      <c r="I1075" s="83">
        <f>MAX(_xlfn.NORM.INV(RAND(),DCF!$C$11,ASSUMPTIONS!$C$69),K1075+0.005)</f>
        <v/>
      </c>
      <c r="J1075" s="83">
        <f>_xlfn.NORM.INV(RAND(),ASSUMPTIONS!$C$19,ASSUMPTIONS!$C$70)</f>
        <v/>
      </c>
      <c r="K1075" s="83">
        <f>_xlfn.NORM.INV(RAND(),ASSUMPTIONS!$C$43,ASSUMPTIONS!$C$71)</f>
        <v/>
      </c>
      <c r="L1075" s="84">
        <f>(((ASSUMPTIONS!$C$18*J1075*(1-ASSUMPTIONS!$C$20)+ASSUMPTIONS!$C$18*ASSUMPTIONS!$C$21-ASSUMPTIONS!$C$18*ASSUMPTIONS!$C$22)*(1+H1075)*(1-((1+H1075)/(1+I1075))^5)/(I1075-H1075))+((ASSUMPTIONS!$C$18*J1075*(1-ASSUMPTIONS!$C$20)+ASSUMPTIONS!$C$18*ASSUMPTIONS!$C$21-ASSUMPTIONS!$C$18*ASSUMPTIONS!$C$22)*(1+H1075)^5*(1+K1075)/(I1075-K1075)/(1+I1075)^5)-DCF!$C$12)/ASSUMPTIONS!$C$7</f>
        <v/>
      </c>
    </row>
    <row r="1076">
      <c r="H1076" s="83">
        <f>_xlfn.NORM.INV(RAND(),AVERAGE(ASSUMPTIONS!$C$38,ASSUMPTIONS!$C$39,ASSUMPTIONS!$C$40,ASSUMPTIONS!$C$41,ASSUMPTIONS!$C$42),ASSUMPTIONS!$C$68)</f>
        <v/>
      </c>
      <c r="I1076" s="83">
        <f>MAX(_xlfn.NORM.INV(RAND(),DCF!$C$11,ASSUMPTIONS!$C$69),K1076+0.005)</f>
        <v/>
      </c>
      <c r="J1076" s="83">
        <f>_xlfn.NORM.INV(RAND(),ASSUMPTIONS!$C$19,ASSUMPTIONS!$C$70)</f>
        <v/>
      </c>
      <c r="K1076" s="83">
        <f>_xlfn.NORM.INV(RAND(),ASSUMPTIONS!$C$43,ASSUMPTIONS!$C$71)</f>
        <v/>
      </c>
      <c r="L1076" s="84">
        <f>(((ASSUMPTIONS!$C$18*J1076*(1-ASSUMPTIONS!$C$20)+ASSUMPTIONS!$C$18*ASSUMPTIONS!$C$21-ASSUMPTIONS!$C$18*ASSUMPTIONS!$C$22)*(1+H1076)*(1-((1+H1076)/(1+I1076))^5)/(I1076-H1076))+((ASSUMPTIONS!$C$18*J1076*(1-ASSUMPTIONS!$C$20)+ASSUMPTIONS!$C$18*ASSUMPTIONS!$C$21-ASSUMPTIONS!$C$18*ASSUMPTIONS!$C$22)*(1+H1076)^5*(1+K1076)/(I1076-K1076)/(1+I1076)^5)-DCF!$C$12)/ASSUMPTIONS!$C$7</f>
        <v/>
      </c>
    </row>
    <row r="1077">
      <c r="H1077" s="83">
        <f>_xlfn.NORM.INV(RAND(),AVERAGE(ASSUMPTIONS!$C$38,ASSUMPTIONS!$C$39,ASSUMPTIONS!$C$40,ASSUMPTIONS!$C$41,ASSUMPTIONS!$C$42),ASSUMPTIONS!$C$68)</f>
        <v/>
      </c>
      <c r="I1077" s="83">
        <f>MAX(_xlfn.NORM.INV(RAND(),DCF!$C$11,ASSUMPTIONS!$C$69),K1077+0.005)</f>
        <v/>
      </c>
      <c r="J1077" s="83">
        <f>_xlfn.NORM.INV(RAND(),ASSUMPTIONS!$C$19,ASSUMPTIONS!$C$70)</f>
        <v/>
      </c>
      <c r="K1077" s="83">
        <f>_xlfn.NORM.INV(RAND(),ASSUMPTIONS!$C$43,ASSUMPTIONS!$C$71)</f>
        <v/>
      </c>
      <c r="L1077" s="84">
        <f>(((ASSUMPTIONS!$C$18*J1077*(1-ASSUMPTIONS!$C$20)+ASSUMPTIONS!$C$18*ASSUMPTIONS!$C$21-ASSUMPTIONS!$C$18*ASSUMPTIONS!$C$22)*(1+H1077)*(1-((1+H1077)/(1+I1077))^5)/(I1077-H1077))+((ASSUMPTIONS!$C$18*J1077*(1-ASSUMPTIONS!$C$20)+ASSUMPTIONS!$C$18*ASSUMPTIONS!$C$21-ASSUMPTIONS!$C$18*ASSUMPTIONS!$C$22)*(1+H1077)^5*(1+K1077)/(I1077-K1077)/(1+I1077)^5)-DCF!$C$12)/ASSUMPTIONS!$C$7</f>
        <v/>
      </c>
    </row>
    <row r="1078">
      <c r="H1078" s="83">
        <f>_xlfn.NORM.INV(RAND(),AVERAGE(ASSUMPTIONS!$C$38,ASSUMPTIONS!$C$39,ASSUMPTIONS!$C$40,ASSUMPTIONS!$C$41,ASSUMPTIONS!$C$42),ASSUMPTIONS!$C$68)</f>
        <v/>
      </c>
      <c r="I1078" s="83">
        <f>MAX(_xlfn.NORM.INV(RAND(),DCF!$C$11,ASSUMPTIONS!$C$69),K1078+0.005)</f>
        <v/>
      </c>
      <c r="J1078" s="83">
        <f>_xlfn.NORM.INV(RAND(),ASSUMPTIONS!$C$19,ASSUMPTIONS!$C$70)</f>
        <v/>
      </c>
      <c r="K1078" s="83">
        <f>_xlfn.NORM.INV(RAND(),ASSUMPTIONS!$C$43,ASSUMPTIONS!$C$71)</f>
        <v/>
      </c>
      <c r="L1078" s="84">
        <f>(((ASSUMPTIONS!$C$18*J1078*(1-ASSUMPTIONS!$C$20)+ASSUMPTIONS!$C$18*ASSUMPTIONS!$C$21-ASSUMPTIONS!$C$18*ASSUMPTIONS!$C$22)*(1+H1078)*(1-((1+H1078)/(1+I1078))^5)/(I1078-H1078))+((ASSUMPTIONS!$C$18*J1078*(1-ASSUMPTIONS!$C$20)+ASSUMPTIONS!$C$18*ASSUMPTIONS!$C$21-ASSUMPTIONS!$C$18*ASSUMPTIONS!$C$22)*(1+H1078)^5*(1+K1078)/(I1078-K1078)/(1+I1078)^5)-DCF!$C$12)/ASSUMPTIONS!$C$7</f>
        <v/>
      </c>
    </row>
    <row r="1079">
      <c r="H1079" s="83">
        <f>_xlfn.NORM.INV(RAND(),AVERAGE(ASSUMPTIONS!$C$38,ASSUMPTIONS!$C$39,ASSUMPTIONS!$C$40,ASSUMPTIONS!$C$41,ASSUMPTIONS!$C$42),ASSUMPTIONS!$C$68)</f>
        <v/>
      </c>
      <c r="I1079" s="83">
        <f>MAX(_xlfn.NORM.INV(RAND(),DCF!$C$11,ASSUMPTIONS!$C$69),K1079+0.005)</f>
        <v/>
      </c>
      <c r="J1079" s="83">
        <f>_xlfn.NORM.INV(RAND(),ASSUMPTIONS!$C$19,ASSUMPTIONS!$C$70)</f>
        <v/>
      </c>
      <c r="K1079" s="83">
        <f>_xlfn.NORM.INV(RAND(),ASSUMPTIONS!$C$43,ASSUMPTIONS!$C$71)</f>
        <v/>
      </c>
      <c r="L1079" s="84">
        <f>(((ASSUMPTIONS!$C$18*J1079*(1-ASSUMPTIONS!$C$20)+ASSUMPTIONS!$C$18*ASSUMPTIONS!$C$21-ASSUMPTIONS!$C$18*ASSUMPTIONS!$C$22)*(1+H1079)*(1-((1+H1079)/(1+I1079))^5)/(I1079-H1079))+((ASSUMPTIONS!$C$18*J1079*(1-ASSUMPTIONS!$C$20)+ASSUMPTIONS!$C$18*ASSUMPTIONS!$C$21-ASSUMPTIONS!$C$18*ASSUMPTIONS!$C$22)*(1+H1079)^5*(1+K1079)/(I1079-K1079)/(1+I1079)^5)-DCF!$C$12)/ASSUMPTIONS!$C$7</f>
        <v/>
      </c>
    </row>
    <row r="1080">
      <c r="H1080" s="83">
        <f>_xlfn.NORM.INV(RAND(),AVERAGE(ASSUMPTIONS!$C$38,ASSUMPTIONS!$C$39,ASSUMPTIONS!$C$40,ASSUMPTIONS!$C$41,ASSUMPTIONS!$C$42),ASSUMPTIONS!$C$68)</f>
        <v/>
      </c>
      <c r="I1080" s="83">
        <f>MAX(_xlfn.NORM.INV(RAND(),DCF!$C$11,ASSUMPTIONS!$C$69),K1080+0.005)</f>
        <v/>
      </c>
      <c r="J1080" s="83">
        <f>_xlfn.NORM.INV(RAND(),ASSUMPTIONS!$C$19,ASSUMPTIONS!$C$70)</f>
        <v/>
      </c>
      <c r="K1080" s="83">
        <f>_xlfn.NORM.INV(RAND(),ASSUMPTIONS!$C$43,ASSUMPTIONS!$C$71)</f>
        <v/>
      </c>
      <c r="L1080" s="84">
        <f>(((ASSUMPTIONS!$C$18*J1080*(1-ASSUMPTIONS!$C$20)+ASSUMPTIONS!$C$18*ASSUMPTIONS!$C$21-ASSUMPTIONS!$C$18*ASSUMPTIONS!$C$22)*(1+H1080)*(1-((1+H1080)/(1+I1080))^5)/(I1080-H1080))+((ASSUMPTIONS!$C$18*J1080*(1-ASSUMPTIONS!$C$20)+ASSUMPTIONS!$C$18*ASSUMPTIONS!$C$21-ASSUMPTIONS!$C$18*ASSUMPTIONS!$C$22)*(1+H1080)^5*(1+K1080)/(I1080-K1080)/(1+I1080)^5)-DCF!$C$12)/ASSUMPTIONS!$C$7</f>
        <v/>
      </c>
    </row>
    <row r="1081">
      <c r="H1081" s="83">
        <f>_xlfn.NORM.INV(RAND(),AVERAGE(ASSUMPTIONS!$C$38,ASSUMPTIONS!$C$39,ASSUMPTIONS!$C$40,ASSUMPTIONS!$C$41,ASSUMPTIONS!$C$42),ASSUMPTIONS!$C$68)</f>
        <v/>
      </c>
      <c r="I1081" s="83">
        <f>MAX(_xlfn.NORM.INV(RAND(),DCF!$C$11,ASSUMPTIONS!$C$69),K1081+0.005)</f>
        <v/>
      </c>
      <c r="J1081" s="83">
        <f>_xlfn.NORM.INV(RAND(),ASSUMPTIONS!$C$19,ASSUMPTIONS!$C$70)</f>
        <v/>
      </c>
      <c r="K1081" s="83">
        <f>_xlfn.NORM.INV(RAND(),ASSUMPTIONS!$C$43,ASSUMPTIONS!$C$71)</f>
        <v/>
      </c>
      <c r="L1081" s="84">
        <f>(((ASSUMPTIONS!$C$18*J1081*(1-ASSUMPTIONS!$C$20)+ASSUMPTIONS!$C$18*ASSUMPTIONS!$C$21-ASSUMPTIONS!$C$18*ASSUMPTIONS!$C$22)*(1+H1081)*(1-((1+H1081)/(1+I1081))^5)/(I1081-H1081))+((ASSUMPTIONS!$C$18*J1081*(1-ASSUMPTIONS!$C$20)+ASSUMPTIONS!$C$18*ASSUMPTIONS!$C$21-ASSUMPTIONS!$C$18*ASSUMPTIONS!$C$22)*(1+H1081)^5*(1+K1081)/(I1081-K1081)/(1+I1081)^5)-DCF!$C$12)/ASSUMPTIONS!$C$7</f>
        <v/>
      </c>
    </row>
    <row r="1082">
      <c r="H1082" s="83">
        <f>_xlfn.NORM.INV(RAND(),AVERAGE(ASSUMPTIONS!$C$38,ASSUMPTIONS!$C$39,ASSUMPTIONS!$C$40,ASSUMPTIONS!$C$41,ASSUMPTIONS!$C$42),ASSUMPTIONS!$C$68)</f>
        <v/>
      </c>
      <c r="I1082" s="83">
        <f>MAX(_xlfn.NORM.INV(RAND(),DCF!$C$11,ASSUMPTIONS!$C$69),K1082+0.005)</f>
        <v/>
      </c>
      <c r="J1082" s="83">
        <f>_xlfn.NORM.INV(RAND(),ASSUMPTIONS!$C$19,ASSUMPTIONS!$C$70)</f>
        <v/>
      </c>
      <c r="K1082" s="83">
        <f>_xlfn.NORM.INV(RAND(),ASSUMPTIONS!$C$43,ASSUMPTIONS!$C$71)</f>
        <v/>
      </c>
      <c r="L1082" s="84">
        <f>(((ASSUMPTIONS!$C$18*J1082*(1-ASSUMPTIONS!$C$20)+ASSUMPTIONS!$C$18*ASSUMPTIONS!$C$21-ASSUMPTIONS!$C$18*ASSUMPTIONS!$C$22)*(1+H1082)*(1-((1+H1082)/(1+I1082))^5)/(I1082-H1082))+((ASSUMPTIONS!$C$18*J1082*(1-ASSUMPTIONS!$C$20)+ASSUMPTIONS!$C$18*ASSUMPTIONS!$C$21-ASSUMPTIONS!$C$18*ASSUMPTIONS!$C$22)*(1+H1082)^5*(1+K1082)/(I1082-K1082)/(1+I1082)^5)-DCF!$C$12)/ASSUMPTIONS!$C$7</f>
        <v/>
      </c>
    </row>
    <row r="1083">
      <c r="H1083" s="83">
        <f>_xlfn.NORM.INV(RAND(),AVERAGE(ASSUMPTIONS!$C$38,ASSUMPTIONS!$C$39,ASSUMPTIONS!$C$40,ASSUMPTIONS!$C$41,ASSUMPTIONS!$C$42),ASSUMPTIONS!$C$68)</f>
        <v/>
      </c>
      <c r="I1083" s="83">
        <f>MAX(_xlfn.NORM.INV(RAND(),DCF!$C$11,ASSUMPTIONS!$C$69),K1083+0.005)</f>
        <v/>
      </c>
      <c r="J1083" s="83">
        <f>_xlfn.NORM.INV(RAND(),ASSUMPTIONS!$C$19,ASSUMPTIONS!$C$70)</f>
        <v/>
      </c>
      <c r="K1083" s="83">
        <f>_xlfn.NORM.INV(RAND(),ASSUMPTIONS!$C$43,ASSUMPTIONS!$C$71)</f>
        <v/>
      </c>
      <c r="L1083" s="84">
        <f>(((ASSUMPTIONS!$C$18*J1083*(1-ASSUMPTIONS!$C$20)+ASSUMPTIONS!$C$18*ASSUMPTIONS!$C$21-ASSUMPTIONS!$C$18*ASSUMPTIONS!$C$22)*(1+H1083)*(1-((1+H1083)/(1+I1083))^5)/(I1083-H1083))+((ASSUMPTIONS!$C$18*J1083*(1-ASSUMPTIONS!$C$20)+ASSUMPTIONS!$C$18*ASSUMPTIONS!$C$21-ASSUMPTIONS!$C$18*ASSUMPTIONS!$C$22)*(1+H1083)^5*(1+K1083)/(I1083-K1083)/(1+I1083)^5)-DCF!$C$12)/ASSUMPTIONS!$C$7</f>
        <v/>
      </c>
    </row>
    <row r="1084">
      <c r="H1084" s="83">
        <f>_xlfn.NORM.INV(RAND(),AVERAGE(ASSUMPTIONS!$C$38,ASSUMPTIONS!$C$39,ASSUMPTIONS!$C$40,ASSUMPTIONS!$C$41,ASSUMPTIONS!$C$42),ASSUMPTIONS!$C$68)</f>
        <v/>
      </c>
      <c r="I1084" s="83">
        <f>MAX(_xlfn.NORM.INV(RAND(),DCF!$C$11,ASSUMPTIONS!$C$69),K1084+0.005)</f>
        <v/>
      </c>
      <c r="J1084" s="83">
        <f>_xlfn.NORM.INV(RAND(),ASSUMPTIONS!$C$19,ASSUMPTIONS!$C$70)</f>
        <v/>
      </c>
      <c r="K1084" s="83">
        <f>_xlfn.NORM.INV(RAND(),ASSUMPTIONS!$C$43,ASSUMPTIONS!$C$71)</f>
        <v/>
      </c>
      <c r="L1084" s="84">
        <f>(((ASSUMPTIONS!$C$18*J1084*(1-ASSUMPTIONS!$C$20)+ASSUMPTIONS!$C$18*ASSUMPTIONS!$C$21-ASSUMPTIONS!$C$18*ASSUMPTIONS!$C$22)*(1+H1084)*(1-((1+H1084)/(1+I1084))^5)/(I1084-H1084))+((ASSUMPTIONS!$C$18*J1084*(1-ASSUMPTIONS!$C$20)+ASSUMPTIONS!$C$18*ASSUMPTIONS!$C$21-ASSUMPTIONS!$C$18*ASSUMPTIONS!$C$22)*(1+H1084)^5*(1+K1084)/(I1084-K1084)/(1+I1084)^5)-DCF!$C$12)/ASSUMPTIONS!$C$7</f>
        <v/>
      </c>
    </row>
    <row r="1085">
      <c r="H1085" s="83">
        <f>_xlfn.NORM.INV(RAND(),AVERAGE(ASSUMPTIONS!$C$38,ASSUMPTIONS!$C$39,ASSUMPTIONS!$C$40,ASSUMPTIONS!$C$41,ASSUMPTIONS!$C$42),ASSUMPTIONS!$C$68)</f>
        <v/>
      </c>
      <c r="I1085" s="83">
        <f>MAX(_xlfn.NORM.INV(RAND(),DCF!$C$11,ASSUMPTIONS!$C$69),K1085+0.005)</f>
        <v/>
      </c>
      <c r="J1085" s="83">
        <f>_xlfn.NORM.INV(RAND(),ASSUMPTIONS!$C$19,ASSUMPTIONS!$C$70)</f>
        <v/>
      </c>
      <c r="K1085" s="83">
        <f>_xlfn.NORM.INV(RAND(),ASSUMPTIONS!$C$43,ASSUMPTIONS!$C$71)</f>
        <v/>
      </c>
      <c r="L1085" s="84">
        <f>(((ASSUMPTIONS!$C$18*J1085*(1-ASSUMPTIONS!$C$20)+ASSUMPTIONS!$C$18*ASSUMPTIONS!$C$21-ASSUMPTIONS!$C$18*ASSUMPTIONS!$C$22)*(1+H1085)*(1-((1+H1085)/(1+I1085))^5)/(I1085-H1085))+((ASSUMPTIONS!$C$18*J1085*(1-ASSUMPTIONS!$C$20)+ASSUMPTIONS!$C$18*ASSUMPTIONS!$C$21-ASSUMPTIONS!$C$18*ASSUMPTIONS!$C$22)*(1+H1085)^5*(1+K1085)/(I1085-K1085)/(1+I1085)^5)-DCF!$C$12)/ASSUMPTIONS!$C$7</f>
        <v/>
      </c>
    </row>
    <row r="1086">
      <c r="H1086" s="83">
        <f>_xlfn.NORM.INV(RAND(),AVERAGE(ASSUMPTIONS!$C$38,ASSUMPTIONS!$C$39,ASSUMPTIONS!$C$40,ASSUMPTIONS!$C$41,ASSUMPTIONS!$C$42),ASSUMPTIONS!$C$68)</f>
        <v/>
      </c>
      <c r="I1086" s="83">
        <f>MAX(_xlfn.NORM.INV(RAND(),DCF!$C$11,ASSUMPTIONS!$C$69),K1086+0.005)</f>
        <v/>
      </c>
      <c r="J1086" s="83">
        <f>_xlfn.NORM.INV(RAND(),ASSUMPTIONS!$C$19,ASSUMPTIONS!$C$70)</f>
        <v/>
      </c>
      <c r="K1086" s="83">
        <f>_xlfn.NORM.INV(RAND(),ASSUMPTIONS!$C$43,ASSUMPTIONS!$C$71)</f>
        <v/>
      </c>
      <c r="L1086" s="84">
        <f>(((ASSUMPTIONS!$C$18*J1086*(1-ASSUMPTIONS!$C$20)+ASSUMPTIONS!$C$18*ASSUMPTIONS!$C$21-ASSUMPTIONS!$C$18*ASSUMPTIONS!$C$22)*(1+H1086)*(1-((1+H1086)/(1+I1086))^5)/(I1086-H1086))+((ASSUMPTIONS!$C$18*J1086*(1-ASSUMPTIONS!$C$20)+ASSUMPTIONS!$C$18*ASSUMPTIONS!$C$21-ASSUMPTIONS!$C$18*ASSUMPTIONS!$C$22)*(1+H1086)^5*(1+K1086)/(I1086-K1086)/(1+I1086)^5)-DCF!$C$12)/ASSUMPTIONS!$C$7</f>
        <v/>
      </c>
    </row>
    <row r="1087">
      <c r="H1087" s="83">
        <f>_xlfn.NORM.INV(RAND(),AVERAGE(ASSUMPTIONS!$C$38,ASSUMPTIONS!$C$39,ASSUMPTIONS!$C$40,ASSUMPTIONS!$C$41,ASSUMPTIONS!$C$42),ASSUMPTIONS!$C$68)</f>
        <v/>
      </c>
      <c r="I1087" s="83">
        <f>MAX(_xlfn.NORM.INV(RAND(),DCF!$C$11,ASSUMPTIONS!$C$69),K1087+0.005)</f>
        <v/>
      </c>
      <c r="J1087" s="83">
        <f>_xlfn.NORM.INV(RAND(),ASSUMPTIONS!$C$19,ASSUMPTIONS!$C$70)</f>
        <v/>
      </c>
      <c r="K1087" s="83">
        <f>_xlfn.NORM.INV(RAND(),ASSUMPTIONS!$C$43,ASSUMPTIONS!$C$71)</f>
        <v/>
      </c>
      <c r="L1087" s="84">
        <f>(((ASSUMPTIONS!$C$18*J1087*(1-ASSUMPTIONS!$C$20)+ASSUMPTIONS!$C$18*ASSUMPTIONS!$C$21-ASSUMPTIONS!$C$18*ASSUMPTIONS!$C$22)*(1+H1087)*(1-((1+H1087)/(1+I1087))^5)/(I1087-H1087))+((ASSUMPTIONS!$C$18*J1087*(1-ASSUMPTIONS!$C$20)+ASSUMPTIONS!$C$18*ASSUMPTIONS!$C$21-ASSUMPTIONS!$C$18*ASSUMPTIONS!$C$22)*(1+H1087)^5*(1+K1087)/(I1087-K1087)/(1+I1087)^5)-DCF!$C$12)/ASSUMPTIONS!$C$7</f>
        <v/>
      </c>
    </row>
    <row r="1088">
      <c r="H1088" s="83">
        <f>_xlfn.NORM.INV(RAND(),AVERAGE(ASSUMPTIONS!$C$38,ASSUMPTIONS!$C$39,ASSUMPTIONS!$C$40,ASSUMPTIONS!$C$41,ASSUMPTIONS!$C$42),ASSUMPTIONS!$C$68)</f>
        <v/>
      </c>
      <c r="I1088" s="83">
        <f>MAX(_xlfn.NORM.INV(RAND(),DCF!$C$11,ASSUMPTIONS!$C$69),K1088+0.005)</f>
        <v/>
      </c>
      <c r="J1088" s="83">
        <f>_xlfn.NORM.INV(RAND(),ASSUMPTIONS!$C$19,ASSUMPTIONS!$C$70)</f>
        <v/>
      </c>
      <c r="K1088" s="83">
        <f>_xlfn.NORM.INV(RAND(),ASSUMPTIONS!$C$43,ASSUMPTIONS!$C$71)</f>
        <v/>
      </c>
      <c r="L1088" s="84">
        <f>(((ASSUMPTIONS!$C$18*J1088*(1-ASSUMPTIONS!$C$20)+ASSUMPTIONS!$C$18*ASSUMPTIONS!$C$21-ASSUMPTIONS!$C$18*ASSUMPTIONS!$C$22)*(1+H1088)*(1-((1+H1088)/(1+I1088))^5)/(I1088-H1088))+((ASSUMPTIONS!$C$18*J1088*(1-ASSUMPTIONS!$C$20)+ASSUMPTIONS!$C$18*ASSUMPTIONS!$C$21-ASSUMPTIONS!$C$18*ASSUMPTIONS!$C$22)*(1+H1088)^5*(1+K1088)/(I1088-K1088)/(1+I1088)^5)-DCF!$C$12)/ASSUMPTIONS!$C$7</f>
        <v/>
      </c>
    </row>
    <row r="1089">
      <c r="H1089" s="83">
        <f>_xlfn.NORM.INV(RAND(),AVERAGE(ASSUMPTIONS!$C$38,ASSUMPTIONS!$C$39,ASSUMPTIONS!$C$40,ASSUMPTIONS!$C$41,ASSUMPTIONS!$C$42),ASSUMPTIONS!$C$68)</f>
        <v/>
      </c>
      <c r="I1089" s="83">
        <f>MAX(_xlfn.NORM.INV(RAND(),DCF!$C$11,ASSUMPTIONS!$C$69),K1089+0.005)</f>
        <v/>
      </c>
      <c r="J1089" s="83">
        <f>_xlfn.NORM.INV(RAND(),ASSUMPTIONS!$C$19,ASSUMPTIONS!$C$70)</f>
        <v/>
      </c>
      <c r="K1089" s="83">
        <f>_xlfn.NORM.INV(RAND(),ASSUMPTIONS!$C$43,ASSUMPTIONS!$C$71)</f>
        <v/>
      </c>
      <c r="L1089" s="84">
        <f>(((ASSUMPTIONS!$C$18*J1089*(1-ASSUMPTIONS!$C$20)+ASSUMPTIONS!$C$18*ASSUMPTIONS!$C$21-ASSUMPTIONS!$C$18*ASSUMPTIONS!$C$22)*(1+H1089)*(1-((1+H1089)/(1+I1089))^5)/(I1089-H1089))+((ASSUMPTIONS!$C$18*J1089*(1-ASSUMPTIONS!$C$20)+ASSUMPTIONS!$C$18*ASSUMPTIONS!$C$21-ASSUMPTIONS!$C$18*ASSUMPTIONS!$C$22)*(1+H1089)^5*(1+K1089)/(I1089-K1089)/(1+I1089)^5)-DCF!$C$12)/ASSUMPTIONS!$C$7</f>
        <v/>
      </c>
    </row>
    <row r="1090">
      <c r="H1090" s="83">
        <f>_xlfn.NORM.INV(RAND(),AVERAGE(ASSUMPTIONS!$C$38,ASSUMPTIONS!$C$39,ASSUMPTIONS!$C$40,ASSUMPTIONS!$C$41,ASSUMPTIONS!$C$42),ASSUMPTIONS!$C$68)</f>
        <v/>
      </c>
      <c r="I1090" s="83">
        <f>MAX(_xlfn.NORM.INV(RAND(),DCF!$C$11,ASSUMPTIONS!$C$69),K1090+0.005)</f>
        <v/>
      </c>
      <c r="J1090" s="83">
        <f>_xlfn.NORM.INV(RAND(),ASSUMPTIONS!$C$19,ASSUMPTIONS!$C$70)</f>
        <v/>
      </c>
      <c r="K1090" s="83">
        <f>_xlfn.NORM.INV(RAND(),ASSUMPTIONS!$C$43,ASSUMPTIONS!$C$71)</f>
        <v/>
      </c>
      <c r="L1090" s="84">
        <f>(((ASSUMPTIONS!$C$18*J1090*(1-ASSUMPTIONS!$C$20)+ASSUMPTIONS!$C$18*ASSUMPTIONS!$C$21-ASSUMPTIONS!$C$18*ASSUMPTIONS!$C$22)*(1+H1090)*(1-((1+H1090)/(1+I1090))^5)/(I1090-H1090))+((ASSUMPTIONS!$C$18*J1090*(1-ASSUMPTIONS!$C$20)+ASSUMPTIONS!$C$18*ASSUMPTIONS!$C$21-ASSUMPTIONS!$C$18*ASSUMPTIONS!$C$22)*(1+H1090)^5*(1+K1090)/(I1090-K1090)/(1+I1090)^5)-DCF!$C$12)/ASSUMPTIONS!$C$7</f>
        <v/>
      </c>
    </row>
    <row r="1091">
      <c r="H1091" s="83">
        <f>_xlfn.NORM.INV(RAND(),AVERAGE(ASSUMPTIONS!$C$38,ASSUMPTIONS!$C$39,ASSUMPTIONS!$C$40,ASSUMPTIONS!$C$41,ASSUMPTIONS!$C$42),ASSUMPTIONS!$C$68)</f>
        <v/>
      </c>
      <c r="I1091" s="83">
        <f>MAX(_xlfn.NORM.INV(RAND(),DCF!$C$11,ASSUMPTIONS!$C$69),K1091+0.005)</f>
        <v/>
      </c>
      <c r="J1091" s="83">
        <f>_xlfn.NORM.INV(RAND(),ASSUMPTIONS!$C$19,ASSUMPTIONS!$C$70)</f>
        <v/>
      </c>
      <c r="K1091" s="83">
        <f>_xlfn.NORM.INV(RAND(),ASSUMPTIONS!$C$43,ASSUMPTIONS!$C$71)</f>
        <v/>
      </c>
      <c r="L1091" s="84">
        <f>(((ASSUMPTIONS!$C$18*J1091*(1-ASSUMPTIONS!$C$20)+ASSUMPTIONS!$C$18*ASSUMPTIONS!$C$21-ASSUMPTIONS!$C$18*ASSUMPTIONS!$C$22)*(1+H1091)*(1-((1+H1091)/(1+I1091))^5)/(I1091-H1091))+((ASSUMPTIONS!$C$18*J1091*(1-ASSUMPTIONS!$C$20)+ASSUMPTIONS!$C$18*ASSUMPTIONS!$C$21-ASSUMPTIONS!$C$18*ASSUMPTIONS!$C$22)*(1+H1091)^5*(1+K1091)/(I1091-K1091)/(1+I1091)^5)-DCF!$C$12)/ASSUMPTIONS!$C$7</f>
        <v/>
      </c>
    </row>
    <row r="1092">
      <c r="H1092" s="83">
        <f>_xlfn.NORM.INV(RAND(),AVERAGE(ASSUMPTIONS!$C$38,ASSUMPTIONS!$C$39,ASSUMPTIONS!$C$40,ASSUMPTIONS!$C$41,ASSUMPTIONS!$C$42),ASSUMPTIONS!$C$68)</f>
        <v/>
      </c>
      <c r="I1092" s="83">
        <f>MAX(_xlfn.NORM.INV(RAND(),DCF!$C$11,ASSUMPTIONS!$C$69),K1092+0.005)</f>
        <v/>
      </c>
      <c r="J1092" s="83">
        <f>_xlfn.NORM.INV(RAND(),ASSUMPTIONS!$C$19,ASSUMPTIONS!$C$70)</f>
        <v/>
      </c>
      <c r="K1092" s="83">
        <f>_xlfn.NORM.INV(RAND(),ASSUMPTIONS!$C$43,ASSUMPTIONS!$C$71)</f>
        <v/>
      </c>
      <c r="L1092" s="84">
        <f>(((ASSUMPTIONS!$C$18*J1092*(1-ASSUMPTIONS!$C$20)+ASSUMPTIONS!$C$18*ASSUMPTIONS!$C$21-ASSUMPTIONS!$C$18*ASSUMPTIONS!$C$22)*(1+H1092)*(1-((1+H1092)/(1+I1092))^5)/(I1092-H1092))+((ASSUMPTIONS!$C$18*J1092*(1-ASSUMPTIONS!$C$20)+ASSUMPTIONS!$C$18*ASSUMPTIONS!$C$21-ASSUMPTIONS!$C$18*ASSUMPTIONS!$C$22)*(1+H1092)^5*(1+K1092)/(I1092-K1092)/(1+I1092)^5)-DCF!$C$12)/ASSUMPTIONS!$C$7</f>
        <v/>
      </c>
    </row>
    <row r="1093">
      <c r="H1093" s="83">
        <f>_xlfn.NORM.INV(RAND(),AVERAGE(ASSUMPTIONS!$C$38,ASSUMPTIONS!$C$39,ASSUMPTIONS!$C$40,ASSUMPTIONS!$C$41,ASSUMPTIONS!$C$42),ASSUMPTIONS!$C$68)</f>
        <v/>
      </c>
      <c r="I1093" s="83">
        <f>MAX(_xlfn.NORM.INV(RAND(),DCF!$C$11,ASSUMPTIONS!$C$69),K1093+0.005)</f>
        <v/>
      </c>
      <c r="J1093" s="83">
        <f>_xlfn.NORM.INV(RAND(),ASSUMPTIONS!$C$19,ASSUMPTIONS!$C$70)</f>
        <v/>
      </c>
      <c r="K1093" s="83">
        <f>_xlfn.NORM.INV(RAND(),ASSUMPTIONS!$C$43,ASSUMPTIONS!$C$71)</f>
        <v/>
      </c>
      <c r="L1093" s="84">
        <f>(((ASSUMPTIONS!$C$18*J1093*(1-ASSUMPTIONS!$C$20)+ASSUMPTIONS!$C$18*ASSUMPTIONS!$C$21-ASSUMPTIONS!$C$18*ASSUMPTIONS!$C$22)*(1+H1093)*(1-((1+H1093)/(1+I1093))^5)/(I1093-H1093))+((ASSUMPTIONS!$C$18*J1093*(1-ASSUMPTIONS!$C$20)+ASSUMPTIONS!$C$18*ASSUMPTIONS!$C$21-ASSUMPTIONS!$C$18*ASSUMPTIONS!$C$22)*(1+H1093)^5*(1+K1093)/(I1093-K1093)/(1+I1093)^5)-DCF!$C$12)/ASSUMPTIONS!$C$7</f>
        <v/>
      </c>
    </row>
    <row r="1094">
      <c r="H1094" s="83">
        <f>_xlfn.NORM.INV(RAND(),AVERAGE(ASSUMPTIONS!$C$38,ASSUMPTIONS!$C$39,ASSUMPTIONS!$C$40,ASSUMPTIONS!$C$41,ASSUMPTIONS!$C$42),ASSUMPTIONS!$C$68)</f>
        <v/>
      </c>
      <c r="I1094" s="83">
        <f>MAX(_xlfn.NORM.INV(RAND(),DCF!$C$11,ASSUMPTIONS!$C$69),K1094+0.005)</f>
        <v/>
      </c>
      <c r="J1094" s="83">
        <f>_xlfn.NORM.INV(RAND(),ASSUMPTIONS!$C$19,ASSUMPTIONS!$C$70)</f>
        <v/>
      </c>
      <c r="K1094" s="83">
        <f>_xlfn.NORM.INV(RAND(),ASSUMPTIONS!$C$43,ASSUMPTIONS!$C$71)</f>
        <v/>
      </c>
      <c r="L1094" s="84">
        <f>(((ASSUMPTIONS!$C$18*J1094*(1-ASSUMPTIONS!$C$20)+ASSUMPTIONS!$C$18*ASSUMPTIONS!$C$21-ASSUMPTIONS!$C$18*ASSUMPTIONS!$C$22)*(1+H1094)*(1-((1+H1094)/(1+I1094))^5)/(I1094-H1094))+((ASSUMPTIONS!$C$18*J1094*(1-ASSUMPTIONS!$C$20)+ASSUMPTIONS!$C$18*ASSUMPTIONS!$C$21-ASSUMPTIONS!$C$18*ASSUMPTIONS!$C$22)*(1+H1094)^5*(1+K1094)/(I1094-K1094)/(1+I1094)^5)-DCF!$C$12)/ASSUMPTIONS!$C$7</f>
        <v/>
      </c>
    </row>
    <row r="1095">
      <c r="H1095" s="83">
        <f>_xlfn.NORM.INV(RAND(),AVERAGE(ASSUMPTIONS!$C$38,ASSUMPTIONS!$C$39,ASSUMPTIONS!$C$40,ASSUMPTIONS!$C$41,ASSUMPTIONS!$C$42),ASSUMPTIONS!$C$68)</f>
        <v/>
      </c>
      <c r="I1095" s="83">
        <f>MAX(_xlfn.NORM.INV(RAND(),DCF!$C$11,ASSUMPTIONS!$C$69),K1095+0.005)</f>
        <v/>
      </c>
      <c r="J1095" s="83">
        <f>_xlfn.NORM.INV(RAND(),ASSUMPTIONS!$C$19,ASSUMPTIONS!$C$70)</f>
        <v/>
      </c>
      <c r="K1095" s="83">
        <f>_xlfn.NORM.INV(RAND(),ASSUMPTIONS!$C$43,ASSUMPTIONS!$C$71)</f>
        <v/>
      </c>
      <c r="L1095" s="84">
        <f>(((ASSUMPTIONS!$C$18*J1095*(1-ASSUMPTIONS!$C$20)+ASSUMPTIONS!$C$18*ASSUMPTIONS!$C$21-ASSUMPTIONS!$C$18*ASSUMPTIONS!$C$22)*(1+H1095)*(1-((1+H1095)/(1+I1095))^5)/(I1095-H1095))+((ASSUMPTIONS!$C$18*J1095*(1-ASSUMPTIONS!$C$20)+ASSUMPTIONS!$C$18*ASSUMPTIONS!$C$21-ASSUMPTIONS!$C$18*ASSUMPTIONS!$C$22)*(1+H1095)^5*(1+K1095)/(I1095-K1095)/(1+I1095)^5)-DCF!$C$12)/ASSUMPTIONS!$C$7</f>
        <v/>
      </c>
    </row>
    <row r="1096">
      <c r="H1096" s="83">
        <f>_xlfn.NORM.INV(RAND(),AVERAGE(ASSUMPTIONS!$C$38,ASSUMPTIONS!$C$39,ASSUMPTIONS!$C$40,ASSUMPTIONS!$C$41,ASSUMPTIONS!$C$42),ASSUMPTIONS!$C$68)</f>
        <v/>
      </c>
      <c r="I1096" s="83">
        <f>MAX(_xlfn.NORM.INV(RAND(),DCF!$C$11,ASSUMPTIONS!$C$69),K1096+0.005)</f>
        <v/>
      </c>
      <c r="J1096" s="83">
        <f>_xlfn.NORM.INV(RAND(),ASSUMPTIONS!$C$19,ASSUMPTIONS!$C$70)</f>
        <v/>
      </c>
      <c r="K1096" s="83">
        <f>_xlfn.NORM.INV(RAND(),ASSUMPTIONS!$C$43,ASSUMPTIONS!$C$71)</f>
        <v/>
      </c>
      <c r="L1096" s="84">
        <f>(((ASSUMPTIONS!$C$18*J1096*(1-ASSUMPTIONS!$C$20)+ASSUMPTIONS!$C$18*ASSUMPTIONS!$C$21-ASSUMPTIONS!$C$18*ASSUMPTIONS!$C$22)*(1+H1096)*(1-((1+H1096)/(1+I1096))^5)/(I1096-H1096))+((ASSUMPTIONS!$C$18*J1096*(1-ASSUMPTIONS!$C$20)+ASSUMPTIONS!$C$18*ASSUMPTIONS!$C$21-ASSUMPTIONS!$C$18*ASSUMPTIONS!$C$22)*(1+H1096)^5*(1+K1096)/(I1096-K1096)/(1+I1096)^5)-DCF!$C$12)/ASSUMPTIONS!$C$7</f>
        <v/>
      </c>
    </row>
    <row r="1097">
      <c r="H1097" s="83">
        <f>_xlfn.NORM.INV(RAND(),AVERAGE(ASSUMPTIONS!$C$38,ASSUMPTIONS!$C$39,ASSUMPTIONS!$C$40,ASSUMPTIONS!$C$41,ASSUMPTIONS!$C$42),ASSUMPTIONS!$C$68)</f>
        <v/>
      </c>
      <c r="I1097" s="83">
        <f>MAX(_xlfn.NORM.INV(RAND(),DCF!$C$11,ASSUMPTIONS!$C$69),K1097+0.005)</f>
        <v/>
      </c>
      <c r="J1097" s="83">
        <f>_xlfn.NORM.INV(RAND(),ASSUMPTIONS!$C$19,ASSUMPTIONS!$C$70)</f>
        <v/>
      </c>
      <c r="K1097" s="83">
        <f>_xlfn.NORM.INV(RAND(),ASSUMPTIONS!$C$43,ASSUMPTIONS!$C$71)</f>
        <v/>
      </c>
      <c r="L1097" s="84">
        <f>(((ASSUMPTIONS!$C$18*J1097*(1-ASSUMPTIONS!$C$20)+ASSUMPTIONS!$C$18*ASSUMPTIONS!$C$21-ASSUMPTIONS!$C$18*ASSUMPTIONS!$C$22)*(1+H1097)*(1-((1+H1097)/(1+I1097))^5)/(I1097-H1097))+((ASSUMPTIONS!$C$18*J1097*(1-ASSUMPTIONS!$C$20)+ASSUMPTIONS!$C$18*ASSUMPTIONS!$C$21-ASSUMPTIONS!$C$18*ASSUMPTIONS!$C$22)*(1+H1097)^5*(1+K1097)/(I1097-K1097)/(1+I1097)^5)-DCF!$C$12)/ASSUMPTIONS!$C$7</f>
        <v/>
      </c>
    </row>
    <row r="1098">
      <c r="H1098" s="83">
        <f>_xlfn.NORM.INV(RAND(),AVERAGE(ASSUMPTIONS!$C$38,ASSUMPTIONS!$C$39,ASSUMPTIONS!$C$40,ASSUMPTIONS!$C$41,ASSUMPTIONS!$C$42),ASSUMPTIONS!$C$68)</f>
        <v/>
      </c>
      <c r="I1098" s="83">
        <f>MAX(_xlfn.NORM.INV(RAND(),DCF!$C$11,ASSUMPTIONS!$C$69),K1098+0.005)</f>
        <v/>
      </c>
      <c r="J1098" s="83">
        <f>_xlfn.NORM.INV(RAND(),ASSUMPTIONS!$C$19,ASSUMPTIONS!$C$70)</f>
        <v/>
      </c>
      <c r="K1098" s="83">
        <f>_xlfn.NORM.INV(RAND(),ASSUMPTIONS!$C$43,ASSUMPTIONS!$C$71)</f>
        <v/>
      </c>
      <c r="L1098" s="84">
        <f>(((ASSUMPTIONS!$C$18*J1098*(1-ASSUMPTIONS!$C$20)+ASSUMPTIONS!$C$18*ASSUMPTIONS!$C$21-ASSUMPTIONS!$C$18*ASSUMPTIONS!$C$22)*(1+H1098)*(1-((1+H1098)/(1+I1098))^5)/(I1098-H1098))+((ASSUMPTIONS!$C$18*J1098*(1-ASSUMPTIONS!$C$20)+ASSUMPTIONS!$C$18*ASSUMPTIONS!$C$21-ASSUMPTIONS!$C$18*ASSUMPTIONS!$C$22)*(1+H1098)^5*(1+K1098)/(I1098-K1098)/(1+I1098)^5)-DCF!$C$12)/ASSUMPTIONS!$C$7</f>
        <v/>
      </c>
    </row>
    <row r="1099">
      <c r="H1099" s="83">
        <f>_xlfn.NORM.INV(RAND(),AVERAGE(ASSUMPTIONS!$C$38,ASSUMPTIONS!$C$39,ASSUMPTIONS!$C$40,ASSUMPTIONS!$C$41,ASSUMPTIONS!$C$42),ASSUMPTIONS!$C$68)</f>
        <v/>
      </c>
      <c r="I1099" s="83">
        <f>MAX(_xlfn.NORM.INV(RAND(),DCF!$C$11,ASSUMPTIONS!$C$69),K1099+0.005)</f>
        <v/>
      </c>
      <c r="J1099" s="83">
        <f>_xlfn.NORM.INV(RAND(),ASSUMPTIONS!$C$19,ASSUMPTIONS!$C$70)</f>
        <v/>
      </c>
      <c r="K1099" s="83">
        <f>_xlfn.NORM.INV(RAND(),ASSUMPTIONS!$C$43,ASSUMPTIONS!$C$71)</f>
        <v/>
      </c>
      <c r="L1099" s="84">
        <f>(((ASSUMPTIONS!$C$18*J1099*(1-ASSUMPTIONS!$C$20)+ASSUMPTIONS!$C$18*ASSUMPTIONS!$C$21-ASSUMPTIONS!$C$18*ASSUMPTIONS!$C$22)*(1+H1099)*(1-((1+H1099)/(1+I1099))^5)/(I1099-H1099))+((ASSUMPTIONS!$C$18*J1099*(1-ASSUMPTIONS!$C$20)+ASSUMPTIONS!$C$18*ASSUMPTIONS!$C$21-ASSUMPTIONS!$C$18*ASSUMPTIONS!$C$22)*(1+H1099)^5*(1+K1099)/(I1099-K1099)/(1+I1099)^5)-DCF!$C$12)/ASSUMPTIONS!$C$7</f>
        <v/>
      </c>
    </row>
    <row r="1100">
      <c r="H1100" s="83">
        <f>_xlfn.NORM.INV(RAND(),AVERAGE(ASSUMPTIONS!$C$38,ASSUMPTIONS!$C$39,ASSUMPTIONS!$C$40,ASSUMPTIONS!$C$41,ASSUMPTIONS!$C$42),ASSUMPTIONS!$C$68)</f>
        <v/>
      </c>
      <c r="I1100" s="83">
        <f>MAX(_xlfn.NORM.INV(RAND(),DCF!$C$11,ASSUMPTIONS!$C$69),K1100+0.005)</f>
        <v/>
      </c>
      <c r="J1100" s="83">
        <f>_xlfn.NORM.INV(RAND(),ASSUMPTIONS!$C$19,ASSUMPTIONS!$C$70)</f>
        <v/>
      </c>
      <c r="K1100" s="83">
        <f>_xlfn.NORM.INV(RAND(),ASSUMPTIONS!$C$43,ASSUMPTIONS!$C$71)</f>
        <v/>
      </c>
      <c r="L1100" s="84">
        <f>(((ASSUMPTIONS!$C$18*J1100*(1-ASSUMPTIONS!$C$20)+ASSUMPTIONS!$C$18*ASSUMPTIONS!$C$21-ASSUMPTIONS!$C$18*ASSUMPTIONS!$C$22)*(1+H1100)*(1-((1+H1100)/(1+I1100))^5)/(I1100-H1100))+((ASSUMPTIONS!$C$18*J1100*(1-ASSUMPTIONS!$C$20)+ASSUMPTIONS!$C$18*ASSUMPTIONS!$C$21-ASSUMPTIONS!$C$18*ASSUMPTIONS!$C$22)*(1+H1100)^5*(1+K1100)/(I1100-K1100)/(1+I1100)^5)-DCF!$C$12)/ASSUMPTIONS!$C$7</f>
        <v/>
      </c>
    </row>
    <row r="1101">
      <c r="H1101" s="83">
        <f>_xlfn.NORM.INV(RAND(),AVERAGE(ASSUMPTIONS!$C$38,ASSUMPTIONS!$C$39,ASSUMPTIONS!$C$40,ASSUMPTIONS!$C$41,ASSUMPTIONS!$C$42),ASSUMPTIONS!$C$68)</f>
        <v/>
      </c>
      <c r="I1101" s="83">
        <f>MAX(_xlfn.NORM.INV(RAND(),DCF!$C$11,ASSUMPTIONS!$C$69),K1101+0.005)</f>
        <v/>
      </c>
      <c r="J1101" s="83">
        <f>_xlfn.NORM.INV(RAND(),ASSUMPTIONS!$C$19,ASSUMPTIONS!$C$70)</f>
        <v/>
      </c>
      <c r="K1101" s="83">
        <f>_xlfn.NORM.INV(RAND(),ASSUMPTIONS!$C$43,ASSUMPTIONS!$C$71)</f>
        <v/>
      </c>
      <c r="L1101" s="84">
        <f>(((ASSUMPTIONS!$C$18*J1101*(1-ASSUMPTIONS!$C$20)+ASSUMPTIONS!$C$18*ASSUMPTIONS!$C$21-ASSUMPTIONS!$C$18*ASSUMPTIONS!$C$22)*(1+H1101)*(1-((1+H1101)/(1+I1101))^5)/(I1101-H1101))+((ASSUMPTIONS!$C$18*J1101*(1-ASSUMPTIONS!$C$20)+ASSUMPTIONS!$C$18*ASSUMPTIONS!$C$21-ASSUMPTIONS!$C$18*ASSUMPTIONS!$C$22)*(1+H1101)^5*(1+K1101)/(I1101-K1101)/(1+I1101)^5)-DCF!$C$12)/ASSUMPTIONS!$C$7</f>
        <v/>
      </c>
    </row>
    <row r="1102">
      <c r="H1102" s="83">
        <f>_xlfn.NORM.INV(RAND(),AVERAGE(ASSUMPTIONS!$C$38,ASSUMPTIONS!$C$39,ASSUMPTIONS!$C$40,ASSUMPTIONS!$C$41,ASSUMPTIONS!$C$42),ASSUMPTIONS!$C$68)</f>
        <v/>
      </c>
      <c r="I1102" s="83">
        <f>MAX(_xlfn.NORM.INV(RAND(),DCF!$C$11,ASSUMPTIONS!$C$69),K1102+0.005)</f>
        <v/>
      </c>
      <c r="J1102" s="83">
        <f>_xlfn.NORM.INV(RAND(),ASSUMPTIONS!$C$19,ASSUMPTIONS!$C$70)</f>
        <v/>
      </c>
      <c r="K1102" s="83">
        <f>_xlfn.NORM.INV(RAND(),ASSUMPTIONS!$C$43,ASSUMPTIONS!$C$71)</f>
        <v/>
      </c>
      <c r="L1102" s="84">
        <f>(((ASSUMPTIONS!$C$18*J1102*(1-ASSUMPTIONS!$C$20)+ASSUMPTIONS!$C$18*ASSUMPTIONS!$C$21-ASSUMPTIONS!$C$18*ASSUMPTIONS!$C$22)*(1+H1102)*(1-((1+H1102)/(1+I1102))^5)/(I1102-H1102))+((ASSUMPTIONS!$C$18*J1102*(1-ASSUMPTIONS!$C$20)+ASSUMPTIONS!$C$18*ASSUMPTIONS!$C$21-ASSUMPTIONS!$C$18*ASSUMPTIONS!$C$22)*(1+H1102)^5*(1+K1102)/(I1102-K1102)/(1+I1102)^5)-DCF!$C$12)/ASSUMPTIONS!$C$7</f>
        <v/>
      </c>
    </row>
    <row r="1103">
      <c r="H1103" s="83">
        <f>_xlfn.NORM.INV(RAND(),AVERAGE(ASSUMPTIONS!$C$38,ASSUMPTIONS!$C$39,ASSUMPTIONS!$C$40,ASSUMPTIONS!$C$41,ASSUMPTIONS!$C$42),ASSUMPTIONS!$C$68)</f>
        <v/>
      </c>
      <c r="I1103" s="83">
        <f>MAX(_xlfn.NORM.INV(RAND(),DCF!$C$11,ASSUMPTIONS!$C$69),K1103+0.005)</f>
        <v/>
      </c>
      <c r="J1103" s="83">
        <f>_xlfn.NORM.INV(RAND(),ASSUMPTIONS!$C$19,ASSUMPTIONS!$C$70)</f>
        <v/>
      </c>
      <c r="K1103" s="83">
        <f>_xlfn.NORM.INV(RAND(),ASSUMPTIONS!$C$43,ASSUMPTIONS!$C$71)</f>
        <v/>
      </c>
      <c r="L1103" s="84">
        <f>(((ASSUMPTIONS!$C$18*J1103*(1-ASSUMPTIONS!$C$20)+ASSUMPTIONS!$C$18*ASSUMPTIONS!$C$21-ASSUMPTIONS!$C$18*ASSUMPTIONS!$C$22)*(1+H1103)*(1-((1+H1103)/(1+I1103))^5)/(I1103-H1103))+((ASSUMPTIONS!$C$18*J1103*(1-ASSUMPTIONS!$C$20)+ASSUMPTIONS!$C$18*ASSUMPTIONS!$C$21-ASSUMPTIONS!$C$18*ASSUMPTIONS!$C$22)*(1+H1103)^5*(1+K1103)/(I1103-K1103)/(1+I1103)^5)-DCF!$C$12)/ASSUMPTIONS!$C$7</f>
        <v/>
      </c>
    </row>
    <row r="1104">
      <c r="H1104" s="83">
        <f>_xlfn.NORM.INV(RAND(),AVERAGE(ASSUMPTIONS!$C$38,ASSUMPTIONS!$C$39,ASSUMPTIONS!$C$40,ASSUMPTIONS!$C$41,ASSUMPTIONS!$C$42),ASSUMPTIONS!$C$68)</f>
        <v/>
      </c>
      <c r="I1104" s="83">
        <f>MAX(_xlfn.NORM.INV(RAND(),DCF!$C$11,ASSUMPTIONS!$C$69),K1104+0.005)</f>
        <v/>
      </c>
      <c r="J1104" s="83">
        <f>_xlfn.NORM.INV(RAND(),ASSUMPTIONS!$C$19,ASSUMPTIONS!$C$70)</f>
        <v/>
      </c>
      <c r="K1104" s="83">
        <f>_xlfn.NORM.INV(RAND(),ASSUMPTIONS!$C$43,ASSUMPTIONS!$C$71)</f>
        <v/>
      </c>
      <c r="L1104" s="84">
        <f>(((ASSUMPTIONS!$C$18*J1104*(1-ASSUMPTIONS!$C$20)+ASSUMPTIONS!$C$18*ASSUMPTIONS!$C$21-ASSUMPTIONS!$C$18*ASSUMPTIONS!$C$22)*(1+H1104)*(1-((1+H1104)/(1+I1104))^5)/(I1104-H1104))+((ASSUMPTIONS!$C$18*J1104*(1-ASSUMPTIONS!$C$20)+ASSUMPTIONS!$C$18*ASSUMPTIONS!$C$21-ASSUMPTIONS!$C$18*ASSUMPTIONS!$C$22)*(1+H1104)^5*(1+K1104)/(I1104-K1104)/(1+I1104)^5)-DCF!$C$12)/ASSUMPTIONS!$C$7</f>
        <v/>
      </c>
    </row>
    <row r="1105">
      <c r="H1105" s="83">
        <f>_xlfn.NORM.INV(RAND(),AVERAGE(ASSUMPTIONS!$C$38,ASSUMPTIONS!$C$39,ASSUMPTIONS!$C$40,ASSUMPTIONS!$C$41,ASSUMPTIONS!$C$42),ASSUMPTIONS!$C$68)</f>
        <v/>
      </c>
      <c r="I1105" s="83">
        <f>MAX(_xlfn.NORM.INV(RAND(),DCF!$C$11,ASSUMPTIONS!$C$69),K1105+0.005)</f>
        <v/>
      </c>
      <c r="J1105" s="83">
        <f>_xlfn.NORM.INV(RAND(),ASSUMPTIONS!$C$19,ASSUMPTIONS!$C$70)</f>
        <v/>
      </c>
      <c r="K1105" s="83">
        <f>_xlfn.NORM.INV(RAND(),ASSUMPTIONS!$C$43,ASSUMPTIONS!$C$71)</f>
        <v/>
      </c>
      <c r="L1105" s="84">
        <f>(((ASSUMPTIONS!$C$18*J1105*(1-ASSUMPTIONS!$C$20)+ASSUMPTIONS!$C$18*ASSUMPTIONS!$C$21-ASSUMPTIONS!$C$18*ASSUMPTIONS!$C$22)*(1+H1105)*(1-((1+H1105)/(1+I1105))^5)/(I1105-H1105))+((ASSUMPTIONS!$C$18*J1105*(1-ASSUMPTIONS!$C$20)+ASSUMPTIONS!$C$18*ASSUMPTIONS!$C$21-ASSUMPTIONS!$C$18*ASSUMPTIONS!$C$22)*(1+H1105)^5*(1+K1105)/(I1105-K1105)/(1+I1105)^5)-DCF!$C$12)/ASSUMPTIONS!$C$7</f>
        <v/>
      </c>
    </row>
    <row r="1106">
      <c r="H1106" s="83">
        <f>_xlfn.NORM.INV(RAND(),AVERAGE(ASSUMPTIONS!$C$38,ASSUMPTIONS!$C$39,ASSUMPTIONS!$C$40,ASSUMPTIONS!$C$41,ASSUMPTIONS!$C$42),ASSUMPTIONS!$C$68)</f>
        <v/>
      </c>
      <c r="I1106" s="83">
        <f>MAX(_xlfn.NORM.INV(RAND(),DCF!$C$11,ASSUMPTIONS!$C$69),K1106+0.005)</f>
        <v/>
      </c>
      <c r="J1106" s="83">
        <f>_xlfn.NORM.INV(RAND(),ASSUMPTIONS!$C$19,ASSUMPTIONS!$C$70)</f>
        <v/>
      </c>
      <c r="K1106" s="83">
        <f>_xlfn.NORM.INV(RAND(),ASSUMPTIONS!$C$43,ASSUMPTIONS!$C$71)</f>
        <v/>
      </c>
      <c r="L1106" s="84">
        <f>(((ASSUMPTIONS!$C$18*J1106*(1-ASSUMPTIONS!$C$20)+ASSUMPTIONS!$C$18*ASSUMPTIONS!$C$21-ASSUMPTIONS!$C$18*ASSUMPTIONS!$C$22)*(1+H1106)*(1-((1+H1106)/(1+I1106))^5)/(I1106-H1106))+((ASSUMPTIONS!$C$18*J1106*(1-ASSUMPTIONS!$C$20)+ASSUMPTIONS!$C$18*ASSUMPTIONS!$C$21-ASSUMPTIONS!$C$18*ASSUMPTIONS!$C$22)*(1+H1106)^5*(1+K1106)/(I1106-K1106)/(1+I1106)^5)-DCF!$C$12)/ASSUMPTIONS!$C$7</f>
        <v/>
      </c>
    </row>
    <row r="1107">
      <c r="H1107" s="83">
        <f>_xlfn.NORM.INV(RAND(),AVERAGE(ASSUMPTIONS!$C$38,ASSUMPTIONS!$C$39,ASSUMPTIONS!$C$40,ASSUMPTIONS!$C$41,ASSUMPTIONS!$C$42),ASSUMPTIONS!$C$68)</f>
        <v/>
      </c>
      <c r="I1107" s="83">
        <f>MAX(_xlfn.NORM.INV(RAND(),DCF!$C$11,ASSUMPTIONS!$C$69),K1107+0.005)</f>
        <v/>
      </c>
      <c r="J1107" s="83">
        <f>_xlfn.NORM.INV(RAND(),ASSUMPTIONS!$C$19,ASSUMPTIONS!$C$70)</f>
        <v/>
      </c>
      <c r="K1107" s="83">
        <f>_xlfn.NORM.INV(RAND(),ASSUMPTIONS!$C$43,ASSUMPTIONS!$C$71)</f>
        <v/>
      </c>
      <c r="L1107" s="84">
        <f>(((ASSUMPTIONS!$C$18*J1107*(1-ASSUMPTIONS!$C$20)+ASSUMPTIONS!$C$18*ASSUMPTIONS!$C$21-ASSUMPTIONS!$C$18*ASSUMPTIONS!$C$22)*(1+H1107)*(1-((1+H1107)/(1+I1107))^5)/(I1107-H1107))+((ASSUMPTIONS!$C$18*J1107*(1-ASSUMPTIONS!$C$20)+ASSUMPTIONS!$C$18*ASSUMPTIONS!$C$21-ASSUMPTIONS!$C$18*ASSUMPTIONS!$C$22)*(1+H1107)^5*(1+K1107)/(I1107-K1107)/(1+I1107)^5)-DCF!$C$12)/ASSUMPTIONS!$C$7</f>
        <v/>
      </c>
    </row>
    <row r="1108">
      <c r="H1108" s="83">
        <f>_xlfn.NORM.INV(RAND(),AVERAGE(ASSUMPTIONS!$C$38,ASSUMPTIONS!$C$39,ASSUMPTIONS!$C$40,ASSUMPTIONS!$C$41,ASSUMPTIONS!$C$42),ASSUMPTIONS!$C$68)</f>
        <v/>
      </c>
      <c r="I1108" s="83">
        <f>MAX(_xlfn.NORM.INV(RAND(),DCF!$C$11,ASSUMPTIONS!$C$69),K1108+0.005)</f>
        <v/>
      </c>
      <c r="J1108" s="83">
        <f>_xlfn.NORM.INV(RAND(),ASSUMPTIONS!$C$19,ASSUMPTIONS!$C$70)</f>
        <v/>
      </c>
      <c r="K1108" s="83">
        <f>_xlfn.NORM.INV(RAND(),ASSUMPTIONS!$C$43,ASSUMPTIONS!$C$71)</f>
        <v/>
      </c>
      <c r="L1108" s="84">
        <f>(((ASSUMPTIONS!$C$18*J1108*(1-ASSUMPTIONS!$C$20)+ASSUMPTIONS!$C$18*ASSUMPTIONS!$C$21-ASSUMPTIONS!$C$18*ASSUMPTIONS!$C$22)*(1+H1108)*(1-((1+H1108)/(1+I1108))^5)/(I1108-H1108))+((ASSUMPTIONS!$C$18*J1108*(1-ASSUMPTIONS!$C$20)+ASSUMPTIONS!$C$18*ASSUMPTIONS!$C$21-ASSUMPTIONS!$C$18*ASSUMPTIONS!$C$22)*(1+H1108)^5*(1+K1108)/(I1108-K1108)/(1+I1108)^5)-DCF!$C$12)/ASSUMPTIONS!$C$7</f>
        <v/>
      </c>
    </row>
    <row r="1109">
      <c r="H1109" s="83">
        <f>_xlfn.NORM.INV(RAND(),AVERAGE(ASSUMPTIONS!$C$38,ASSUMPTIONS!$C$39,ASSUMPTIONS!$C$40,ASSUMPTIONS!$C$41,ASSUMPTIONS!$C$42),ASSUMPTIONS!$C$68)</f>
        <v/>
      </c>
      <c r="I1109" s="83">
        <f>MAX(_xlfn.NORM.INV(RAND(),DCF!$C$11,ASSUMPTIONS!$C$69),K1109+0.005)</f>
        <v/>
      </c>
      <c r="J1109" s="83">
        <f>_xlfn.NORM.INV(RAND(),ASSUMPTIONS!$C$19,ASSUMPTIONS!$C$70)</f>
        <v/>
      </c>
      <c r="K1109" s="83">
        <f>_xlfn.NORM.INV(RAND(),ASSUMPTIONS!$C$43,ASSUMPTIONS!$C$71)</f>
        <v/>
      </c>
      <c r="L1109" s="84">
        <f>(((ASSUMPTIONS!$C$18*J1109*(1-ASSUMPTIONS!$C$20)+ASSUMPTIONS!$C$18*ASSUMPTIONS!$C$21-ASSUMPTIONS!$C$18*ASSUMPTIONS!$C$22)*(1+H1109)*(1-((1+H1109)/(1+I1109))^5)/(I1109-H1109))+((ASSUMPTIONS!$C$18*J1109*(1-ASSUMPTIONS!$C$20)+ASSUMPTIONS!$C$18*ASSUMPTIONS!$C$21-ASSUMPTIONS!$C$18*ASSUMPTIONS!$C$22)*(1+H1109)^5*(1+K1109)/(I1109-K1109)/(1+I1109)^5)-DCF!$C$12)/ASSUMPTIONS!$C$7</f>
        <v/>
      </c>
    </row>
    <row r="1110">
      <c r="H1110" s="83">
        <f>_xlfn.NORM.INV(RAND(),AVERAGE(ASSUMPTIONS!$C$38,ASSUMPTIONS!$C$39,ASSUMPTIONS!$C$40,ASSUMPTIONS!$C$41,ASSUMPTIONS!$C$42),ASSUMPTIONS!$C$68)</f>
        <v/>
      </c>
      <c r="I1110" s="83">
        <f>MAX(_xlfn.NORM.INV(RAND(),DCF!$C$11,ASSUMPTIONS!$C$69),K1110+0.005)</f>
        <v/>
      </c>
      <c r="J1110" s="83">
        <f>_xlfn.NORM.INV(RAND(),ASSUMPTIONS!$C$19,ASSUMPTIONS!$C$70)</f>
        <v/>
      </c>
      <c r="K1110" s="83">
        <f>_xlfn.NORM.INV(RAND(),ASSUMPTIONS!$C$43,ASSUMPTIONS!$C$71)</f>
        <v/>
      </c>
      <c r="L1110" s="84">
        <f>(((ASSUMPTIONS!$C$18*J1110*(1-ASSUMPTIONS!$C$20)+ASSUMPTIONS!$C$18*ASSUMPTIONS!$C$21-ASSUMPTIONS!$C$18*ASSUMPTIONS!$C$22)*(1+H1110)*(1-((1+H1110)/(1+I1110))^5)/(I1110-H1110))+((ASSUMPTIONS!$C$18*J1110*(1-ASSUMPTIONS!$C$20)+ASSUMPTIONS!$C$18*ASSUMPTIONS!$C$21-ASSUMPTIONS!$C$18*ASSUMPTIONS!$C$22)*(1+H1110)^5*(1+K1110)/(I1110-K1110)/(1+I1110)^5)-DCF!$C$12)/ASSUMPTIONS!$C$7</f>
        <v/>
      </c>
    </row>
    <row r="1111">
      <c r="H1111" s="83">
        <f>_xlfn.NORM.INV(RAND(),AVERAGE(ASSUMPTIONS!$C$38,ASSUMPTIONS!$C$39,ASSUMPTIONS!$C$40,ASSUMPTIONS!$C$41,ASSUMPTIONS!$C$42),ASSUMPTIONS!$C$68)</f>
        <v/>
      </c>
      <c r="I1111" s="83">
        <f>MAX(_xlfn.NORM.INV(RAND(),DCF!$C$11,ASSUMPTIONS!$C$69),K1111+0.005)</f>
        <v/>
      </c>
      <c r="J1111" s="83">
        <f>_xlfn.NORM.INV(RAND(),ASSUMPTIONS!$C$19,ASSUMPTIONS!$C$70)</f>
        <v/>
      </c>
      <c r="K1111" s="83">
        <f>_xlfn.NORM.INV(RAND(),ASSUMPTIONS!$C$43,ASSUMPTIONS!$C$71)</f>
        <v/>
      </c>
      <c r="L1111" s="84">
        <f>(((ASSUMPTIONS!$C$18*J1111*(1-ASSUMPTIONS!$C$20)+ASSUMPTIONS!$C$18*ASSUMPTIONS!$C$21-ASSUMPTIONS!$C$18*ASSUMPTIONS!$C$22)*(1+H1111)*(1-((1+H1111)/(1+I1111))^5)/(I1111-H1111))+((ASSUMPTIONS!$C$18*J1111*(1-ASSUMPTIONS!$C$20)+ASSUMPTIONS!$C$18*ASSUMPTIONS!$C$21-ASSUMPTIONS!$C$18*ASSUMPTIONS!$C$22)*(1+H1111)^5*(1+K1111)/(I1111-K1111)/(1+I1111)^5)-DCF!$C$12)/ASSUMPTIONS!$C$7</f>
        <v/>
      </c>
    </row>
    <row r="1112">
      <c r="H1112" s="83">
        <f>_xlfn.NORM.INV(RAND(),AVERAGE(ASSUMPTIONS!$C$38,ASSUMPTIONS!$C$39,ASSUMPTIONS!$C$40,ASSUMPTIONS!$C$41,ASSUMPTIONS!$C$42),ASSUMPTIONS!$C$68)</f>
        <v/>
      </c>
      <c r="I1112" s="83">
        <f>MAX(_xlfn.NORM.INV(RAND(),DCF!$C$11,ASSUMPTIONS!$C$69),K1112+0.005)</f>
        <v/>
      </c>
      <c r="J1112" s="83">
        <f>_xlfn.NORM.INV(RAND(),ASSUMPTIONS!$C$19,ASSUMPTIONS!$C$70)</f>
        <v/>
      </c>
      <c r="K1112" s="83">
        <f>_xlfn.NORM.INV(RAND(),ASSUMPTIONS!$C$43,ASSUMPTIONS!$C$71)</f>
        <v/>
      </c>
      <c r="L1112" s="84">
        <f>(((ASSUMPTIONS!$C$18*J1112*(1-ASSUMPTIONS!$C$20)+ASSUMPTIONS!$C$18*ASSUMPTIONS!$C$21-ASSUMPTIONS!$C$18*ASSUMPTIONS!$C$22)*(1+H1112)*(1-((1+H1112)/(1+I1112))^5)/(I1112-H1112))+((ASSUMPTIONS!$C$18*J1112*(1-ASSUMPTIONS!$C$20)+ASSUMPTIONS!$C$18*ASSUMPTIONS!$C$21-ASSUMPTIONS!$C$18*ASSUMPTIONS!$C$22)*(1+H1112)^5*(1+K1112)/(I1112-K1112)/(1+I1112)^5)-DCF!$C$12)/ASSUMPTIONS!$C$7</f>
        <v/>
      </c>
    </row>
    <row r="1113">
      <c r="H1113" s="83">
        <f>_xlfn.NORM.INV(RAND(),AVERAGE(ASSUMPTIONS!$C$38,ASSUMPTIONS!$C$39,ASSUMPTIONS!$C$40,ASSUMPTIONS!$C$41,ASSUMPTIONS!$C$42),ASSUMPTIONS!$C$68)</f>
        <v/>
      </c>
      <c r="I1113" s="83">
        <f>MAX(_xlfn.NORM.INV(RAND(),DCF!$C$11,ASSUMPTIONS!$C$69),K1113+0.005)</f>
        <v/>
      </c>
      <c r="J1113" s="83">
        <f>_xlfn.NORM.INV(RAND(),ASSUMPTIONS!$C$19,ASSUMPTIONS!$C$70)</f>
        <v/>
      </c>
      <c r="K1113" s="83">
        <f>_xlfn.NORM.INV(RAND(),ASSUMPTIONS!$C$43,ASSUMPTIONS!$C$71)</f>
        <v/>
      </c>
      <c r="L1113" s="84">
        <f>(((ASSUMPTIONS!$C$18*J1113*(1-ASSUMPTIONS!$C$20)+ASSUMPTIONS!$C$18*ASSUMPTIONS!$C$21-ASSUMPTIONS!$C$18*ASSUMPTIONS!$C$22)*(1+H1113)*(1-((1+H1113)/(1+I1113))^5)/(I1113-H1113))+((ASSUMPTIONS!$C$18*J1113*(1-ASSUMPTIONS!$C$20)+ASSUMPTIONS!$C$18*ASSUMPTIONS!$C$21-ASSUMPTIONS!$C$18*ASSUMPTIONS!$C$22)*(1+H1113)^5*(1+K1113)/(I1113-K1113)/(1+I1113)^5)-DCF!$C$12)/ASSUMPTIONS!$C$7</f>
        <v/>
      </c>
    </row>
    <row r="1114">
      <c r="H1114" s="83">
        <f>_xlfn.NORM.INV(RAND(),AVERAGE(ASSUMPTIONS!$C$38,ASSUMPTIONS!$C$39,ASSUMPTIONS!$C$40,ASSUMPTIONS!$C$41,ASSUMPTIONS!$C$42),ASSUMPTIONS!$C$68)</f>
        <v/>
      </c>
      <c r="I1114" s="83">
        <f>MAX(_xlfn.NORM.INV(RAND(),DCF!$C$11,ASSUMPTIONS!$C$69),K1114+0.005)</f>
        <v/>
      </c>
      <c r="J1114" s="83">
        <f>_xlfn.NORM.INV(RAND(),ASSUMPTIONS!$C$19,ASSUMPTIONS!$C$70)</f>
        <v/>
      </c>
      <c r="K1114" s="83">
        <f>_xlfn.NORM.INV(RAND(),ASSUMPTIONS!$C$43,ASSUMPTIONS!$C$71)</f>
        <v/>
      </c>
      <c r="L1114" s="84">
        <f>(((ASSUMPTIONS!$C$18*J1114*(1-ASSUMPTIONS!$C$20)+ASSUMPTIONS!$C$18*ASSUMPTIONS!$C$21-ASSUMPTIONS!$C$18*ASSUMPTIONS!$C$22)*(1+H1114)*(1-((1+H1114)/(1+I1114))^5)/(I1114-H1114))+((ASSUMPTIONS!$C$18*J1114*(1-ASSUMPTIONS!$C$20)+ASSUMPTIONS!$C$18*ASSUMPTIONS!$C$21-ASSUMPTIONS!$C$18*ASSUMPTIONS!$C$22)*(1+H1114)^5*(1+K1114)/(I1114-K1114)/(1+I1114)^5)-DCF!$C$12)/ASSUMPTIONS!$C$7</f>
        <v/>
      </c>
    </row>
    <row r="1115">
      <c r="H1115" s="83">
        <f>_xlfn.NORM.INV(RAND(),AVERAGE(ASSUMPTIONS!$C$38,ASSUMPTIONS!$C$39,ASSUMPTIONS!$C$40,ASSUMPTIONS!$C$41,ASSUMPTIONS!$C$42),ASSUMPTIONS!$C$68)</f>
        <v/>
      </c>
      <c r="I1115" s="83">
        <f>MAX(_xlfn.NORM.INV(RAND(),DCF!$C$11,ASSUMPTIONS!$C$69),K1115+0.005)</f>
        <v/>
      </c>
      <c r="J1115" s="83">
        <f>_xlfn.NORM.INV(RAND(),ASSUMPTIONS!$C$19,ASSUMPTIONS!$C$70)</f>
        <v/>
      </c>
      <c r="K1115" s="83">
        <f>_xlfn.NORM.INV(RAND(),ASSUMPTIONS!$C$43,ASSUMPTIONS!$C$71)</f>
        <v/>
      </c>
      <c r="L1115" s="84">
        <f>(((ASSUMPTIONS!$C$18*J1115*(1-ASSUMPTIONS!$C$20)+ASSUMPTIONS!$C$18*ASSUMPTIONS!$C$21-ASSUMPTIONS!$C$18*ASSUMPTIONS!$C$22)*(1+H1115)*(1-((1+H1115)/(1+I1115))^5)/(I1115-H1115))+((ASSUMPTIONS!$C$18*J1115*(1-ASSUMPTIONS!$C$20)+ASSUMPTIONS!$C$18*ASSUMPTIONS!$C$21-ASSUMPTIONS!$C$18*ASSUMPTIONS!$C$22)*(1+H1115)^5*(1+K1115)/(I1115-K1115)/(1+I1115)^5)-DCF!$C$12)/ASSUMPTIONS!$C$7</f>
        <v/>
      </c>
    </row>
    <row r="1116">
      <c r="H1116" s="83">
        <f>_xlfn.NORM.INV(RAND(),AVERAGE(ASSUMPTIONS!$C$38,ASSUMPTIONS!$C$39,ASSUMPTIONS!$C$40,ASSUMPTIONS!$C$41,ASSUMPTIONS!$C$42),ASSUMPTIONS!$C$68)</f>
        <v/>
      </c>
      <c r="I1116" s="83">
        <f>MAX(_xlfn.NORM.INV(RAND(),DCF!$C$11,ASSUMPTIONS!$C$69),K1116+0.005)</f>
        <v/>
      </c>
      <c r="J1116" s="83">
        <f>_xlfn.NORM.INV(RAND(),ASSUMPTIONS!$C$19,ASSUMPTIONS!$C$70)</f>
        <v/>
      </c>
      <c r="K1116" s="83">
        <f>_xlfn.NORM.INV(RAND(),ASSUMPTIONS!$C$43,ASSUMPTIONS!$C$71)</f>
        <v/>
      </c>
      <c r="L1116" s="84">
        <f>(((ASSUMPTIONS!$C$18*J1116*(1-ASSUMPTIONS!$C$20)+ASSUMPTIONS!$C$18*ASSUMPTIONS!$C$21-ASSUMPTIONS!$C$18*ASSUMPTIONS!$C$22)*(1+H1116)*(1-((1+H1116)/(1+I1116))^5)/(I1116-H1116))+((ASSUMPTIONS!$C$18*J1116*(1-ASSUMPTIONS!$C$20)+ASSUMPTIONS!$C$18*ASSUMPTIONS!$C$21-ASSUMPTIONS!$C$18*ASSUMPTIONS!$C$22)*(1+H1116)^5*(1+K1116)/(I1116-K1116)/(1+I1116)^5)-DCF!$C$12)/ASSUMPTIONS!$C$7</f>
        <v/>
      </c>
    </row>
    <row r="1117">
      <c r="H1117" s="83">
        <f>_xlfn.NORM.INV(RAND(),AVERAGE(ASSUMPTIONS!$C$38,ASSUMPTIONS!$C$39,ASSUMPTIONS!$C$40,ASSUMPTIONS!$C$41,ASSUMPTIONS!$C$42),ASSUMPTIONS!$C$68)</f>
        <v/>
      </c>
      <c r="I1117" s="83">
        <f>MAX(_xlfn.NORM.INV(RAND(),DCF!$C$11,ASSUMPTIONS!$C$69),K1117+0.005)</f>
        <v/>
      </c>
      <c r="J1117" s="83">
        <f>_xlfn.NORM.INV(RAND(),ASSUMPTIONS!$C$19,ASSUMPTIONS!$C$70)</f>
        <v/>
      </c>
      <c r="K1117" s="83">
        <f>_xlfn.NORM.INV(RAND(),ASSUMPTIONS!$C$43,ASSUMPTIONS!$C$71)</f>
        <v/>
      </c>
      <c r="L1117" s="84">
        <f>(((ASSUMPTIONS!$C$18*J1117*(1-ASSUMPTIONS!$C$20)+ASSUMPTIONS!$C$18*ASSUMPTIONS!$C$21-ASSUMPTIONS!$C$18*ASSUMPTIONS!$C$22)*(1+H1117)*(1-((1+H1117)/(1+I1117))^5)/(I1117-H1117))+((ASSUMPTIONS!$C$18*J1117*(1-ASSUMPTIONS!$C$20)+ASSUMPTIONS!$C$18*ASSUMPTIONS!$C$21-ASSUMPTIONS!$C$18*ASSUMPTIONS!$C$22)*(1+H1117)^5*(1+K1117)/(I1117-K1117)/(1+I1117)^5)-DCF!$C$12)/ASSUMPTIONS!$C$7</f>
        <v/>
      </c>
    </row>
    <row r="1118">
      <c r="H1118" s="83">
        <f>_xlfn.NORM.INV(RAND(),AVERAGE(ASSUMPTIONS!$C$38,ASSUMPTIONS!$C$39,ASSUMPTIONS!$C$40,ASSUMPTIONS!$C$41,ASSUMPTIONS!$C$42),ASSUMPTIONS!$C$68)</f>
        <v/>
      </c>
      <c r="I1118" s="83">
        <f>MAX(_xlfn.NORM.INV(RAND(),DCF!$C$11,ASSUMPTIONS!$C$69),K1118+0.005)</f>
        <v/>
      </c>
      <c r="J1118" s="83">
        <f>_xlfn.NORM.INV(RAND(),ASSUMPTIONS!$C$19,ASSUMPTIONS!$C$70)</f>
        <v/>
      </c>
      <c r="K1118" s="83">
        <f>_xlfn.NORM.INV(RAND(),ASSUMPTIONS!$C$43,ASSUMPTIONS!$C$71)</f>
        <v/>
      </c>
      <c r="L1118" s="84">
        <f>(((ASSUMPTIONS!$C$18*J1118*(1-ASSUMPTIONS!$C$20)+ASSUMPTIONS!$C$18*ASSUMPTIONS!$C$21-ASSUMPTIONS!$C$18*ASSUMPTIONS!$C$22)*(1+H1118)*(1-((1+H1118)/(1+I1118))^5)/(I1118-H1118))+((ASSUMPTIONS!$C$18*J1118*(1-ASSUMPTIONS!$C$20)+ASSUMPTIONS!$C$18*ASSUMPTIONS!$C$21-ASSUMPTIONS!$C$18*ASSUMPTIONS!$C$22)*(1+H1118)^5*(1+K1118)/(I1118-K1118)/(1+I1118)^5)-DCF!$C$12)/ASSUMPTIONS!$C$7</f>
        <v/>
      </c>
    </row>
    <row r="1119">
      <c r="H1119" s="83">
        <f>_xlfn.NORM.INV(RAND(),AVERAGE(ASSUMPTIONS!$C$38,ASSUMPTIONS!$C$39,ASSUMPTIONS!$C$40,ASSUMPTIONS!$C$41,ASSUMPTIONS!$C$42),ASSUMPTIONS!$C$68)</f>
        <v/>
      </c>
      <c r="I1119" s="83">
        <f>MAX(_xlfn.NORM.INV(RAND(),DCF!$C$11,ASSUMPTIONS!$C$69),K1119+0.005)</f>
        <v/>
      </c>
      <c r="J1119" s="83">
        <f>_xlfn.NORM.INV(RAND(),ASSUMPTIONS!$C$19,ASSUMPTIONS!$C$70)</f>
        <v/>
      </c>
      <c r="K1119" s="83">
        <f>_xlfn.NORM.INV(RAND(),ASSUMPTIONS!$C$43,ASSUMPTIONS!$C$71)</f>
        <v/>
      </c>
      <c r="L1119" s="84">
        <f>(((ASSUMPTIONS!$C$18*J1119*(1-ASSUMPTIONS!$C$20)+ASSUMPTIONS!$C$18*ASSUMPTIONS!$C$21-ASSUMPTIONS!$C$18*ASSUMPTIONS!$C$22)*(1+H1119)*(1-((1+H1119)/(1+I1119))^5)/(I1119-H1119))+((ASSUMPTIONS!$C$18*J1119*(1-ASSUMPTIONS!$C$20)+ASSUMPTIONS!$C$18*ASSUMPTIONS!$C$21-ASSUMPTIONS!$C$18*ASSUMPTIONS!$C$22)*(1+H1119)^5*(1+K1119)/(I1119-K1119)/(1+I1119)^5)-DCF!$C$12)/ASSUMPTIONS!$C$7</f>
        <v/>
      </c>
    </row>
    <row r="1120">
      <c r="H1120" s="83">
        <f>_xlfn.NORM.INV(RAND(),AVERAGE(ASSUMPTIONS!$C$38,ASSUMPTIONS!$C$39,ASSUMPTIONS!$C$40,ASSUMPTIONS!$C$41,ASSUMPTIONS!$C$42),ASSUMPTIONS!$C$68)</f>
        <v/>
      </c>
      <c r="I1120" s="83">
        <f>MAX(_xlfn.NORM.INV(RAND(),DCF!$C$11,ASSUMPTIONS!$C$69),K1120+0.005)</f>
        <v/>
      </c>
      <c r="J1120" s="83">
        <f>_xlfn.NORM.INV(RAND(),ASSUMPTIONS!$C$19,ASSUMPTIONS!$C$70)</f>
        <v/>
      </c>
      <c r="K1120" s="83">
        <f>_xlfn.NORM.INV(RAND(),ASSUMPTIONS!$C$43,ASSUMPTIONS!$C$71)</f>
        <v/>
      </c>
      <c r="L1120" s="84">
        <f>(((ASSUMPTIONS!$C$18*J1120*(1-ASSUMPTIONS!$C$20)+ASSUMPTIONS!$C$18*ASSUMPTIONS!$C$21-ASSUMPTIONS!$C$18*ASSUMPTIONS!$C$22)*(1+H1120)*(1-((1+H1120)/(1+I1120))^5)/(I1120-H1120))+((ASSUMPTIONS!$C$18*J1120*(1-ASSUMPTIONS!$C$20)+ASSUMPTIONS!$C$18*ASSUMPTIONS!$C$21-ASSUMPTIONS!$C$18*ASSUMPTIONS!$C$22)*(1+H1120)^5*(1+K1120)/(I1120-K1120)/(1+I1120)^5)-DCF!$C$12)/ASSUMPTIONS!$C$7</f>
        <v/>
      </c>
    </row>
    <row r="1121">
      <c r="H1121" s="83">
        <f>_xlfn.NORM.INV(RAND(),AVERAGE(ASSUMPTIONS!$C$38,ASSUMPTIONS!$C$39,ASSUMPTIONS!$C$40,ASSUMPTIONS!$C$41,ASSUMPTIONS!$C$42),ASSUMPTIONS!$C$68)</f>
        <v/>
      </c>
      <c r="I1121" s="83">
        <f>MAX(_xlfn.NORM.INV(RAND(),DCF!$C$11,ASSUMPTIONS!$C$69),K1121+0.005)</f>
        <v/>
      </c>
      <c r="J1121" s="83">
        <f>_xlfn.NORM.INV(RAND(),ASSUMPTIONS!$C$19,ASSUMPTIONS!$C$70)</f>
        <v/>
      </c>
      <c r="K1121" s="83">
        <f>_xlfn.NORM.INV(RAND(),ASSUMPTIONS!$C$43,ASSUMPTIONS!$C$71)</f>
        <v/>
      </c>
      <c r="L1121" s="84">
        <f>(((ASSUMPTIONS!$C$18*J1121*(1-ASSUMPTIONS!$C$20)+ASSUMPTIONS!$C$18*ASSUMPTIONS!$C$21-ASSUMPTIONS!$C$18*ASSUMPTIONS!$C$22)*(1+H1121)*(1-((1+H1121)/(1+I1121))^5)/(I1121-H1121))+((ASSUMPTIONS!$C$18*J1121*(1-ASSUMPTIONS!$C$20)+ASSUMPTIONS!$C$18*ASSUMPTIONS!$C$21-ASSUMPTIONS!$C$18*ASSUMPTIONS!$C$22)*(1+H1121)^5*(1+K1121)/(I1121-K1121)/(1+I1121)^5)-DCF!$C$12)/ASSUMPTIONS!$C$7</f>
        <v/>
      </c>
    </row>
    <row r="1122">
      <c r="H1122" s="83">
        <f>_xlfn.NORM.INV(RAND(),AVERAGE(ASSUMPTIONS!$C$38,ASSUMPTIONS!$C$39,ASSUMPTIONS!$C$40,ASSUMPTIONS!$C$41,ASSUMPTIONS!$C$42),ASSUMPTIONS!$C$68)</f>
        <v/>
      </c>
      <c r="I1122" s="83">
        <f>MAX(_xlfn.NORM.INV(RAND(),DCF!$C$11,ASSUMPTIONS!$C$69),K1122+0.005)</f>
        <v/>
      </c>
      <c r="J1122" s="83">
        <f>_xlfn.NORM.INV(RAND(),ASSUMPTIONS!$C$19,ASSUMPTIONS!$C$70)</f>
        <v/>
      </c>
      <c r="K1122" s="83">
        <f>_xlfn.NORM.INV(RAND(),ASSUMPTIONS!$C$43,ASSUMPTIONS!$C$71)</f>
        <v/>
      </c>
      <c r="L1122" s="84">
        <f>(((ASSUMPTIONS!$C$18*J1122*(1-ASSUMPTIONS!$C$20)+ASSUMPTIONS!$C$18*ASSUMPTIONS!$C$21-ASSUMPTIONS!$C$18*ASSUMPTIONS!$C$22)*(1+H1122)*(1-((1+H1122)/(1+I1122))^5)/(I1122-H1122))+((ASSUMPTIONS!$C$18*J1122*(1-ASSUMPTIONS!$C$20)+ASSUMPTIONS!$C$18*ASSUMPTIONS!$C$21-ASSUMPTIONS!$C$18*ASSUMPTIONS!$C$22)*(1+H1122)^5*(1+K1122)/(I1122-K1122)/(1+I1122)^5)-DCF!$C$12)/ASSUMPTIONS!$C$7</f>
        <v/>
      </c>
    </row>
    <row r="1123">
      <c r="H1123" s="83">
        <f>_xlfn.NORM.INV(RAND(),AVERAGE(ASSUMPTIONS!$C$38,ASSUMPTIONS!$C$39,ASSUMPTIONS!$C$40,ASSUMPTIONS!$C$41,ASSUMPTIONS!$C$42),ASSUMPTIONS!$C$68)</f>
        <v/>
      </c>
      <c r="I1123" s="83">
        <f>MAX(_xlfn.NORM.INV(RAND(),DCF!$C$11,ASSUMPTIONS!$C$69),K1123+0.005)</f>
        <v/>
      </c>
      <c r="J1123" s="83">
        <f>_xlfn.NORM.INV(RAND(),ASSUMPTIONS!$C$19,ASSUMPTIONS!$C$70)</f>
        <v/>
      </c>
      <c r="K1123" s="83">
        <f>_xlfn.NORM.INV(RAND(),ASSUMPTIONS!$C$43,ASSUMPTIONS!$C$71)</f>
        <v/>
      </c>
      <c r="L1123" s="84">
        <f>(((ASSUMPTIONS!$C$18*J1123*(1-ASSUMPTIONS!$C$20)+ASSUMPTIONS!$C$18*ASSUMPTIONS!$C$21-ASSUMPTIONS!$C$18*ASSUMPTIONS!$C$22)*(1+H1123)*(1-((1+H1123)/(1+I1123))^5)/(I1123-H1123))+((ASSUMPTIONS!$C$18*J1123*(1-ASSUMPTIONS!$C$20)+ASSUMPTIONS!$C$18*ASSUMPTIONS!$C$21-ASSUMPTIONS!$C$18*ASSUMPTIONS!$C$22)*(1+H1123)^5*(1+K1123)/(I1123-K1123)/(1+I1123)^5)-DCF!$C$12)/ASSUMPTIONS!$C$7</f>
        <v/>
      </c>
    </row>
    <row r="1124">
      <c r="H1124" s="83">
        <f>_xlfn.NORM.INV(RAND(),AVERAGE(ASSUMPTIONS!$C$38,ASSUMPTIONS!$C$39,ASSUMPTIONS!$C$40,ASSUMPTIONS!$C$41,ASSUMPTIONS!$C$42),ASSUMPTIONS!$C$68)</f>
        <v/>
      </c>
      <c r="I1124" s="83">
        <f>MAX(_xlfn.NORM.INV(RAND(),DCF!$C$11,ASSUMPTIONS!$C$69),K1124+0.005)</f>
        <v/>
      </c>
      <c r="J1124" s="83">
        <f>_xlfn.NORM.INV(RAND(),ASSUMPTIONS!$C$19,ASSUMPTIONS!$C$70)</f>
        <v/>
      </c>
      <c r="K1124" s="83">
        <f>_xlfn.NORM.INV(RAND(),ASSUMPTIONS!$C$43,ASSUMPTIONS!$C$71)</f>
        <v/>
      </c>
      <c r="L1124" s="84">
        <f>(((ASSUMPTIONS!$C$18*J1124*(1-ASSUMPTIONS!$C$20)+ASSUMPTIONS!$C$18*ASSUMPTIONS!$C$21-ASSUMPTIONS!$C$18*ASSUMPTIONS!$C$22)*(1+H1124)*(1-((1+H1124)/(1+I1124))^5)/(I1124-H1124))+((ASSUMPTIONS!$C$18*J1124*(1-ASSUMPTIONS!$C$20)+ASSUMPTIONS!$C$18*ASSUMPTIONS!$C$21-ASSUMPTIONS!$C$18*ASSUMPTIONS!$C$22)*(1+H1124)^5*(1+K1124)/(I1124-K1124)/(1+I1124)^5)-DCF!$C$12)/ASSUMPTIONS!$C$7</f>
        <v/>
      </c>
    </row>
    <row r="1125">
      <c r="H1125" s="83">
        <f>_xlfn.NORM.INV(RAND(),AVERAGE(ASSUMPTIONS!$C$38,ASSUMPTIONS!$C$39,ASSUMPTIONS!$C$40,ASSUMPTIONS!$C$41,ASSUMPTIONS!$C$42),ASSUMPTIONS!$C$68)</f>
        <v/>
      </c>
      <c r="I1125" s="83">
        <f>MAX(_xlfn.NORM.INV(RAND(),DCF!$C$11,ASSUMPTIONS!$C$69),K1125+0.005)</f>
        <v/>
      </c>
      <c r="J1125" s="83">
        <f>_xlfn.NORM.INV(RAND(),ASSUMPTIONS!$C$19,ASSUMPTIONS!$C$70)</f>
        <v/>
      </c>
      <c r="K1125" s="83">
        <f>_xlfn.NORM.INV(RAND(),ASSUMPTIONS!$C$43,ASSUMPTIONS!$C$71)</f>
        <v/>
      </c>
      <c r="L1125" s="84">
        <f>(((ASSUMPTIONS!$C$18*J1125*(1-ASSUMPTIONS!$C$20)+ASSUMPTIONS!$C$18*ASSUMPTIONS!$C$21-ASSUMPTIONS!$C$18*ASSUMPTIONS!$C$22)*(1+H1125)*(1-((1+H1125)/(1+I1125))^5)/(I1125-H1125))+((ASSUMPTIONS!$C$18*J1125*(1-ASSUMPTIONS!$C$20)+ASSUMPTIONS!$C$18*ASSUMPTIONS!$C$21-ASSUMPTIONS!$C$18*ASSUMPTIONS!$C$22)*(1+H1125)^5*(1+K1125)/(I1125-K1125)/(1+I1125)^5)-DCF!$C$12)/ASSUMPTIONS!$C$7</f>
        <v/>
      </c>
    </row>
    <row r="1126">
      <c r="H1126" s="83">
        <f>_xlfn.NORM.INV(RAND(),AVERAGE(ASSUMPTIONS!$C$38,ASSUMPTIONS!$C$39,ASSUMPTIONS!$C$40,ASSUMPTIONS!$C$41,ASSUMPTIONS!$C$42),ASSUMPTIONS!$C$68)</f>
        <v/>
      </c>
      <c r="I1126" s="83">
        <f>MAX(_xlfn.NORM.INV(RAND(),DCF!$C$11,ASSUMPTIONS!$C$69),K1126+0.005)</f>
        <v/>
      </c>
      <c r="J1126" s="83">
        <f>_xlfn.NORM.INV(RAND(),ASSUMPTIONS!$C$19,ASSUMPTIONS!$C$70)</f>
        <v/>
      </c>
      <c r="K1126" s="83">
        <f>_xlfn.NORM.INV(RAND(),ASSUMPTIONS!$C$43,ASSUMPTIONS!$C$71)</f>
        <v/>
      </c>
      <c r="L1126" s="84">
        <f>(((ASSUMPTIONS!$C$18*J1126*(1-ASSUMPTIONS!$C$20)+ASSUMPTIONS!$C$18*ASSUMPTIONS!$C$21-ASSUMPTIONS!$C$18*ASSUMPTIONS!$C$22)*(1+H1126)*(1-((1+H1126)/(1+I1126))^5)/(I1126-H1126))+((ASSUMPTIONS!$C$18*J1126*(1-ASSUMPTIONS!$C$20)+ASSUMPTIONS!$C$18*ASSUMPTIONS!$C$21-ASSUMPTIONS!$C$18*ASSUMPTIONS!$C$22)*(1+H1126)^5*(1+K1126)/(I1126-K1126)/(1+I1126)^5)-DCF!$C$12)/ASSUMPTIONS!$C$7</f>
        <v/>
      </c>
    </row>
    <row r="1127">
      <c r="H1127" s="83">
        <f>_xlfn.NORM.INV(RAND(),AVERAGE(ASSUMPTIONS!$C$38,ASSUMPTIONS!$C$39,ASSUMPTIONS!$C$40,ASSUMPTIONS!$C$41,ASSUMPTIONS!$C$42),ASSUMPTIONS!$C$68)</f>
        <v/>
      </c>
      <c r="I1127" s="83">
        <f>MAX(_xlfn.NORM.INV(RAND(),DCF!$C$11,ASSUMPTIONS!$C$69),K1127+0.005)</f>
        <v/>
      </c>
      <c r="J1127" s="83">
        <f>_xlfn.NORM.INV(RAND(),ASSUMPTIONS!$C$19,ASSUMPTIONS!$C$70)</f>
        <v/>
      </c>
      <c r="K1127" s="83">
        <f>_xlfn.NORM.INV(RAND(),ASSUMPTIONS!$C$43,ASSUMPTIONS!$C$71)</f>
        <v/>
      </c>
      <c r="L1127" s="84">
        <f>(((ASSUMPTIONS!$C$18*J1127*(1-ASSUMPTIONS!$C$20)+ASSUMPTIONS!$C$18*ASSUMPTIONS!$C$21-ASSUMPTIONS!$C$18*ASSUMPTIONS!$C$22)*(1+H1127)*(1-((1+H1127)/(1+I1127))^5)/(I1127-H1127))+((ASSUMPTIONS!$C$18*J1127*(1-ASSUMPTIONS!$C$20)+ASSUMPTIONS!$C$18*ASSUMPTIONS!$C$21-ASSUMPTIONS!$C$18*ASSUMPTIONS!$C$22)*(1+H1127)^5*(1+K1127)/(I1127-K1127)/(1+I1127)^5)-DCF!$C$12)/ASSUMPTIONS!$C$7</f>
        <v/>
      </c>
    </row>
    <row r="1128">
      <c r="H1128" s="83">
        <f>_xlfn.NORM.INV(RAND(),AVERAGE(ASSUMPTIONS!$C$38,ASSUMPTIONS!$C$39,ASSUMPTIONS!$C$40,ASSUMPTIONS!$C$41,ASSUMPTIONS!$C$42),ASSUMPTIONS!$C$68)</f>
        <v/>
      </c>
      <c r="I1128" s="83">
        <f>MAX(_xlfn.NORM.INV(RAND(),DCF!$C$11,ASSUMPTIONS!$C$69),K1128+0.005)</f>
        <v/>
      </c>
      <c r="J1128" s="83">
        <f>_xlfn.NORM.INV(RAND(),ASSUMPTIONS!$C$19,ASSUMPTIONS!$C$70)</f>
        <v/>
      </c>
      <c r="K1128" s="83">
        <f>_xlfn.NORM.INV(RAND(),ASSUMPTIONS!$C$43,ASSUMPTIONS!$C$71)</f>
        <v/>
      </c>
      <c r="L1128" s="84">
        <f>(((ASSUMPTIONS!$C$18*J1128*(1-ASSUMPTIONS!$C$20)+ASSUMPTIONS!$C$18*ASSUMPTIONS!$C$21-ASSUMPTIONS!$C$18*ASSUMPTIONS!$C$22)*(1+H1128)*(1-((1+H1128)/(1+I1128))^5)/(I1128-H1128))+((ASSUMPTIONS!$C$18*J1128*(1-ASSUMPTIONS!$C$20)+ASSUMPTIONS!$C$18*ASSUMPTIONS!$C$21-ASSUMPTIONS!$C$18*ASSUMPTIONS!$C$22)*(1+H1128)^5*(1+K1128)/(I1128-K1128)/(1+I1128)^5)-DCF!$C$12)/ASSUMPTIONS!$C$7</f>
        <v/>
      </c>
    </row>
    <row r="1129">
      <c r="H1129" s="83">
        <f>_xlfn.NORM.INV(RAND(),AVERAGE(ASSUMPTIONS!$C$38,ASSUMPTIONS!$C$39,ASSUMPTIONS!$C$40,ASSUMPTIONS!$C$41,ASSUMPTIONS!$C$42),ASSUMPTIONS!$C$68)</f>
        <v/>
      </c>
      <c r="I1129" s="83">
        <f>MAX(_xlfn.NORM.INV(RAND(),DCF!$C$11,ASSUMPTIONS!$C$69),K1129+0.005)</f>
        <v/>
      </c>
      <c r="J1129" s="83">
        <f>_xlfn.NORM.INV(RAND(),ASSUMPTIONS!$C$19,ASSUMPTIONS!$C$70)</f>
        <v/>
      </c>
      <c r="K1129" s="83">
        <f>_xlfn.NORM.INV(RAND(),ASSUMPTIONS!$C$43,ASSUMPTIONS!$C$71)</f>
        <v/>
      </c>
      <c r="L1129" s="84">
        <f>(((ASSUMPTIONS!$C$18*J1129*(1-ASSUMPTIONS!$C$20)+ASSUMPTIONS!$C$18*ASSUMPTIONS!$C$21-ASSUMPTIONS!$C$18*ASSUMPTIONS!$C$22)*(1+H1129)*(1-((1+H1129)/(1+I1129))^5)/(I1129-H1129))+((ASSUMPTIONS!$C$18*J1129*(1-ASSUMPTIONS!$C$20)+ASSUMPTIONS!$C$18*ASSUMPTIONS!$C$21-ASSUMPTIONS!$C$18*ASSUMPTIONS!$C$22)*(1+H1129)^5*(1+K1129)/(I1129-K1129)/(1+I1129)^5)-DCF!$C$12)/ASSUMPTIONS!$C$7</f>
        <v/>
      </c>
    </row>
    <row r="1130">
      <c r="H1130" s="83">
        <f>_xlfn.NORM.INV(RAND(),AVERAGE(ASSUMPTIONS!$C$38,ASSUMPTIONS!$C$39,ASSUMPTIONS!$C$40,ASSUMPTIONS!$C$41,ASSUMPTIONS!$C$42),ASSUMPTIONS!$C$68)</f>
        <v/>
      </c>
      <c r="I1130" s="83">
        <f>MAX(_xlfn.NORM.INV(RAND(),DCF!$C$11,ASSUMPTIONS!$C$69),K1130+0.005)</f>
        <v/>
      </c>
      <c r="J1130" s="83">
        <f>_xlfn.NORM.INV(RAND(),ASSUMPTIONS!$C$19,ASSUMPTIONS!$C$70)</f>
        <v/>
      </c>
      <c r="K1130" s="83">
        <f>_xlfn.NORM.INV(RAND(),ASSUMPTIONS!$C$43,ASSUMPTIONS!$C$71)</f>
        <v/>
      </c>
      <c r="L1130" s="84">
        <f>(((ASSUMPTIONS!$C$18*J1130*(1-ASSUMPTIONS!$C$20)+ASSUMPTIONS!$C$18*ASSUMPTIONS!$C$21-ASSUMPTIONS!$C$18*ASSUMPTIONS!$C$22)*(1+H1130)*(1-((1+H1130)/(1+I1130))^5)/(I1130-H1130))+((ASSUMPTIONS!$C$18*J1130*(1-ASSUMPTIONS!$C$20)+ASSUMPTIONS!$C$18*ASSUMPTIONS!$C$21-ASSUMPTIONS!$C$18*ASSUMPTIONS!$C$22)*(1+H1130)^5*(1+K1130)/(I1130-K1130)/(1+I1130)^5)-DCF!$C$12)/ASSUMPTIONS!$C$7</f>
        <v/>
      </c>
    </row>
    <row r="1131">
      <c r="H1131" s="83">
        <f>_xlfn.NORM.INV(RAND(),AVERAGE(ASSUMPTIONS!$C$38,ASSUMPTIONS!$C$39,ASSUMPTIONS!$C$40,ASSUMPTIONS!$C$41,ASSUMPTIONS!$C$42),ASSUMPTIONS!$C$68)</f>
        <v/>
      </c>
      <c r="I1131" s="83">
        <f>MAX(_xlfn.NORM.INV(RAND(),DCF!$C$11,ASSUMPTIONS!$C$69),K1131+0.005)</f>
        <v/>
      </c>
      <c r="J1131" s="83">
        <f>_xlfn.NORM.INV(RAND(),ASSUMPTIONS!$C$19,ASSUMPTIONS!$C$70)</f>
        <v/>
      </c>
      <c r="K1131" s="83">
        <f>_xlfn.NORM.INV(RAND(),ASSUMPTIONS!$C$43,ASSUMPTIONS!$C$71)</f>
        <v/>
      </c>
      <c r="L1131" s="84">
        <f>(((ASSUMPTIONS!$C$18*J1131*(1-ASSUMPTIONS!$C$20)+ASSUMPTIONS!$C$18*ASSUMPTIONS!$C$21-ASSUMPTIONS!$C$18*ASSUMPTIONS!$C$22)*(1+H1131)*(1-((1+H1131)/(1+I1131))^5)/(I1131-H1131))+((ASSUMPTIONS!$C$18*J1131*(1-ASSUMPTIONS!$C$20)+ASSUMPTIONS!$C$18*ASSUMPTIONS!$C$21-ASSUMPTIONS!$C$18*ASSUMPTIONS!$C$22)*(1+H1131)^5*(1+K1131)/(I1131-K1131)/(1+I1131)^5)-DCF!$C$12)/ASSUMPTIONS!$C$7</f>
        <v/>
      </c>
    </row>
    <row r="1132">
      <c r="H1132" s="83">
        <f>_xlfn.NORM.INV(RAND(),AVERAGE(ASSUMPTIONS!$C$38,ASSUMPTIONS!$C$39,ASSUMPTIONS!$C$40,ASSUMPTIONS!$C$41,ASSUMPTIONS!$C$42),ASSUMPTIONS!$C$68)</f>
        <v/>
      </c>
      <c r="I1132" s="83">
        <f>MAX(_xlfn.NORM.INV(RAND(),DCF!$C$11,ASSUMPTIONS!$C$69),K1132+0.005)</f>
        <v/>
      </c>
      <c r="J1132" s="83">
        <f>_xlfn.NORM.INV(RAND(),ASSUMPTIONS!$C$19,ASSUMPTIONS!$C$70)</f>
        <v/>
      </c>
      <c r="K1132" s="83">
        <f>_xlfn.NORM.INV(RAND(),ASSUMPTIONS!$C$43,ASSUMPTIONS!$C$71)</f>
        <v/>
      </c>
      <c r="L1132" s="84">
        <f>(((ASSUMPTIONS!$C$18*J1132*(1-ASSUMPTIONS!$C$20)+ASSUMPTIONS!$C$18*ASSUMPTIONS!$C$21-ASSUMPTIONS!$C$18*ASSUMPTIONS!$C$22)*(1+H1132)*(1-((1+H1132)/(1+I1132))^5)/(I1132-H1132))+((ASSUMPTIONS!$C$18*J1132*(1-ASSUMPTIONS!$C$20)+ASSUMPTIONS!$C$18*ASSUMPTIONS!$C$21-ASSUMPTIONS!$C$18*ASSUMPTIONS!$C$22)*(1+H1132)^5*(1+K1132)/(I1132-K1132)/(1+I1132)^5)-DCF!$C$12)/ASSUMPTIONS!$C$7</f>
        <v/>
      </c>
    </row>
    <row r="1133">
      <c r="H1133" s="83">
        <f>_xlfn.NORM.INV(RAND(),AVERAGE(ASSUMPTIONS!$C$38,ASSUMPTIONS!$C$39,ASSUMPTIONS!$C$40,ASSUMPTIONS!$C$41,ASSUMPTIONS!$C$42),ASSUMPTIONS!$C$68)</f>
        <v/>
      </c>
      <c r="I1133" s="83">
        <f>MAX(_xlfn.NORM.INV(RAND(),DCF!$C$11,ASSUMPTIONS!$C$69),K1133+0.005)</f>
        <v/>
      </c>
      <c r="J1133" s="83">
        <f>_xlfn.NORM.INV(RAND(),ASSUMPTIONS!$C$19,ASSUMPTIONS!$C$70)</f>
        <v/>
      </c>
      <c r="K1133" s="83">
        <f>_xlfn.NORM.INV(RAND(),ASSUMPTIONS!$C$43,ASSUMPTIONS!$C$71)</f>
        <v/>
      </c>
      <c r="L1133" s="84">
        <f>(((ASSUMPTIONS!$C$18*J1133*(1-ASSUMPTIONS!$C$20)+ASSUMPTIONS!$C$18*ASSUMPTIONS!$C$21-ASSUMPTIONS!$C$18*ASSUMPTIONS!$C$22)*(1+H1133)*(1-((1+H1133)/(1+I1133))^5)/(I1133-H1133))+((ASSUMPTIONS!$C$18*J1133*(1-ASSUMPTIONS!$C$20)+ASSUMPTIONS!$C$18*ASSUMPTIONS!$C$21-ASSUMPTIONS!$C$18*ASSUMPTIONS!$C$22)*(1+H1133)^5*(1+K1133)/(I1133-K1133)/(1+I1133)^5)-DCF!$C$12)/ASSUMPTIONS!$C$7</f>
        <v/>
      </c>
    </row>
    <row r="1134">
      <c r="H1134" s="83">
        <f>_xlfn.NORM.INV(RAND(),AVERAGE(ASSUMPTIONS!$C$38,ASSUMPTIONS!$C$39,ASSUMPTIONS!$C$40,ASSUMPTIONS!$C$41,ASSUMPTIONS!$C$42),ASSUMPTIONS!$C$68)</f>
        <v/>
      </c>
      <c r="I1134" s="83">
        <f>MAX(_xlfn.NORM.INV(RAND(),DCF!$C$11,ASSUMPTIONS!$C$69),K1134+0.005)</f>
        <v/>
      </c>
      <c r="J1134" s="83">
        <f>_xlfn.NORM.INV(RAND(),ASSUMPTIONS!$C$19,ASSUMPTIONS!$C$70)</f>
        <v/>
      </c>
      <c r="K1134" s="83">
        <f>_xlfn.NORM.INV(RAND(),ASSUMPTIONS!$C$43,ASSUMPTIONS!$C$71)</f>
        <v/>
      </c>
      <c r="L1134" s="84">
        <f>(((ASSUMPTIONS!$C$18*J1134*(1-ASSUMPTIONS!$C$20)+ASSUMPTIONS!$C$18*ASSUMPTIONS!$C$21-ASSUMPTIONS!$C$18*ASSUMPTIONS!$C$22)*(1+H1134)*(1-((1+H1134)/(1+I1134))^5)/(I1134-H1134))+((ASSUMPTIONS!$C$18*J1134*(1-ASSUMPTIONS!$C$20)+ASSUMPTIONS!$C$18*ASSUMPTIONS!$C$21-ASSUMPTIONS!$C$18*ASSUMPTIONS!$C$22)*(1+H1134)^5*(1+K1134)/(I1134-K1134)/(1+I1134)^5)-DCF!$C$12)/ASSUMPTIONS!$C$7</f>
        <v/>
      </c>
    </row>
    <row r="1135">
      <c r="H1135" s="83">
        <f>_xlfn.NORM.INV(RAND(),AVERAGE(ASSUMPTIONS!$C$38,ASSUMPTIONS!$C$39,ASSUMPTIONS!$C$40,ASSUMPTIONS!$C$41,ASSUMPTIONS!$C$42),ASSUMPTIONS!$C$68)</f>
        <v/>
      </c>
      <c r="I1135" s="83">
        <f>MAX(_xlfn.NORM.INV(RAND(),DCF!$C$11,ASSUMPTIONS!$C$69),K1135+0.005)</f>
        <v/>
      </c>
      <c r="J1135" s="83">
        <f>_xlfn.NORM.INV(RAND(),ASSUMPTIONS!$C$19,ASSUMPTIONS!$C$70)</f>
        <v/>
      </c>
      <c r="K1135" s="83">
        <f>_xlfn.NORM.INV(RAND(),ASSUMPTIONS!$C$43,ASSUMPTIONS!$C$71)</f>
        <v/>
      </c>
      <c r="L1135" s="84">
        <f>(((ASSUMPTIONS!$C$18*J1135*(1-ASSUMPTIONS!$C$20)+ASSUMPTIONS!$C$18*ASSUMPTIONS!$C$21-ASSUMPTIONS!$C$18*ASSUMPTIONS!$C$22)*(1+H1135)*(1-((1+H1135)/(1+I1135))^5)/(I1135-H1135))+((ASSUMPTIONS!$C$18*J1135*(1-ASSUMPTIONS!$C$20)+ASSUMPTIONS!$C$18*ASSUMPTIONS!$C$21-ASSUMPTIONS!$C$18*ASSUMPTIONS!$C$22)*(1+H1135)^5*(1+K1135)/(I1135-K1135)/(1+I1135)^5)-DCF!$C$12)/ASSUMPTIONS!$C$7</f>
        <v/>
      </c>
    </row>
    <row r="1136">
      <c r="H1136" s="83">
        <f>_xlfn.NORM.INV(RAND(),AVERAGE(ASSUMPTIONS!$C$38,ASSUMPTIONS!$C$39,ASSUMPTIONS!$C$40,ASSUMPTIONS!$C$41,ASSUMPTIONS!$C$42),ASSUMPTIONS!$C$68)</f>
        <v/>
      </c>
      <c r="I1136" s="83">
        <f>MAX(_xlfn.NORM.INV(RAND(),DCF!$C$11,ASSUMPTIONS!$C$69),K1136+0.005)</f>
        <v/>
      </c>
      <c r="J1136" s="83">
        <f>_xlfn.NORM.INV(RAND(),ASSUMPTIONS!$C$19,ASSUMPTIONS!$C$70)</f>
        <v/>
      </c>
      <c r="K1136" s="83">
        <f>_xlfn.NORM.INV(RAND(),ASSUMPTIONS!$C$43,ASSUMPTIONS!$C$71)</f>
        <v/>
      </c>
      <c r="L1136" s="84">
        <f>(((ASSUMPTIONS!$C$18*J1136*(1-ASSUMPTIONS!$C$20)+ASSUMPTIONS!$C$18*ASSUMPTIONS!$C$21-ASSUMPTIONS!$C$18*ASSUMPTIONS!$C$22)*(1+H1136)*(1-((1+H1136)/(1+I1136))^5)/(I1136-H1136))+((ASSUMPTIONS!$C$18*J1136*(1-ASSUMPTIONS!$C$20)+ASSUMPTIONS!$C$18*ASSUMPTIONS!$C$21-ASSUMPTIONS!$C$18*ASSUMPTIONS!$C$22)*(1+H1136)^5*(1+K1136)/(I1136-K1136)/(1+I1136)^5)-DCF!$C$12)/ASSUMPTIONS!$C$7</f>
        <v/>
      </c>
    </row>
    <row r="1137">
      <c r="H1137" s="83">
        <f>_xlfn.NORM.INV(RAND(),AVERAGE(ASSUMPTIONS!$C$38,ASSUMPTIONS!$C$39,ASSUMPTIONS!$C$40,ASSUMPTIONS!$C$41,ASSUMPTIONS!$C$42),ASSUMPTIONS!$C$68)</f>
        <v/>
      </c>
      <c r="I1137" s="83">
        <f>MAX(_xlfn.NORM.INV(RAND(),DCF!$C$11,ASSUMPTIONS!$C$69),K1137+0.005)</f>
        <v/>
      </c>
      <c r="J1137" s="83">
        <f>_xlfn.NORM.INV(RAND(),ASSUMPTIONS!$C$19,ASSUMPTIONS!$C$70)</f>
        <v/>
      </c>
      <c r="K1137" s="83">
        <f>_xlfn.NORM.INV(RAND(),ASSUMPTIONS!$C$43,ASSUMPTIONS!$C$71)</f>
        <v/>
      </c>
      <c r="L1137" s="84">
        <f>(((ASSUMPTIONS!$C$18*J1137*(1-ASSUMPTIONS!$C$20)+ASSUMPTIONS!$C$18*ASSUMPTIONS!$C$21-ASSUMPTIONS!$C$18*ASSUMPTIONS!$C$22)*(1+H1137)*(1-((1+H1137)/(1+I1137))^5)/(I1137-H1137))+((ASSUMPTIONS!$C$18*J1137*(1-ASSUMPTIONS!$C$20)+ASSUMPTIONS!$C$18*ASSUMPTIONS!$C$21-ASSUMPTIONS!$C$18*ASSUMPTIONS!$C$22)*(1+H1137)^5*(1+K1137)/(I1137-K1137)/(1+I1137)^5)-DCF!$C$12)/ASSUMPTIONS!$C$7</f>
        <v/>
      </c>
    </row>
    <row r="1138">
      <c r="H1138" s="83">
        <f>_xlfn.NORM.INV(RAND(),AVERAGE(ASSUMPTIONS!$C$38,ASSUMPTIONS!$C$39,ASSUMPTIONS!$C$40,ASSUMPTIONS!$C$41,ASSUMPTIONS!$C$42),ASSUMPTIONS!$C$68)</f>
        <v/>
      </c>
      <c r="I1138" s="83">
        <f>MAX(_xlfn.NORM.INV(RAND(),DCF!$C$11,ASSUMPTIONS!$C$69),K1138+0.005)</f>
        <v/>
      </c>
      <c r="J1138" s="83">
        <f>_xlfn.NORM.INV(RAND(),ASSUMPTIONS!$C$19,ASSUMPTIONS!$C$70)</f>
        <v/>
      </c>
      <c r="K1138" s="83">
        <f>_xlfn.NORM.INV(RAND(),ASSUMPTIONS!$C$43,ASSUMPTIONS!$C$71)</f>
        <v/>
      </c>
      <c r="L1138" s="84">
        <f>(((ASSUMPTIONS!$C$18*J1138*(1-ASSUMPTIONS!$C$20)+ASSUMPTIONS!$C$18*ASSUMPTIONS!$C$21-ASSUMPTIONS!$C$18*ASSUMPTIONS!$C$22)*(1+H1138)*(1-((1+H1138)/(1+I1138))^5)/(I1138-H1138))+((ASSUMPTIONS!$C$18*J1138*(1-ASSUMPTIONS!$C$20)+ASSUMPTIONS!$C$18*ASSUMPTIONS!$C$21-ASSUMPTIONS!$C$18*ASSUMPTIONS!$C$22)*(1+H1138)^5*(1+K1138)/(I1138-K1138)/(1+I1138)^5)-DCF!$C$12)/ASSUMPTIONS!$C$7</f>
        <v/>
      </c>
    </row>
    <row r="1139">
      <c r="H1139" s="83">
        <f>_xlfn.NORM.INV(RAND(),AVERAGE(ASSUMPTIONS!$C$38,ASSUMPTIONS!$C$39,ASSUMPTIONS!$C$40,ASSUMPTIONS!$C$41,ASSUMPTIONS!$C$42),ASSUMPTIONS!$C$68)</f>
        <v/>
      </c>
      <c r="I1139" s="83">
        <f>MAX(_xlfn.NORM.INV(RAND(),DCF!$C$11,ASSUMPTIONS!$C$69),K1139+0.005)</f>
        <v/>
      </c>
      <c r="J1139" s="83">
        <f>_xlfn.NORM.INV(RAND(),ASSUMPTIONS!$C$19,ASSUMPTIONS!$C$70)</f>
        <v/>
      </c>
      <c r="K1139" s="83">
        <f>_xlfn.NORM.INV(RAND(),ASSUMPTIONS!$C$43,ASSUMPTIONS!$C$71)</f>
        <v/>
      </c>
      <c r="L1139" s="84">
        <f>(((ASSUMPTIONS!$C$18*J1139*(1-ASSUMPTIONS!$C$20)+ASSUMPTIONS!$C$18*ASSUMPTIONS!$C$21-ASSUMPTIONS!$C$18*ASSUMPTIONS!$C$22)*(1+H1139)*(1-((1+H1139)/(1+I1139))^5)/(I1139-H1139))+((ASSUMPTIONS!$C$18*J1139*(1-ASSUMPTIONS!$C$20)+ASSUMPTIONS!$C$18*ASSUMPTIONS!$C$21-ASSUMPTIONS!$C$18*ASSUMPTIONS!$C$22)*(1+H1139)^5*(1+K1139)/(I1139-K1139)/(1+I1139)^5)-DCF!$C$12)/ASSUMPTIONS!$C$7</f>
        <v/>
      </c>
    </row>
    <row r="1140">
      <c r="H1140" s="83">
        <f>_xlfn.NORM.INV(RAND(),AVERAGE(ASSUMPTIONS!$C$38,ASSUMPTIONS!$C$39,ASSUMPTIONS!$C$40,ASSUMPTIONS!$C$41,ASSUMPTIONS!$C$42),ASSUMPTIONS!$C$68)</f>
        <v/>
      </c>
      <c r="I1140" s="83">
        <f>MAX(_xlfn.NORM.INV(RAND(),DCF!$C$11,ASSUMPTIONS!$C$69),K1140+0.005)</f>
        <v/>
      </c>
      <c r="J1140" s="83">
        <f>_xlfn.NORM.INV(RAND(),ASSUMPTIONS!$C$19,ASSUMPTIONS!$C$70)</f>
        <v/>
      </c>
      <c r="K1140" s="83">
        <f>_xlfn.NORM.INV(RAND(),ASSUMPTIONS!$C$43,ASSUMPTIONS!$C$71)</f>
        <v/>
      </c>
      <c r="L1140" s="84">
        <f>(((ASSUMPTIONS!$C$18*J1140*(1-ASSUMPTIONS!$C$20)+ASSUMPTIONS!$C$18*ASSUMPTIONS!$C$21-ASSUMPTIONS!$C$18*ASSUMPTIONS!$C$22)*(1+H1140)*(1-((1+H1140)/(1+I1140))^5)/(I1140-H1140))+((ASSUMPTIONS!$C$18*J1140*(1-ASSUMPTIONS!$C$20)+ASSUMPTIONS!$C$18*ASSUMPTIONS!$C$21-ASSUMPTIONS!$C$18*ASSUMPTIONS!$C$22)*(1+H1140)^5*(1+K1140)/(I1140-K1140)/(1+I1140)^5)-DCF!$C$12)/ASSUMPTIONS!$C$7</f>
        <v/>
      </c>
    </row>
    <row r="1141">
      <c r="H1141" s="83">
        <f>_xlfn.NORM.INV(RAND(),AVERAGE(ASSUMPTIONS!$C$38,ASSUMPTIONS!$C$39,ASSUMPTIONS!$C$40,ASSUMPTIONS!$C$41,ASSUMPTIONS!$C$42),ASSUMPTIONS!$C$68)</f>
        <v/>
      </c>
      <c r="I1141" s="83">
        <f>MAX(_xlfn.NORM.INV(RAND(),DCF!$C$11,ASSUMPTIONS!$C$69),K1141+0.005)</f>
        <v/>
      </c>
      <c r="J1141" s="83">
        <f>_xlfn.NORM.INV(RAND(),ASSUMPTIONS!$C$19,ASSUMPTIONS!$C$70)</f>
        <v/>
      </c>
      <c r="K1141" s="83">
        <f>_xlfn.NORM.INV(RAND(),ASSUMPTIONS!$C$43,ASSUMPTIONS!$C$71)</f>
        <v/>
      </c>
      <c r="L1141" s="84">
        <f>(((ASSUMPTIONS!$C$18*J1141*(1-ASSUMPTIONS!$C$20)+ASSUMPTIONS!$C$18*ASSUMPTIONS!$C$21-ASSUMPTIONS!$C$18*ASSUMPTIONS!$C$22)*(1+H1141)*(1-((1+H1141)/(1+I1141))^5)/(I1141-H1141))+((ASSUMPTIONS!$C$18*J1141*(1-ASSUMPTIONS!$C$20)+ASSUMPTIONS!$C$18*ASSUMPTIONS!$C$21-ASSUMPTIONS!$C$18*ASSUMPTIONS!$C$22)*(1+H1141)^5*(1+K1141)/(I1141-K1141)/(1+I1141)^5)-DCF!$C$12)/ASSUMPTIONS!$C$7</f>
        <v/>
      </c>
    </row>
    <row r="1142">
      <c r="H1142" s="83">
        <f>_xlfn.NORM.INV(RAND(),AVERAGE(ASSUMPTIONS!$C$38,ASSUMPTIONS!$C$39,ASSUMPTIONS!$C$40,ASSUMPTIONS!$C$41,ASSUMPTIONS!$C$42),ASSUMPTIONS!$C$68)</f>
        <v/>
      </c>
      <c r="I1142" s="83">
        <f>MAX(_xlfn.NORM.INV(RAND(),DCF!$C$11,ASSUMPTIONS!$C$69),K1142+0.005)</f>
        <v/>
      </c>
      <c r="J1142" s="83">
        <f>_xlfn.NORM.INV(RAND(),ASSUMPTIONS!$C$19,ASSUMPTIONS!$C$70)</f>
        <v/>
      </c>
      <c r="K1142" s="83">
        <f>_xlfn.NORM.INV(RAND(),ASSUMPTIONS!$C$43,ASSUMPTIONS!$C$71)</f>
        <v/>
      </c>
      <c r="L1142" s="84">
        <f>(((ASSUMPTIONS!$C$18*J1142*(1-ASSUMPTIONS!$C$20)+ASSUMPTIONS!$C$18*ASSUMPTIONS!$C$21-ASSUMPTIONS!$C$18*ASSUMPTIONS!$C$22)*(1+H1142)*(1-((1+H1142)/(1+I1142))^5)/(I1142-H1142))+((ASSUMPTIONS!$C$18*J1142*(1-ASSUMPTIONS!$C$20)+ASSUMPTIONS!$C$18*ASSUMPTIONS!$C$21-ASSUMPTIONS!$C$18*ASSUMPTIONS!$C$22)*(1+H1142)^5*(1+K1142)/(I1142-K1142)/(1+I1142)^5)-DCF!$C$12)/ASSUMPTIONS!$C$7</f>
        <v/>
      </c>
    </row>
    <row r="1143">
      <c r="H1143" s="83">
        <f>_xlfn.NORM.INV(RAND(),AVERAGE(ASSUMPTIONS!$C$38,ASSUMPTIONS!$C$39,ASSUMPTIONS!$C$40,ASSUMPTIONS!$C$41,ASSUMPTIONS!$C$42),ASSUMPTIONS!$C$68)</f>
        <v/>
      </c>
      <c r="I1143" s="83">
        <f>MAX(_xlfn.NORM.INV(RAND(),DCF!$C$11,ASSUMPTIONS!$C$69),K1143+0.005)</f>
        <v/>
      </c>
      <c r="J1143" s="83">
        <f>_xlfn.NORM.INV(RAND(),ASSUMPTIONS!$C$19,ASSUMPTIONS!$C$70)</f>
        <v/>
      </c>
      <c r="K1143" s="83">
        <f>_xlfn.NORM.INV(RAND(),ASSUMPTIONS!$C$43,ASSUMPTIONS!$C$71)</f>
        <v/>
      </c>
      <c r="L1143" s="84">
        <f>(((ASSUMPTIONS!$C$18*J1143*(1-ASSUMPTIONS!$C$20)+ASSUMPTIONS!$C$18*ASSUMPTIONS!$C$21-ASSUMPTIONS!$C$18*ASSUMPTIONS!$C$22)*(1+H1143)*(1-((1+H1143)/(1+I1143))^5)/(I1143-H1143))+((ASSUMPTIONS!$C$18*J1143*(1-ASSUMPTIONS!$C$20)+ASSUMPTIONS!$C$18*ASSUMPTIONS!$C$21-ASSUMPTIONS!$C$18*ASSUMPTIONS!$C$22)*(1+H1143)^5*(1+K1143)/(I1143-K1143)/(1+I1143)^5)-DCF!$C$12)/ASSUMPTIONS!$C$7</f>
        <v/>
      </c>
    </row>
    <row r="1144">
      <c r="H1144" s="83">
        <f>_xlfn.NORM.INV(RAND(),AVERAGE(ASSUMPTIONS!$C$38,ASSUMPTIONS!$C$39,ASSUMPTIONS!$C$40,ASSUMPTIONS!$C$41,ASSUMPTIONS!$C$42),ASSUMPTIONS!$C$68)</f>
        <v/>
      </c>
      <c r="I1144" s="83">
        <f>MAX(_xlfn.NORM.INV(RAND(),DCF!$C$11,ASSUMPTIONS!$C$69),K1144+0.005)</f>
        <v/>
      </c>
      <c r="J1144" s="83">
        <f>_xlfn.NORM.INV(RAND(),ASSUMPTIONS!$C$19,ASSUMPTIONS!$C$70)</f>
        <v/>
      </c>
      <c r="K1144" s="83">
        <f>_xlfn.NORM.INV(RAND(),ASSUMPTIONS!$C$43,ASSUMPTIONS!$C$71)</f>
        <v/>
      </c>
      <c r="L1144" s="84">
        <f>(((ASSUMPTIONS!$C$18*J1144*(1-ASSUMPTIONS!$C$20)+ASSUMPTIONS!$C$18*ASSUMPTIONS!$C$21-ASSUMPTIONS!$C$18*ASSUMPTIONS!$C$22)*(1+H1144)*(1-((1+H1144)/(1+I1144))^5)/(I1144-H1144))+((ASSUMPTIONS!$C$18*J1144*(1-ASSUMPTIONS!$C$20)+ASSUMPTIONS!$C$18*ASSUMPTIONS!$C$21-ASSUMPTIONS!$C$18*ASSUMPTIONS!$C$22)*(1+H1144)^5*(1+K1144)/(I1144-K1144)/(1+I1144)^5)-DCF!$C$12)/ASSUMPTIONS!$C$7</f>
        <v/>
      </c>
    </row>
    <row r="1145">
      <c r="H1145" s="83">
        <f>_xlfn.NORM.INV(RAND(),AVERAGE(ASSUMPTIONS!$C$38,ASSUMPTIONS!$C$39,ASSUMPTIONS!$C$40,ASSUMPTIONS!$C$41,ASSUMPTIONS!$C$42),ASSUMPTIONS!$C$68)</f>
        <v/>
      </c>
      <c r="I1145" s="83">
        <f>MAX(_xlfn.NORM.INV(RAND(),DCF!$C$11,ASSUMPTIONS!$C$69),K1145+0.005)</f>
        <v/>
      </c>
      <c r="J1145" s="83">
        <f>_xlfn.NORM.INV(RAND(),ASSUMPTIONS!$C$19,ASSUMPTIONS!$C$70)</f>
        <v/>
      </c>
      <c r="K1145" s="83">
        <f>_xlfn.NORM.INV(RAND(),ASSUMPTIONS!$C$43,ASSUMPTIONS!$C$71)</f>
        <v/>
      </c>
      <c r="L1145" s="84">
        <f>(((ASSUMPTIONS!$C$18*J1145*(1-ASSUMPTIONS!$C$20)+ASSUMPTIONS!$C$18*ASSUMPTIONS!$C$21-ASSUMPTIONS!$C$18*ASSUMPTIONS!$C$22)*(1+H1145)*(1-((1+H1145)/(1+I1145))^5)/(I1145-H1145))+((ASSUMPTIONS!$C$18*J1145*(1-ASSUMPTIONS!$C$20)+ASSUMPTIONS!$C$18*ASSUMPTIONS!$C$21-ASSUMPTIONS!$C$18*ASSUMPTIONS!$C$22)*(1+H1145)^5*(1+K1145)/(I1145-K1145)/(1+I1145)^5)-DCF!$C$12)/ASSUMPTIONS!$C$7</f>
        <v/>
      </c>
    </row>
    <row r="1146">
      <c r="H1146" s="83">
        <f>_xlfn.NORM.INV(RAND(),AVERAGE(ASSUMPTIONS!$C$38,ASSUMPTIONS!$C$39,ASSUMPTIONS!$C$40,ASSUMPTIONS!$C$41,ASSUMPTIONS!$C$42),ASSUMPTIONS!$C$68)</f>
        <v/>
      </c>
      <c r="I1146" s="83">
        <f>MAX(_xlfn.NORM.INV(RAND(),DCF!$C$11,ASSUMPTIONS!$C$69),K1146+0.005)</f>
        <v/>
      </c>
      <c r="J1146" s="83">
        <f>_xlfn.NORM.INV(RAND(),ASSUMPTIONS!$C$19,ASSUMPTIONS!$C$70)</f>
        <v/>
      </c>
      <c r="K1146" s="83">
        <f>_xlfn.NORM.INV(RAND(),ASSUMPTIONS!$C$43,ASSUMPTIONS!$C$71)</f>
        <v/>
      </c>
      <c r="L1146" s="84">
        <f>(((ASSUMPTIONS!$C$18*J1146*(1-ASSUMPTIONS!$C$20)+ASSUMPTIONS!$C$18*ASSUMPTIONS!$C$21-ASSUMPTIONS!$C$18*ASSUMPTIONS!$C$22)*(1+H1146)*(1-((1+H1146)/(1+I1146))^5)/(I1146-H1146))+((ASSUMPTIONS!$C$18*J1146*(1-ASSUMPTIONS!$C$20)+ASSUMPTIONS!$C$18*ASSUMPTIONS!$C$21-ASSUMPTIONS!$C$18*ASSUMPTIONS!$C$22)*(1+H1146)^5*(1+K1146)/(I1146-K1146)/(1+I1146)^5)-DCF!$C$12)/ASSUMPTIONS!$C$7</f>
        <v/>
      </c>
    </row>
    <row r="1147">
      <c r="H1147" s="83">
        <f>_xlfn.NORM.INV(RAND(),AVERAGE(ASSUMPTIONS!$C$38,ASSUMPTIONS!$C$39,ASSUMPTIONS!$C$40,ASSUMPTIONS!$C$41,ASSUMPTIONS!$C$42),ASSUMPTIONS!$C$68)</f>
        <v/>
      </c>
      <c r="I1147" s="83">
        <f>MAX(_xlfn.NORM.INV(RAND(),DCF!$C$11,ASSUMPTIONS!$C$69),K1147+0.005)</f>
        <v/>
      </c>
      <c r="J1147" s="83">
        <f>_xlfn.NORM.INV(RAND(),ASSUMPTIONS!$C$19,ASSUMPTIONS!$C$70)</f>
        <v/>
      </c>
      <c r="K1147" s="83">
        <f>_xlfn.NORM.INV(RAND(),ASSUMPTIONS!$C$43,ASSUMPTIONS!$C$71)</f>
        <v/>
      </c>
      <c r="L1147" s="84">
        <f>(((ASSUMPTIONS!$C$18*J1147*(1-ASSUMPTIONS!$C$20)+ASSUMPTIONS!$C$18*ASSUMPTIONS!$C$21-ASSUMPTIONS!$C$18*ASSUMPTIONS!$C$22)*(1+H1147)*(1-((1+H1147)/(1+I1147))^5)/(I1147-H1147))+((ASSUMPTIONS!$C$18*J1147*(1-ASSUMPTIONS!$C$20)+ASSUMPTIONS!$C$18*ASSUMPTIONS!$C$21-ASSUMPTIONS!$C$18*ASSUMPTIONS!$C$22)*(1+H1147)^5*(1+K1147)/(I1147-K1147)/(1+I1147)^5)-DCF!$C$12)/ASSUMPTIONS!$C$7</f>
        <v/>
      </c>
    </row>
    <row r="1148">
      <c r="H1148" s="83">
        <f>_xlfn.NORM.INV(RAND(),AVERAGE(ASSUMPTIONS!$C$38,ASSUMPTIONS!$C$39,ASSUMPTIONS!$C$40,ASSUMPTIONS!$C$41,ASSUMPTIONS!$C$42),ASSUMPTIONS!$C$68)</f>
        <v/>
      </c>
      <c r="I1148" s="83">
        <f>MAX(_xlfn.NORM.INV(RAND(),DCF!$C$11,ASSUMPTIONS!$C$69),K1148+0.005)</f>
        <v/>
      </c>
      <c r="J1148" s="83">
        <f>_xlfn.NORM.INV(RAND(),ASSUMPTIONS!$C$19,ASSUMPTIONS!$C$70)</f>
        <v/>
      </c>
      <c r="K1148" s="83">
        <f>_xlfn.NORM.INV(RAND(),ASSUMPTIONS!$C$43,ASSUMPTIONS!$C$71)</f>
        <v/>
      </c>
      <c r="L1148" s="84">
        <f>(((ASSUMPTIONS!$C$18*J1148*(1-ASSUMPTIONS!$C$20)+ASSUMPTIONS!$C$18*ASSUMPTIONS!$C$21-ASSUMPTIONS!$C$18*ASSUMPTIONS!$C$22)*(1+H1148)*(1-((1+H1148)/(1+I1148))^5)/(I1148-H1148))+((ASSUMPTIONS!$C$18*J1148*(1-ASSUMPTIONS!$C$20)+ASSUMPTIONS!$C$18*ASSUMPTIONS!$C$21-ASSUMPTIONS!$C$18*ASSUMPTIONS!$C$22)*(1+H1148)^5*(1+K1148)/(I1148-K1148)/(1+I1148)^5)-DCF!$C$12)/ASSUMPTIONS!$C$7</f>
        <v/>
      </c>
    </row>
    <row r="1149">
      <c r="H1149" s="83">
        <f>_xlfn.NORM.INV(RAND(),AVERAGE(ASSUMPTIONS!$C$38,ASSUMPTIONS!$C$39,ASSUMPTIONS!$C$40,ASSUMPTIONS!$C$41,ASSUMPTIONS!$C$42),ASSUMPTIONS!$C$68)</f>
        <v/>
      </c>
      <c r="I1149" s="83">
        <f>MAX(_xlfn.NORM.INV(RAND(),DCF!$C$11,ASSUMPTIONS!$C$69),K1149+0.005)</f>
        <v/>
      </c>
      <c r="J1149" s="83">
        <f>_xlfn.NORM.INV(RAND(),ASSUMPTIONS!$C$19,ASSUMPTIONS!$C$70)</f>
        <v/>
      </c>
      <c r="K1149" s="83">
        <f>_xlfn.NORM.INV(RAND(),ASSUMPTIONS!$C$43,ASSUMPTIONS!$C$71)</f>
        <v/>
      </c>
      <c r="L1149" s="84">
        <f>(((ASSUMPTIONS!$C$18*J1149*(1-ASSUMPTIONS!$C$20)+ASSUMPTIONS!$C$18*ASSUMPTIONS!$C$21-ASSUMPTIONS!$C$18*ASSUMPTIONS!$C$22)*(1+H1149)*(1-((1+H1149)/(1+I1149))^5)/(I1149-H1149))+((ASSUMPTIONS!$C$18*J1149*(1-ASSUMPTIONS!$C$20)+ASSUMPTIONS!$C$18*ASSUMPTIONS!$C$21-ASSUMPTIONS!$C$18*ASSUMPTIONS!$C$22)*(1+H1149)^5*(1+K1149)/(I1149-K1149)/(1+I1149)^5)-DCF!$C$12)/ASSUMPTIONS!$C$7</f>
        <v/>
      </c>
    </row>
    <row r="1150">
      <c r="H1150" s="83">
        <f>_xlfn.NORM.INV(RAND(),AVERAGE(ASSUMPTIONS!$C$38,ASSUMPTIONS!$C$39,ASSUMPTIONS!$C$40,ASSUMPTIONS!$C$41,ASSUMPTIONS!$C$42),ASSUMPTIONS!$C$68)</f>
        <v/>
      </c>
      <c r="I1150" s="83">
        <f>MAX(_xlfn.NORM.INV(RAND(),DCF!$C$11,ASSUMPTIONS!$C$69),K1150+0.005)</f>
        <v/>
      </c>
      <c r="J1150" s="83">
        <f>_xlfn.NORM.INV(RAND(),ASSUMPTIONS!$C$19,ASSUMPTIONS!$C$70)</f>
        <v/>
      </c>
      <c r="K1150" s="83">
        <f>_xlfn.NORM.INV(RAND(),ASSUMPTIONS!$C$43,ASSUMPTIONS!$C$71)</f>
        <v/>
      </c>
      <c r="L1150" s="84">
        <f>(((ASSUMPTIONS!$C$18*J1150*(1-ASSUMPTIONS!$C$20)+ASSUMPTIONS!$C$18*ASSUMPTIONS!$C$21-ASSUMPTIONS!$C$18*ASSUMPTIONS!$C$22)*(1+H1150)*(1-((1+H1150)/(1+I1150))^5)/(I1150-H1150))+((ASSUMPTIONS!$C$18*J1150*(1-ASSUMPTIONS!$C$20)+ASSUMPTIONS!$C$18*ASSUMPTIONS!$C$21-ASSUMPTIONS!$C$18*ASSUMPTIONS!$C$22)*(1+H1150)^5*(1+K1150)/(I1150-K1150)/(1+I1150)^5)-DCF!$C$12)/ASSUMPTIONS!$C$7</f>
        <v/>
      </c>
    </row>
    <row r="1151">
      <c r="H1151" s="83">
        <f>_xlfn.NORM.INV(RAND(),AVERAGE(ASSUMPTIONS!$C$38,ASSUMPTIONS!$C$39,ASSUMPTIONS!$C$40,ASSUMPTIONS!$C$41,ASSUMPTIONS!$C$42),ASSUMPTIONS!$C$68)</f>
        <v/>
      </c>
      <c r="I1151" s="83">
        <f>MAX(_xlfn.NORM.INV(RAND(),DCF!$C$11,ASSUMPTIONS!$C$69),K1151+0.005)</f>
        <v/>
      </c>
      <c r="J1151" s="83">
        <f>_xlfn.NORM.INV(RAND(),ASSUMPTIONS!$C$19,ASSUMPTIONS!$C$70)</f>
        <v/>
      </c>
      <c r="K1151" s="83">
        <f>_xlfn.NORM.INV(RAND(),ASSUMPTIONS!$C$43,ASSUMPTIONS!$C$71)</f>
        <v/>
      </c>
      <c r="L1151" s="84">
        <f>(((ASSUMPTIONS!$C$18*J1151*(1-ASSUMPTIONS!$C$20)+ASSUMPTIONS!$C$18*ASSUMPTIONS!$C$21-ASSUMPTIONS!$C$18*ASSUMPTIONS!$C$22)*(1+H1151)*(1-((1+H1151)/(1+I1151))^5)/(I1151-H1151))+((ASSUMPTIONS!$C$18*J1151*(1-ASSUMPTIONS!$C$20)+ASSUMPTIONS!$C$18*ASSUMPTIONS!$C$21-ASSUMPTIONS!$C$18*ASSUMPTIONS!$C$22)*(1+H1151)^5*(1+K1151)/(I1151-K1151)/(1+I1151)^5)-DCF!$C$12)/ASSUMPTIONS!$C$7</f>
        <v/>
      </c>
    </row>
    <row r="1152">
      <c r="H1152" s="83">
        <f>_xlfn.NORM.INV(RAND(),AVERAGE(ASSUMPTIONS!$C$38,ASSUMPTIONS!$C$39,ASSUMPTIONS!$C$40,ASSUMPTIONS!$C$41,ASSUMPTIONS!$C$42),ASSUMPTIONS!$C$68)</f>
        <v/>
      </c>
      <c r="I1152" s="83">
        <f>MAX(_xlfn.NORM.INV(RAND(),DCF!$C$11,ASSUMPTIONS!$C$69),K1152+0.005)</f>
        <v/>
      </c>
      <c r="J1152" s="83">
        <f>_xlfn.NORM.INV(RAND(),ASSUMPTIONS!$C$19,ASSUMPTIONS!$C$70)</f>
        <v/>
      </c>
      <c r="K1152" s="83">
        <f>_xlfn.NORM.INV(RAND(),ASSUMPTIONS!$C$43,ASSUMPTIONS!$C$71)</f>
        <v/>
      </c>
      <c r="L1152" s="84">
        <f>(((ASSUMPTIONS!$C$18*J1152*(1-ASSUMPTIONS!$C$20)+ASSUMPTIONS!$C$18*ASSUMPTIONS!$C$21-ASSUMPTIONS!$C$18*ASSUMPTIONS!$C$22)*(1+H1152)*(1-((1+H1152)/(1+I1152))^5)/(I1152-H1152))+((ASSUMPTIONS!$C$18*J1152*(1-ASSUMPTIONS!$C$20)+ASSUMPTIONS!$C$18*ASSUMPTIONS!$C$21-ASSUMPTIONS!$C$18*ASSUMPTIONS!$C$22)*(1+H1152)^5*(1+K1152)/(I1152-K1152)/(1+I1152)^5)-DCF!$C$12)/ASSUMPTIONS!$C$7</f>
        <v/>
      </c>
    </row>
    <row r="1153">
      <c r="H1153" s="83">
        <f>_xlfn.NORM.INV(RAND(),AVERAGE(ASSUMPTIONS!$C$38,ASSUMPTIONS!$C$39,ASSUMPTIONS!$C$40,ASSUMPTIONS!$C$41,ASSUMPTIONS!$C$42),ASSUMPTIONS!$C$68)</f>
        <v/>
      </c>
      <c r="I1153" s="83">
        <f>MAX(_xlfn.NORM.INV(RAND(),DCF!$C$11,ASSUMPTIONS!$C$69),K1153+0.005)</f>
        <v/>
      </c>
      <c r="J1153" s="83">
        <f>_xlfn.NORM.INV(RAND(),ASSUMPTIONS!$C$19,ASSUMPTIONS!$C$70)</f>
        <v/>
      </c>
      <c r="K1153" s="83">
        <f>_xlfn.NORM.INV(RAND(),ASSUMPTIONS!$C$43,ASSUMPTIONS!$C$71)</f>
        <v/>
      </c>
      <c r="L1153" s="84">
        <f>(((ASSUMPTIONS!$C$18*J1153*(1-ASSUMPTIONS!$C$20)+ASSUMPTIONS!$C$18*ASSUMPTIONS!$C$21-ASSUMPTIONS!$C$18*ASSUMPTIONS!$C$22)*(1+H1153)*(1-((1+H1153)/(1+I1153))^5)/(I1153-H1153))+((ASSUMPTIONS!$C$18*J1153*(1-ASSUMPTIONS!$C$20)+ASSUMPTIONS!$C$18*ASSUMPTIONS!$C$21-ASSUMPTIONS!$C$18*ASSUMPTIONS!$C$22)*(1+H1153)^5*(1+K1153)/(I1153-K1153)/(1+I1153)^5)-DCF!$C$12)/ASSUMPTIONS!$C$7</f>
        <v/>
      </c>
    </row>
    <row r="1154">
      <c r="H1154" s="83">
        <f>_xlfn.NORM.INV(RAND(),AVERAGE(ASSUMPTIONS!$C$38,ASSUMPTIONS!$C$39,ASSUMPTIONS!$C$40,ASSUMPTIONS!$C$41,ASSUMPTIONS!$C$42),ASSUMPTIONS!$C$68)</f>
        <v/>
      </c>
      <c r="I1154" s="83">
        <f>MAX(_xlfn.NORM.INV(RAND(),DCF!$C$11,ASSUMPTIONS!$C$69),K1154+0.005)</f>
        <v/>
      </c>
      <c r="J1154" s="83">
        <f>_xlfn.NORM.INV(RAND(),ASSUMPTIONS!$C$19,ASSUMPTIONS!$C$70)</f>
        <v/>
      </c>
      <c r="K1154" s="83">
        <f>_xlfn.NORM.INV(RAND(),ASSUMPTIONS!$C$43,ASSUMPTIONS!$C$71)</f>
        <v/>
      </c>
      <c r="L1154" s="84">
        <f>(((ASSUMPTIONS!$C$18*J1154*(1-ASSUMPTIONS!$C$20)+ASSUMPTIONS!$C$18*ASSUMPTIONS!$C$21-ASSUMPTIONS!$C$18*ASSUMPTIONS!$C$22)*(1+H1154)*(1-((1+H1154)/(1+I1154))^5)/(I1154-H1154))+((ASSUMPTIONS!$C$18*J1154*(1-ASSUMPTIONS!$C$20)+ASSUMPTIONS!$C$18*ASSUMPTIONS!$C$21-ASSUMPTIONS!$C$18*ASSUMPTIONS!$C$22)*(1+H1154)^5*(1+K1154)/(I1154-K1154)/(1+I1154)^5)-DCF!$C$12)/ASSUMPTIONS!$C$7</f>
        <v/>
      </c>
    </row>
    <row r="1155">
      <c r="H1155" s="83">
        <f>_xlfn.NORM.INV(RAND(),AVERAGE(ASSUMPTIONS!$C$38,ASSUMPTIONS!$C$39,ASSUMPTIONS!$C$40,ASSUMPTIONS!$C$41,ASSUMPTIONS!$C$42),ASSUMPTIONS!$C$68)</f>
        <v/>
      </c>
      <c r="I1155" s="83">
        <f>MAX(_xlfn.NORM.INV(RAND(),DCF!$C$11,ASSUMPTIONS!$C$69),K1155+0.005)</f>
        <v/>
      </c>
      <c r="J1155" s="83">
        <f>_xlfn.NORM.INV(RAND(),ASSUMPTIONS!$C$19,ASSUMPTIONS!$C$70)</f>
        <v/>
      </c>
      <c r="K1155" s="83">
        <f>_xlfn.NORM.INV(RAND(),ASSUMPTIONS!$C$43,ASSUMPTIONS!$C$71)</f>
        <v/>
      </c>
      <c r="L1155" s="84">
        <f>(((ASSUMPTIONS!$C$18*J1155*(1-ASSUMPTIONS!$C$20)+ASSUMPTIONS!$C$18*ASSUMPTIONS!$C$21-ASSUMPTIONS!$C$18*ASSUMPTIONS!$C$22)*(1+H1155)*(1-((1+H1155)/(1+I1155))^5)/(I1155-H1155))+((ASSUMPTIONS!$C$18*J1155*(1-ASSUMPTIONS!$C$20)+ASSUMPTIONS!$C$18*ASSUMPTIONS!$C$21-ASSUMPTIONS!$C$18*ASSUMPTIONS!$C$22)*(1+H1155)^5*(1+K1155)/(I1155-K1155)/(1+I1155)^5)-DCF!$C$12)/ASSUMPTIONS!$C$7</f>
        <v/>
      </c>
    </row>
    <row r="1156">
      <c r="H1156" s="83">
        <f>_xlfn.NORM.INV(RAND(),AVERAGE(ASSUMPTIONS!$C$38,ASSUMPTIONS!$C$39,ASSUMPTIONS!$C$40,ASSUMPTIONS!$C$41,ASSUMPTIONS!$C$42),ASSUMPTIONS!$C$68)</f>
        <v/>
      </c>
      <c r="I1156" s="83">
        <f>MAX(_xlfn.NORM.INV(RAND(),DCF!$C$11,ASSUMPTIONS!$C$69),K1156+0.005)</f>
        <v/>
      </c>
      <c r="J1156" s="83">
        <f>_xlfn.NORM.INV(RAND(),ASSUMPTIONS!$C$19,ASSUMPTIONS!$C$70)</f>
        <v/>
      </c>
      <c r="K1156" s="83">
        <f>_xlfn.NORM.INV(RAND(),ASSUMPTIONS!$C$43,ASSUMPTIONS!$C$71)</f>
        <v/>
      </c>
      <c r="L1156" s="84">
        <f>(((ASSUMPTIONS!$C$18*J1156*(1-ASSUMPTIONS!$C$20)+ASSUMPTIONS!$C$18*ASSUMPTIONS!$C$21-ASSUMPTIONS!$C$18*ASSUMPTIONS!$C$22)*(1+H1156)*(1-((1+H1156)/(1+I1156))^5)/(I1156-H1156))+((ASSUMPTIONS!$C$18*J1156*(1-ASSUMPTIONS!$C$20)+ASSUMPTIONS!$C$18*ASSUMPTIONS!$C$21-ASSUMPTIONS!$C$18*ASSUMPTIONS!$C$22)*(1+H1156)^5*(1+K1156)/(I1156-K1156)/(1+I1156)^5)-DCF!$C$12)/ASSUMPTIONS!$C$7</f>
        <v/>
      </c>
    </row>
    <row r="1157">
      <c r="H1157" s="83">
        <f>_xlfn.NORM.INV(RAND(),AVERAGE(ASSUMPTIONS!$C$38,ASSUMPTIONS!$C$39,ASSUMPTIONS!$C$40,ASSUMPTIONS!$C$41,ASSUMPTIONS!$C$42),ASSUMPTIONS!$C$68)</f>
        <v/>
      </c>
      <c r="I1157" s="83">
        <f>MAX(_xlfn.NORM.INV(RAND(),DCF!$C$11,ASSUMPTIONS!$C$69),K1157+0.005)</f>
        <v/>
      </c>
      <c r="J1157" s="83">
        <f>_xlfn.NORM.INV(RAND(),ASSUMPTIONS!$C$19,ASSUMPTIONS!$C$70)</f>
        <v/>
      </c>
      <c r="K1157" s="83">
        <f>_xlfn.NORM.INV(RAND(),ASSUMPTIONS!$C$43,ASSUMPTIONS!$C$71)</f>
        <v/>
      </c>
      <c r="L1157" s="84">
        <f>(((ASSUMPTIONS!$C$18*J1157*(1-ASSUMPTIONS!$C$20)+ASSUMPTIONS!$C$18*ASSUMPTIONS!$C$21-ASSUMPTIONS!$C$18*ASSUMPTIONS!$C$22)*(1+H1157)*(1-((1+H1157)/(1+I1157))^5)/(I1157-H1157))+((ASSUMPTIONS!$C$18*J1157*(1-ASSUMPTIONS!$C$20)+ASSUMPTIONS!$C$18*ASSUMPTIONS!$C$21-ASSUMPTIONS!$C$18*ASSUMPTIONS!$C$22)*(1+H1157)^5*(1+K1157)/(I1157-K1157)/(1+I1157)^5)-DCF!$C$12)/ASSUMPTIONS!$C$7</f>
        <v/>
      </c>
    </row>
    <row r="1158">
      <c r="H1158" s="83">
        <f>_xlfn.NORM.INV(RAND(),AVERAGE(ASSUMPTIONS!$C$38,ASSUMPTIONS!$C$39,ASSUMPTIONS!$C$40,ASSUMPTIONS!$C$41,ASSUMPTIONS!$C$42),ASSUMPTIONS!$C$68)</f>
        <v/>
      </c>
      <c r="I1158" s="83">
        <f>MAX(_xlfn.NORM.INV(RAND(),DCF!$C$11,ASSUMPTIONS!$C$69),K1158+0.005)</f>
        <v/>
      </c>
      <c r="J1158" s="83">
        <f>_xlfn.NORM.INV(RAND(),ASSUMPTIONS!$C$19,ASSUMPTIONS!$C$70)</f>
        <v/>
      </c>
      <c r="K1158" s="83">
        <f>_xlfn.NORM.INV(RAND(),ASSUMPTIONS!$C$43,ASSUMPTIONS!$C$71)</f>
        <v/>
      </c>
      <c r="L1158" s="84">
        <f>(((ASSUMPTIONS!$C$18*J1158*(1-ASSUMPTIONS!$C$20)+ASSUMPTIONS!$C$18*ASSUMPTIONS!$C$21-ASSUMPTIONS!$C$18*ASSUMPTIONS!$C$22)*(1+H1158)*(1-((1+H1158)/(1+I1158))^5)/(I1158-H1158))+((ASSUMPTIONS!$C$18*J1158*(1-ASSUMPTIONS!$C$20)+ASSUMPTIONS!$C$18*ASSUMPTIONS!$C$21-ASSUMPTIONS!$C$18*ASSUMPTIONS!$C$22)*(1+H1158)^5*(1+K1158)/(I1158-K1158)/(1+I1158)^5)-DCF!$C$12)/ASSUMPTIONS!$C$7</f>
        <v/>
      </c>
    </row>
    <row r="1159">
      <c r="H1159" s="83">
        <f>_xlfn.NORM.INV(RAND(),AVERAGE(ASSUMPTIONS!$C$38,ASSUMPTIONS!$C$39,ASSUMPTIONS!$C$40,ASSUMPTIONS!$C$41,ASSUMPTIONS!$C$42),ASSUMPTIONS!$C$68)</f>
        <v/>
      </c>
      <c r="I1159" s="83">
        <f>MAX(_xlfn.NORM.INV(RAND(),DCF!$C$11,ASSUMPTIONS!$C$69),K1159+0.005)</f>
        <v/>
      </c>
      <c r="J1159" s="83">
        <f>_xlfn.NORM.INV(RAND(),ASSUMPTIONS!$C$19,ASSUMPTIONS!$C$70)</f>
        <v/>
      </c>
      <c r="K1159" s="83">
        <f>_xlfn.NORM.INV(RAND(),ASSUMPTIONS!$C$43,ASSUMPTIONS!$C$71)</f>
        <v/>
      </c>
      <c r="L1159" s="84">
        <f>(((ASSUMPTIONS!$C$18*J1159*(1-ASSUMPTIONS!$C$20)+ASSUMPTIONS!$C$18*ASSUMPTIONS!$C$21-ASSUMPTIONS!$C$18*ASSUMPTIONS!$C$22)*(1+H1159)*(1-((1+H1159)/(1+I1159))^5)/(I1159-H1159))+((ASSUMPTIONS!$C$18*J1159*(1-ASSUMPTIONS!$C$20)+ASSUMPTIONS!$C$18*ASSUMPTIONS!$C$21-ASSUMPTIONS!$C$18*ASSUMPTIONS!$C$22)*(1+H1159)^5*(1+K1159)/(I1159-K1159)/(1+I1159)^5)-DCF!$C$12)/ASSUMPTIONS!$C$7</f>
        <v/>
      </c>
    </row>
    <row r="1160">
      <c r="H1160" s="83">
        <f>_xlfn.NORM.INV(RAND(),AVERAGE(ASSUMPTIONS!$C$38,ASSUMPTIONS!$C$39,ASSUMPTIONS!$C$40,ASSUMPTIONS!$C$41,ASSUMPTIONS!$C$42),ASSUMPTIONS!$C$68)</f>
        <v/>
      </c>
      <c r="I1160" s="83">
        <f>MAX(_xlfn.NORM.INV(RAND(),DCF!$C$11,ASSUMPTIONS!$C$69),K1160+0.005)</f>
        <v/>
      </c>
      <c r="J1160" s="83">
        <f>_xlfn.NORM.INV(RAND(),ASSUMPTIONS!$C$19,ASSUMPTIONS!$C$70)</f>
        <v/>
      </c>
      <c r="K1160" s="83">
        <f>_xlfn.NORM.INV(RAND(),ASSUMPTIONS!$C$43,ASSUMPTIONS!$C$71)</f>
        <v/>
      </c>
      <c r="L1160" s="84">
        <f>(((ASSUMPTIONS!$C$18*J1160*(1-ASSUMPTIONS!$C$20)+ASSUMPTIONS!$C$18*ASSUMPTIONS!$C$21-ASSUMPTIONS!$C$18*ASSUMPTIONS!$C$22)*(1+H1160)*(1-((1+H1160)/(1+I1160))^5)/(I1160-H1160))+((ASSUMPTIONS!$C$18*J1160*(1-ASSUMPTIONS!$C$20)+ASSUMPTIONS!$C$18*ASSUMPTIONS!$C$21-ASSUMPTIONS!$C$18*ASSUMPTIONS!$C$22)*(1+H1160)^5*(1+K1160)/(I1160-K1160)/(1+I1160)^5)-DCF!$C$12)/ASSUMPTIONS!$C$7</f>
        <v/>
      </c>
    </row>
    <row r="1161">
      <c r="H1161" s="83">
        <f>_xlfn.NORM.INV(RAND(),AVERAGE(ASSUMPTIONS!$C$38,ASSUMPTIONS!$C$39,ASSUMPTIONS!$C$40,ASSUMPTIONS!$C$41,ASSUMPTIONS!$C$42),ASSUMPTIONS!$C$68)</f>
        <v/>
      </c>
      <c r="I1161" s="83">
        <f>MAX(_xlfn.NORM.INV(RAND(),DCF!$C$11,ASSUMPTIONS!$C$69),K1161+0.005)</f>
        <v/>
      </c>
      <c r="J1161" s="83">
        <f>_xlfn.NORM.INV(RAND(),ASSUMPTIONS!$C$19,ASSUMPTIONS!$C$70)</f>
        <v/>
      </c>
      <c r="K1161" s="83">
        <f>_xlfn.NORM.INV(RAND(),ASSUMPTIONS!$C$43,ASSUMPTIONS!$C$71)</f>
        <v/>
      </c>
      <c r="L1161" s="84">
        <f>(((ASSUMPTIONS!$C$18*J1161*(1-ASSUMPTIONS!$C$20)+ASSUMPTIONS!$C$18*ASSUMPTIONS!$C$21-ASSUMPTIONS!$C$18*ASSUMPTIONS!$C$22)*(1+H1161)*(1-((1+H1161)/(1+I1161))^5)/(I1161-H1161))+((ASSUMPTIONS!$C$18*J1161*(1-ASSUMPTIONS!$C$20)+ASSUMPTIONS!$C$18*ASSUMPTIONS!$C$21-ASSUMPTIONS!$C$18*ASSUMPTIONS!$C$22)*(1+H1161)^5*(1+K1161)/(I1161-K1161)/(1+I1161)^5)-DCF!$C$12)/ASSUMPTIONS!$C$7</f>
        <v/>
      </c>
    </row>
    <row r="1162">
      <c r="H1162" s="83">
        <f>_xlfn.NORM.INV(RAND(),AVERAGE(ASSUMPTIONS!$C$38,ASSUMPTIONS!$C$39,ASSUMPTIONS!$C$40,ASSUMPTIONS!$C$41,ASSUMPTIONS!$C$42),ASSUMPTIONS!$C$68)</f>
        <v/>
      </c>
      <c r="I1162" s="83">
        <f>MAX(_xlfn.NORM.INV(RAND(),DCF!$C$11,ASSUMPTIONS!$C$69),K1162+0.005)</f>
        <v/>
      </c>
      <c r="J1162" s="83">
        <f>_xlfn.NORM.INV(RAND(),ASSUMPTIONS!$C$19,ASSUMPTIONS!$C$70)</f>
        <v/>
      </c>
      <c r="K1162" s="83">
        <f>_xlfn.NORM.INV(RAND(),ASSUMPTIONS!$C$43,ASSUMPTIONS!$C$71)</f>
        <v/>
      </c>
      <c r="L1162" s="84">
        <f>(((ASSUMPTIONS!$C$18*J1162*(1-ASSUMPTIONS!$C$20)+ASSUMPTIONS!$C$18*ASSUMPTIONS!$C$21-ASSUMPTIONS!$C$18*ASSUMPTIONS!$C$22)*(1+H1162)*(1-((1+H1162)/(1+I1162))^5)/(I1162-H1162))+((ASSUMPTIONS!$C$18*J1162*(1-ASSUMPTIONS!$C$20)+ASSUMPTIONS!$C$18*ASSUMPTIONS!$C$21-ASSUMPTIONS!$C$18*ASSUMPTIONS!$C$22)*(1+H1162)^5*(1+K1162)/(I1162-K1162)/(1+I1162)^5)-DCF!$C$12)/ASSUMPTIONS!$C$7</f>
        <v/>
      </c>
    </row>
    <row r="1163">
      <c r="H1163" s="83">
        <f>_xlfn.NORM.INV(RAND(),AVERAGE(ASSUMPTIONS!$C$38,ASSUMPTIONS!$C$39,ASSUMPTIONS!$C$40,ASSUMPTIONS!$C$41,ASSUMPTIONS!$C$42),ASSUMPTIONS!$C$68)</f>
        <v/>
      </c>
      <c r="I1163" s="83">
        <f>MAX(_xlfn.NORM.INV(RAND(),DCF!$C$11,ASSUMPTIONS!$C$69),K1163+0.005)</f>
        <v/>
      </c>
      <c r="J1163" s="83">
        <f>_xlfn.NORM.INV(RAND(),ASSUMPTIONS!$C$19,ASSUMPTIONS!$C$70)</f>
        <v/>
      </c>
      <c r="K1163" s="83">
        <f>_xlfn.NORM.INV(RAND(),ASSUMPTIONS!$C$43,ASSUMPTIONS!$C$71)</f>
        <v/>
      </c>
      <c r="L1163" s="84">
        <f>(((ASSUMPTIONS!$C$18*J1163*(1-ASSUMPTIONS!$C$20)+ASSUMPTIONS!$C$18*ASSUMPTIONS!$C$21-ASSUMPTIONS!$C$18*ASSUMPTIONS!$C$22)*(1+H1163)*(1-((1+H1163)/(1+I1163))^5)/(I1163-H1163))+((ASSUMPTIONS!$C$18*J1163*(1-ASSUMPTIONS!$C$20)+ASSUMPTIONS!$C$18*ASSUMPTIONS!$C$21-ASSUMPTIONS!$C$18*ASSUMPTIONS!$C$22)*(1+H1163)^5*(1+K1163)/(I1163-K1163)/(1+I1163)^5)-DCF!$C$12)/ASSUMPTIONS!$C$7</f>
        <v/>
      </c>
    </row>
    <row r="1164">
      <c r="H1164" s="83">
        <f>_xlfn.NORM.INV(RAND(),AVERAGE(ASSUMPTIONS!$C$38,ASSUMPTIONS!$C$39,ASSUMPTIONS!$C$40,ASSUMPTIONS!$C$41,ASSUMPTIONS!$C$42),ASSUMPTIONS!$C$68)</f>
        <v/>
      </c>
      <c r="I1164" s="83">
        <f>MAX(_xlfn.NORM.INV(RAND(),DCF!$C$11,ASSUMPTIONS!$C$69),K1164+0.005)</f>
        <v/>
      </c>
      <c r="J1164" s="83">
        <f>_xlfn.NORM.INV(RAND(),ASSUMPTIONS!$C$19,ASSUMPTIONS!$C$70)</f>
        <v/>
      </c>
      <c r="K1164" s="83">
        <f>_xlfn.NORM.INV(RAND(),ASSUMPTIONS!$C$43,ASSUMPTIONS!$C$71)</f>
        <v/>
      </c>
      <c r="L1164" s="84">
        <f>(((ASSUMPTIONS!$C$18*J1164*(1-ASSUMPTIONS!$C$20)+ASSUMPTIONS!$C$18*ASSUMPTIONS!$C$21-ASSUMPTIONS!$C$18*ASSUMPTIONS!$C$22)*(1+H1164)*(1-((1+H1164)/(1+I1164))^5)/(I1164-H1164))+((ASSUMPTIONS!$C$18*J1164*(1-ASSUMPTIONS!$C$20)+ASSUMPTIONS!$C$18*ASSUMPTIONS!$C$21-ASSUMPTIONS!$C$18*ASSUMPTIONS!$C$22)*(1+H1164)^5*(1+K1164)/(I1164-K1164)/(1+I1164)^5)-DCF!$C$12)/ASSUMPTIONS!$C$7</f>
        <v/>
      </c>
    </row>
    <row r="1165">
      <c r="H1165" s="83">
        <f>_xlfn.NORM.INV(RAND(),AVERAGE(ASSUMPTIONS!$C$38,ASSUMPTIONS!$C$39,ASSUMPTIONS!$C$40,ASSUMPTIONS!$C$41,ASSUMPTIONS!$C$42),ASSUMPTIONS!$C$68)</f>
        <v/>
      </c>
      <c r="I1165" s="83">
        <f>MAX(_xlfn.NORM.INV(RAND(),DCF!$C$11,ASSUMPTIONS!$C$69),K1165+0.005)</f>
        <v/>
      </c>
      <c r="J1165" s="83">
        <f>_xlfn.NORM.INV(RAND(),ASSUMPTIONS!$C$19,ASSUMPTIONS!$C$70)</f>
        <v/>
      </c>
      <c r="K1165" s="83">
        <f>_xlfn.NORM.INV(RAND(),ASSUMPTIONS!$C$43,ASSUMPTIONS!$C$71)</f>
        <v/>
      </c>
      <c r="L1165" s="84">
        <f>(((ASSUMPTIONS!$C$18*J1165*(1-ASSUMPTIONS!$C$20)+ASSUMPTIONS!$C$18*ASSUMPTIONS!$C$21-ASSUMPTIONS!$C$18*ASSUMPTIONS!$C$22)*(1+H1165)*(1-((1+H1165)/(1+I1165))^5)/(I1165-H1165))+((ASSUMPTIONS!$C$18*J1165*(1-ASSUMPTIONS!$C$20)+ASSUMPTIONS!$C$18*ASSUMPTIONS!$C$21-ASSUMPTIONS!$C$18*ASSUMPTIONS!$C$22)*(1+H1165)^5*(1+K1165)/(I1165-K1165)/(1+I1165)^5)-DCF!$C$12)/ASSUMPTIONS!$C$7</f>
        <v/>
      </c>
    </row>
    <row r="1166">
      <c r="H1166" s="83">
        <f>_xlfn.NORM.INV(RAND(),AVERAGE(ASSUMPTIONS!$C$38,ASSUMPTIONS!$C$39,ASSUMPTIONS!$C$40,ASSUMPTIONS!$C$41,ASSUMPTIONS!$C$42),ASSUMPTIONS!$C$68)</f>
        <v/>
      </c>
      <c r="I1166" s="83">
        <f>MAX(_xlfn.NORM.INV(RAND(),DCF!$C$11,ASSUMPTIONS!$C$69),K1166+0.005)</f>
        <v/>
      </c>
      <c r="J1166" s="83">
        <f>_xlfn.NORM.INV(RAND(),ASSUMPTIONS!$C$19,ASSUMPTIONS!$C$70)</f>
        <v/>
      </c>
      <c r="K1166" s="83">
        <f>_xlfn.NORM.INV(RAND(),ASSUMPTIONS!$C$43,ASSUMPTIONS!$C$71)</f>
        <v/>
      </c>
      <c r="L1166" s="84">
        <f>(((ASSUMPTIONS!$C$18*J1166*(1-ASSUMPTIONS!$C$20)+ASSUMPTIONS!$C$18*ASSUMPTIONS!$C$21-ASSUMPTIONS!$C$18*ASSUMPTIONS!$C$22)*(1+H1166)*(1-((1+H1166)/(1+I1166))^5)/(I1166-H1166))+((ASSUMPTIONS!$C$18*J1166*(1-ASSUMPTIONS!$C$20)+ASSUMPTIONS!$C$18*ASSUMPTIONS!$C$21-ASSUMPTIONS!$C$18*ASSUMPTIONS!$C$22)*(1+H1166)^5*(1+K1166)/(I1166-K1166)/(1+I1166)^5)-DCF!$C$12)/ASSUMPTIONS!$C$7</f>
        <v/>
      </c>
    </row>
    <row r="1167">
      <c r="H1167" s="83">
        <f>_xlfn.NORM.INV(RAND(),AVERAGE(ASSUMPTIONS!$C$38,ASSUMPTIONS!$C$39,ASSUMPTIONS!$C$40,ASSUMPTIONS!$C$41,ASSUMPTIONS!$C$42),ASSUMPTIONS!$C$68)</f>
        <v/>
      </c>
      <c r="I1167" s="83">
        <f>MAX(_xlfn.NORM.INV(RAND(),DCF!$C$11,ASSUMPTIONS!$C$69),K1167+0.005)</f>
        <v/>
      </c>
      <c r="J1167" s="83">
        <f>_xlfn.NORM.INV(RAND(),ASSUMPTIONS!$C$19,ASSUMPTIONS!$C$70)</f>
        <v/>
      </c>
      <c r="K1167" s="83">
        <f>_xlfn.NORM.INV(RAND(),ASSUMPTIONS!$C$43,ASSUMPTIONS!$C$71)</f>
        <v/>
      </c>
      <c r="L1167" s="84">
        <f>(((ASSUMPTIONS!$C$18*J1167*(1-ASSUMPTIONS!$C$20)+ASSUMPTIONS!$C$18*ASSUMPTIONS!$C$21-ASSUMPTIONS!$C$18*ASSUMPTIONS!$C$22)*(1+H1167)*(1-((1+H1167)/(1+I1167))^5)/(I1167-H1167))+((ASSUMPTIONS!$C$18*J1167*(1-ASSUMPTIONS!$C$20)+ASSUMPTIONS!$C$18*ASSUMPTIONS!$C$21-ASSUMPTIONS!$C$18*ASSUMPTIONS!$C$22)*(1+H1167)^5*(1+K1167)/(I1167-K1167)/(1+I1167)^5)-DCF!$C$12)/ASSUMPTIONS!$C$7</f>
        <v/>
      </c>
    </row>
    <row r="1168">
      <c r="H1168" s="83">
        <f>_xlfn.NORM.INV(RAND(),AVERAGE(ASSUMPTIONS!$C$38,ASSUMPTIONS!$C$39,ASSUMPTIONS!$C$40,ASSUMPTIONS!$C$41,ASSUMPTIONS!$C$42),ASSUMPTIONS!$C$68)</f>
        <v/>
      </c>
      <c r="I1168" s="83">
        <f>MAX(_xlfn.NORM.INV(RAND(),DCF!$C$11,ASSUMPTIONS!$C$69),K1168+0.005)</f>
        <v/>
      </c>
      <c r="J1168" s="83">
        <f>_xlfn.NORM.INV(RAND(),ASSUMPTIONS!$C$19,ASSUMPTIONS!$C$70)</f>
        <v/>
      </c>
      <c r="K1168" s="83">
        <f>_xlfn.NORM.INV(RAND(),ASSUMPTIONS!$C$43,ASSUMPTIONS!$C$71)</f>
        <v/>
      </c>
      <c r="L1168" s="84">
        <f>(((ASSUMPTIONS!$C$18*J1168*(1-ASSUMPTIONS!$C$20)+ASSUMPTIONS!$C$18*ASSUMPTIONS!$C$21-ASSUMPTIONS!$C$18*ASSUMPTIONS!$C$22)*(1+H1168)*(1-((1+H1168)/(1+I1168))^5)/(I1168-H1168))+((ASSUMPTIONS!$C$18*J1168*(1-ASSUMPTIONS!$C$20)+ASSUMPTIONS!$C$18*ASSUMPTIONS!$C$21-ASSUMPTIONS!$C$18*ASSUMPTIONS!$C$22)*(1+H1168)^5*(1+K1168)/(I1168-K1168)/(1+I1168)^5)-DCF!$C$12)/ASSUMPTIONS!$C$7</f>
        <v/>
      </c>
    </row>
    <row r="1169">
      <c r="H1169" s="83">
        <f>_xlfn.NORM.INV(RAND(),AVERAGE(ASSUMPTIONS!$C$38,ASSUMPTIONS!$C$39,ASSUMPTIONS!$C$40,ASSUMPTIONS!$C$41,ASSUMPTIONS!$C$42),ASSUMPTIONS!$C$68)</f>
        <v/>
      </c>
      <c r="I1169" s="83">
        <f>MAX(_xlfn.NORM.INV(RAND(),DCF!$C$11,ASSUMPTIONS!$C$69),K1169+0.005)</f>
        <v/>
      </c>
      <c r="J1169" s="83">
        <f>_xlfn.NORM.INV(RAND(),ASSUMPTIONS!$C$19,ASSUMPTIONS!$C$70)</f>
        <v/>
      </c>
      <c r="K1169" s="83">
        <f>_xlfn.NORM.INV(RAND(),ASSUMPTIONS!$C$43,ASSUMPTIONS!$C$71)</f>
        <v/>
      </c>
      <c r="L1169" s="84">
        <f>(((ASSUMPTIONS!$C$18*J1169*(1-ASSUMPTIONS!$C$20)+ASSUMPTIONS!$C$18*ASSUMPTIONS!$C$21-ASSUMPTIONS!$C$18*ASSUMPTIONS!$C$22)*(1+H1169)*(1-((1+H1169)/(1+I1169))^5)/(I1169-H1169))+((ASSUMPTIONS!$C$18*J1169*(1-ASSUMPTIONS!$C$20)+ASSUMPTIONS!$C$18*ASSUMPTIONS!$C$21-ASSUMPTIONS!$C$18*ASSUMPTIONS!$C$22)*(1+H1169)^5*(1+K1169)/(I1169-K1169)/(1+I1169)^5)-DCF!$C$12)/ASSUMPTIONS!$C$7</f>
        <v/>
      </c>
    </row>
    <row r="1170">
      <c r="H1170" s="83">
        <f>_xlfn.NORM.INV(RAND(),AVERAGE(ASSUMPTIONS!$C$38,ASSUMPTIONS!$C$39,ASSUMPTIONS!$C$40,ASSUMPTIONS!$C$41,ASSUMPTIONS!$C$42),ASSUMPTIONS!$C$68)</f>
        <v/>
      </c>
      <c r="I1170" s="83">
        <f>MAX(_xlfn.NORM.INV(RAND(),DCF!$C$11,ASSUMPTIONS!$C$69),K1170+0.005)</f>
        <v/>
      </c>
      <c r="J1170" s="83">
        <f>_xlfn.NORM.INV(RAND(),ASSUMPTIONS!$C$19,ASSUMPTIONS!$C$70)</f>
        <v/>
      </c>
      <c r="K1170" s="83">
        <f>_xlfn.NORM.INV(RAND(),ASSUMPTIONS!$C$43,ASSUMPTIONS!$C$71)</f>
        <v/>
      </c>
      <c r="L1170" s="84">
        <f>(((ASSUMPTIONS!$C$18*J1170*(1-ASSUMPTIONS!$C$20)+ASSUMPTIONS!$C$18*ASSUMPTIONS!$C$21-ASSUMPTIONS!$C$18*ASSUMPTIONS!$C$22)*(1+H1170)*(1-((1+H1170)/(1+I1170))^5)/(I1170-H1170))+((ASSUMPTIONS!$C$18*J1170*(1-ASSUMPTIONS!$C$20)+ASSUMPTIONS!$C$18*ASSUMPTIONS!$C$21-ASSUMPTIONS!$C$18*ASSUMPTIONS!$C$22)*(1+H1170)^5*(1+K1170)/(I1170-K1170)/(1+I1170)^5)-DCF!$C$12)/ASSUMPTIONS!$C$7</f>
        <v/>
      </c>
    </row>
    <row r="1171">
      <c r="H1171" s="83">
        <f>_xlfn.NORM.INV(RAND(),AVERAGE(ASSUMPTIONS!$C$38,ASSUMPTIONS!$C$39,ASSUMPTIONS!$C$40,ASSUMPTIONS!$C$41,ASSUMPTIONS!$C$42),ASSUMPTIONS!$C$68)</f>
        <v/>
      </c>
      <c r="I1171" s="83">
        <f>MAX(_xlfn.NORM.INV(RAND(),DCF!$C$11,ASSUMPTIONS!$C$69),K1171+0.005)</f>
        <v/>
      </c>
      <c r="J1171" s="83">
        <f>_xlfn.NORM.INV(RAND(),ASSUMPTIONS!$C$19,ASSUMPTIONS!$C$70)</f>
        <v/>
      </c>
      <c r="K1171" s="83">
        <f>_xlfn.NORM.INV(RAND(),ASSUMPTIONS!$C$43,ASSUMPTIONS!$C$71)</f>
        <v/>
      </c>
      <c r="L1171" s="84">
        <f>(((ASSUMPTIONS!$C$18*J1171*(1-ASSUMPTIONS!$C$20)+ASSUMPTIONS!$C$18*ASSUMPTIONS!$C$21-ASSUMPTIONS!$C$18*ASSUMPTIONS!$C$22)*(1+H1171)*(1-((1+H1171)/(1+I1171))^5)/(I1171-H1171))+((ASSUMPTIONS!$C$18*J1171*(1-ASSUMPTIONS!$C$20)+ASSUMPTIONS!$C$18*ASSUMPTIONS!$C$21-ASSUMPTIONS!$C$18*ASSUMPTIONS!$C$22)*(1+H1171)^5*(1+K1171)/(I1171-K1171)/(1+I1171)^5)-DCF!$C$12)/ASSUMPTIONS!$C$7</f>
        <v/>
      </c>
    </row>
    <row r="1172">
      <c r="H1172" s="83">
        <f>_xlfn.NORM.INV(RAND(),AVERAGE(ASSUMPTIONS!$C$38,ASSUMPTIONS!$C$39,ASSUMPTIONS!$C$40,ASSUMPTIONS!$C$41,ASSUMPTIONS!$C$42),ASSUMPTIONS!$C$68)</f>
        <v/>
      </c>
      <c r="I1172" s="83">
        <f>MAX(_xlfn.NORM.INV(RAND(),DCF!$C$11,ASSUMPTIONS!$C$69),K1172+0.005)</f>
        <v/>
      </c>
      <c r="J1172" s="83">
        <f>_xlfn.NORM.INV(RAND(),ASSUMPTIONS!$C$19,ASSUMPTIONS!$C$70)</f>
        <v/>
      </c>
      <c r="K1172" s="83">
        <f>_xlfn.NORM.INV(RAND(),ASSUMPTIONS!$C$43,ASSUMPTIONS!$C$71)</f>
        <v/>
      </c>
      <c r="L1172" s="84">
        <f>(((ASSUMPTIONS!$C$18*J1172*(1-ASSUMPTIONS!$C$20)+ASSUMPTIONS!$C$18*ASSUMPTIONS!$C$21-ASSUMPTIONS!$C$18*ASSUMPTIONS!$C$22)*(1+H1172)*(1-((1+H1172)/(1+I1172))^5)/(I1172-H1172))+((ASSUMPTIONS!$C$18*J1172*(1-ASSUMPTIONS!$C$20)+ASSUMPTIONS!$C$18*ASSUMPTIONS!$C$21-ASSUMPTIONS!$C$18*ASSUMPTIONS!$C$22)*(1+H1172)^5*(1+K1172)/(I1172-K1172)/(1+I1172)^5)-DCF!$C$12)/ASSUMPTIONS!$C$7</f>
        <v/>
      </c>
    </row>
    <row r="1173">
      <c r="H1173" s="83">
        <f>_xlfn.NORM.INV(RAND(),AVERAGE(ASSUMPTIONS!$C$38,ASSUMPTIONS!$C$39,ASSUMPTIONS!$C$40,ASSUMPTIONS!$C$41,ASSUMPTIONS!$C$42),ASSUMPTIONS!$C$68)</f>
        <v/>
      </c>
      <c r="I1173" s="83">
        <f>MAX(_xlfn.NORM.INV(RAND(),DCF!$C$11,ASSUMPTIONS!$C$69),K1173+0.005)</f>
        <v/>
      </c>
      <c r="J1173" s="83">
        <f>_xlfn.NORM.INV(RAND(),ASSUMPTIONS!$C$19,ASSUMPTIONS!$C$70)</f>
        <v/>
      </c>
      <c r="K1173" s="83">
        <f>_xlfn.NORM.INV(RAND(),ASSUMPTIONS!$C$43,ASSUMPTIONS!$C$71)</f>
        <v/>
      </c>
      <c r="L1173" s="84">
        <f>(((ASSUMPTIONS!$C$18*J1173*(1-ASSUMPTIONS!$C$20)+ASSUMPTIONS!$C$18*ASSUMPTIONS!$C$21-ASSUMPTIONS!$C$18*ASSUMPTIONS!$C$22)*(1+H1173)*(1-((1+H1173)/(1+I1173))^5)/(I1173-H1173))+((ASSUMPTIONS!$C$18*J1173*(1-ASSUMPTIONS!$C$20)+ASSUMPTIONS!$C$18*ASSUMPTIONS!$C$21-ASSUMPTIONS!$C$18*ASSUMPTIONS!$C$22)*(1+H1173)^5*(1+K1173)/(I1173-K1173)/(1+I1173)^5)-DCF!$C$12)/ASSUMPTIONS!$C$7</f>
        <v/>
      </c>
    </row>
    <row r="1174">
      <c r="H1174" s="83">
        <f>_xlfn.NORM.INV(RAND(),AVERAGE(ASSUMPTIONS!$C$38,ASSUMPTIONS!$C$39,ASSUMPTIONS!$C$40,ASSUMPTIONS!$C$41,ASSUMPTIONS!$C$42),ASSUMPTIONS!$C$68)</f>
        <v/>
      </c>
      <c r="I1174" s="83">
        <f>MAX(_xlfn.NORM.INV(RAND(),DCF!$C$11,ASSUMPTIONS!$C$69),K1174+0.005)</f>
        <v/>
      </c>
      <c r="J1174" s="83">
        <f>_xlfn.NORM.INV(RAND(),ASSUMPTIONS!$C$19,ASSUMPTIONS!$C$70)</f>
        <v/>
      </c>
      <c r="K1174" s="83">
        <f>_xlfn.NORM.INV(RAND(),ASSUMPTIONS!$C$43,ASSUMPTIONS!$C$71)</f>
        <v/>
      </c>
      <c r="L1174" s="84">
        <f>(((ASSUMPTIONS!$C$18*J1174*(1-ASSUMPTIONS!$C$20)+ASSUMPTIONS!$C$18*ASSUMPTIONS!$C$21-ASSUMPTIONS!$C$18*ASSUMPTIONS!$C$22)*(1+H1174)*(1-((1+H1174)/(1+I1174))^5)/(I1174-H1174))+((ASSUMPTIONS!$C$18*J1174*(1-ASSUMPTIONS!$C$20)+ASSUMPTIONS!$C$18*ASSUMPTIONS!$C$21-ASSUMPTIONS!$C$18*ASSUMPTIONS!$C$22)*(1+H1174)^5*(1+K1174)/(I1174-K1174)/(1+I1174)^5)-DCF!$C$12)/ASSUMPTIONS!$C$7</f>
        <v/>
      </c>
    </row>
    <row r="1175">
      <c r="H1175" s="83">
        <f>_xlfn.NORM.INV(RAND(),AVERAGE(ASSUMPTIONS!$C$38,ASSUMPTIONS!$C$39,ASSUMPTIONS!$C$40,ASSUMPTIONS!$C$41,ASSUMPTIONS!$C$42),ASSUMPTIONS!$C$68)</f>
        <v/>
      </c>
      <c r="I1175" s="83">
        <f>MAX(_xlfn.NORM.INV(RAND(),DCF!$C$11,ASSUMPTIONS!$C$69),K1175+0.005)</f>
        <v/>
      </c>
      <c r="J1175" s="83">
        <f>_xlfn.NORM.INV(RAND(),ASSUMPTIONS!$C$19,ASSUMPTIONS!$C$70)</f>
        <v/>
      </c>
      <c r="K1175" s="83">
        <f>_xlfn.NORM.INV(RAND(),ASSUMPTIONS!$C$43,ASSUMPTIONS!$C$71)</f>
        <v/>
      </c>
      <c r="L1175" s="84">
        <f>(((ASSUMPTIONS!$C$18*J1175*(1-ASSUMPTIONS!$C$20)+ASSUMPTIONS!$C$18*ASSUMPTIONS!$C$21-ASSUMPTIONS!$C$18*ASSUMPTIONS!$C$22)*(1+H1175)*(1-((1+H1175)/(1+I1175))^5)/(I1175-H1175))+((ASSUMPTIONS!$C$18*J1175*(1-ASSUMPTIONS!$C$20)+ASSUMPTIONS!$C$18*ASSUMPTIONS!$C$21-ASSUMPTIONS!$C$18*ASSUMPTIONS!$C$22)*(1+H1175)^5*(1+K1175)/(I1175-K1175)/(1+I1175)^5)-DCF!$C$12)/ASSUMPTIONS!$C$7</f>
        <v/>
      </c>
    </row>
    <row r="1176">
      <c r="H1176" s="83">
        <f>_xlfn.NORM.INV(RAND(),AVERAGE(ASSUMPTIONS!$C$38,ASSUMPTIONS!$C$39,ASSUMPTIONS!$C$40,ASSUMPTIONS!$C$41,ASSUMPTIONS!$C$42),ASSUMPTIONS!$C$68)</f>
        <v/>
      </c>
      <c r="I1176" s="83">
        <f>MAX(_xlfn.NORM.INV(RAND(),DCF!$C$11,ASSUMPTIONS!$C$69),K1176+0.005)</f>
        <v/>
      </c>
      <c r="J1176" s="83">
        <f>_xlfn.NORM.INV(RAND(),ASSUMPTIONS!$C$19,ASSUMPTIONS!$C$70)</f>
        <v/>
      </c>
      <c r="K1176" s="83">
        <f>_xlfn.NORM.INV(RAND(),ASSUMPTIONS!$C$43,ASSUMPTIONS!$C$71)</f>
        <v/>
      </c>
      <c r="L1176" s="84">
        <f>(((ASSUMPTIONS!$C$18*J1176*(1-ASSUMPTIONS!$C$20)+ASSUMPTIONS!$C$18*ASSUMPTIONS!$C$21-ASSUMPTIONS!$C$18*ASSUMPTIONS!$C$22)*(1+H1176)*(1-((1+H1176)/(1+I1176))^5)/(I1176-H1176))+((ASSUMPTIONS!$C$18*J1176*(1-ASSUMPTIONS!$C$20)+ASSUMPTIONS!$C$18*ASSUMPTIONS!$C$21-ASSUMPTIONS!$C$18*ASSUMPTIONS!$C$22)*(1+H1176)^5*(1+K1176)/(I1176-K1176)/(1+I1176)^5)-DCF!$C$12)/ASSUMPTIONS!$C$7</f>
        <v/>
      </c>
    </row>
    <row r="1177">
      <c r="H1177" s="83">
        <f>_xlfn.NORM.INV(RAND(),AVERAGE(ASSUMPTIONS!$C$38,ASSUMPTIONS!$C$39,ASSUMPTIONS!$C$40,ASSUMPTIONS!$C$41,ASSUMPTIONS!$C$42),ASSUMPTIONS!$C$68)</f>
        <v/>
      </c>
      <c r="I1177" s="83">
        <f>MAX(_xlfn.NORM.INV(RAND(),DCF!$C$11,ASSUMPTIONS!$C$69),K1177+0.005)</f>
        <v/>
      </c>
      <c r="J1177" s="83">
        <f>_xlfn.NORM.INV(RAND(),ASSUMPTIONS!$C$19,ASSUMPTIONS!$C$70)</f>
        <v/>
      </c>
      <c r="K1177" s="83">
        <f>_xlfn.NORM.INV(RAND(),ASSUMPTIONS!$C$43,ASSUMPTIONS!$C$71)</f>
        <v/>
      </c>
      <c r="L1177" s="84">
        <f>(((ASSUMPTIONS!$C$18*J1177*(1-ASSUMPTIONS!$C$20)+ASSUMPTIONS!$C$18*ASSUMPTIONS!$C$21-ASSUMPTIONS!$C$18*ASSUMPTIONS!$C$22)*(1+H1177)*(1-((1+H1177)/(1+I1177))^5)/(I1177-H1177))+((ASSUMPTIONS!$C$18*J1177*(1-ASSUMPTIONS!$C$20)+ASSUMPTIONS!$C$18*ASSUMPTIONS!$C$21-ASSUMPTIONS!$C$18*ASSUMPTIONS!$C$22)*(1+H1177)^5*(1+K1177)/(I1177-K1177)/(1+I1177)^5)-DCF!$C$12)/ASSUMPTIONS!$C$7</f>
        <v/>
      </c>
    </row>
    <row r="1178">
      <c r="H1178" s="83">
        <f>_xlfn.NORM.INV(RAND(),AVERAGE(ASSUMPTIONS!$C$38,ASSUMPTIONS!$C$39,ASSUMPTIONS!$C$40,ASSUMPTIONS!$C$41,ASSUMPTIONS!$C$42),ASSUMPTIONS!$C$68)</f>
        <v/>
      </c>
      <c r="I1178" s="83">
        <f>MAX(_xlfn.NORM.INV(RAND(),DCF!$C$11,ASSUMPTIONS!$C$69),K1178+0.005)</f>
        <v/>
      </c>
      <c r="J1178" s="83">
        <f>_xlfn.NORM.INV(RAND(),ASSUMPTIONS!$C$19,ASSUMPTIONS!$C$70)</f>
        <v/>
      </c>
      <c r="K1178" s="83">
        <f>_xlfn.NORM.INV(RAND(),ASSUMPTIONS!$C$43,ASSUMPTIONS!$C$71)</f>
        <v/>
      </c>
      <c r="L1178" s="84">
        <f>(((ASSUMPTIONS!$C$18*J1178*(1-ASSUMPTIONS!$C$20)+ASSUMPTIONS!$C$18*ASSUMPTIONS!$C$21-ASSUMPTIONS!$C$18*ASSUMPTIONS!$C$22)*(1+H1178)*(1-((1+H1178)/(1+I1178))^5)/(I1178-H1178))+((ASSUMPTIONS!$C$18*J1178*(1-ASSUMPTIONS!$C$20)+ASSUMPTIONS!$C$18*ASSUMPTIONS!$C$21-ASSUMPTIONS!$C$18*ASSUMPTIONS!$C$22)*(1+H1178)^5*(1+K1178)/(I1178-K1178)/(1+I1178)^5)-DCF!$C$12)/ASSUMPTIONS!$C$7</f>
        <v/>
      </c>
    </row>
    <row r="1179">
      <c r="H1179" s="83">
        <f>_xlfn.NORM.INV(RAND(),AVERAGE(ASSUMPTIONS!$C$38,ASSUMPTIONS!$C$39,ASSUMPTIONS!$C$40,ASSUMPTIONS!$C$41,ASSUMPTIONS!$C$42),ASSUMPTIONS!$C$68)</f>
        <v/>
      </c>
      <c r="I1179" s="83">
        <f>MAX(_xlfn.NORM.INV(RAND(),DCF!$C$11,ASSUMPTIONS!$C$69),K1179+0.005)</f>
        <v/>
      </c>
      <c r="J1179" s="83">
        <f>_xlfn.NORM.INV(RAND(),ASSUMPTIONS!$C$19,ASSUMPTIONS!$C$70)</f>
        <v/>
      </c>
      <c r="K1179" s="83">
        <f>_xlfn.NORM.INV(RAND(),ASSUMPTIONS!$C$43,ASSUMPTIONS!$C$71)</f>
        <v/>
      </c>
      <c r="L1179" s="84">
        <f>(((ASSUMPTIONS!$C$18*J1179*(1-ASSUMPTIONS!$C$20)+ASSUMPTIONS!$C$18*ASSUMPTIONS!$C$21-ASSUMPTIONS!$C$18*ASSUMPTIONS!$C$22)*(1+H1179)*(1-((1+H1179)/(1+I1179))^5)/(I1179-H1179))+((ASSUMPTIONS!$C$18*J1179*(1-ASSUMPTIONS!$C$20)+ASSUMPTIONS!$C$18*ASSUMPTIONS!$C$21-ASSUMPTIONS!$C$18*ASSUMPTIONS!$C$22)*(1+H1179)^5*(1+K1179)/(I1179-K1179)/(1+I1179)^5)-DCF!$C$12)/ASSUMPTIONS!$C$7</f>
        <v/>
      </c>
    </row>
    <row r="1180">
      <c r="H1180" s="83">
        <f>_xlfn.NORM.INV(RAND(),AVERAGE(ASSUMPTIONS!$C$38,ASSUMPTIONS!$C$39,ASSUMPTIONS!$C$40,ASSUMPTIONS!$C$41,ASSUMPTIONS!$C$42),ASSUMPTIONS!$C$68)</f>
        <v/>
      </c>
      <c r="I1180" s="83">
        <f>MAX(_xlfn.NORM.INV(RAND(),DCF!$C$11,ASSUMPTIONS!$C$69),K1180+0.005)</f>
        <v/>
      </c>
      <c r="J1180" s="83">
        <f>_xlfn.NORM.INV(RAND(),ASSUMPTIONS!$C$19,ASSUMPTIONS!$C$70)</f>
        <v/>
      </c>
      <c r="K1180" s="83">
        <f>_xlfn.NORM.INV(RAND(),ASSUMPTIONS!$C$43,ASSUMPTIONS!$C$71)</f>
        <v/>
      </c>
      <c r="L1180" s="84">
        <f>(((ASSUMPTIONS!$C$18*J1180*(1-ASSUMPTIONS!$C$20)+ASSUMPTIONS!$C$18*ASSUMPTIONS!$C$21-ASSUMPTIONS!$C$18*ASSUMPTIONS!$C$22)*(1+H1180)*(1-((1+H1180)/(1+I1180))^5)/(I1180-H1180))+((ASSUMPTIONS!$C$18*J1180*(1-ASSUMPTIONS!$C$20)+ASSUMPTIONS!$C$18*ASSUMPTIONS!$C$21-ASSUMPTIONS!$C$18*ASSUMPTIONS!$C$22)*(1+H1180)^5*(1+K1180)/(I1180-K1180)/(1+I1180)^5)-DCF!$C$12)/ASSUMPTIONS!$C$7</f>
        <v/>
      </c>
    </row>
    <row r="1181">
      <c r="H1181" s="83">
        <f>_xlfn.NORM.INV(RAND(),AVERAGE(ASSUMPTIONS!$C$38,ASSUMPTIONS!$C$39,ASSUMPTIONS!$C$40,ASSUMPTIONS!$C$41,ASSUMPTIONS!$C$42),ASSUMPTIONS!$C$68)</f>
        <v/>
      </c>
      <c r="I1181" s="83">
        <f>MAX(_xlfn.NORM.INV(RAND(),DCF!$C$11,ASSUMPTIONS!$C$69),K1181+0.005)</f>
        <v/>
      </c>
      <c r="J1181" s="83">
        <f>_xlfn.NORM.INV(RAND(),ASSUMPTIONS!$C$19,ASSUMPTIONS!$C$70)</f>
        <v/>
      </c>
      <c r="K1181" s="83">
        <f>_xlfn.NORM.INV(RAND(),ASSUMPTIONS!$C$43,ASSUMPTIONS!$C$71)</f>
        <v/>
      </c>
      <c r="L1181" s="84">
        <f>(((ASSUMPTIONS!$C$18*J1181*(1-ASSUMPTIONS!$C$20)+ASSUMPTIONS!$C$18*ASSUMPTIONS!$C$21-ASSUMPTIONS!$C$18*ASSUMPTIONS!$C$22)*(1+H1181)*(1-((1+H1181)/(1+I1181))^5)/(I1181-H1181))+((ASSUMPTIONS!$C$18*J1181*(1-ASSUMPTIONS!$C$20)+ASSUMPTIONS!$C$18*ASSUMPTIONS!$C$21-ASSUMPTIONS!$C$18*ASSUMPTIONS!$C$22)*(1+H1181)^5*(1+K1181)/(I1181-K1181)/(1+I1181)^5)-DCF!$C$12)/ASSUMPTIONS!$C$7</f>
        <v/>
      </c>
    </row>
    <row r="1182">
      <c r="H1182" s="83">
        <f>_xlfn.NORM.INV(RAND(),AVERAGE(ASSUMPTIONS!$C$38,ASSUMPTIONS!$C$39,ASSUMPTIONS!$C$40,ASSUMPTIONS!$C$41,ASSUMPTIONS!$C$42),ASSUMPTIONS!$C$68)</f>
        <v/>
      </c>
      <c r="I1182" s="83">
        <f>MAX(_xlfn.NORM.INV(RAND(),DCF!$C$11,ASSUMPTIONS!$C$69),K1182+0.005)</f>
        <v/>
      </c>
      <c r="J1182" s="83">
        <f>_xlfn.NORM.INV(RAND(),ASSUMPTIONS!$C$19,ASSUMPTIONS!$C$70)</f>
        <v/>
      </c>
      <c r="K1182" s="83">
        <f>_xlfn.NORM.INV(RAND(),ASSUMPTIONS!$C$43,ASSUMPTIONS!$C$71)</f>
        <v/>
      </c>
      <c r="L1182" s="84">
        <f>(((ASSUMPTIONS!$C$18*J1182*(1-ASSUMPTIONS!$C$20)+ASSUMPTIONS!$C$18*ASSUMPTIONS!$C$21-ASSUMPTIONS!$C$18*ASSUMPTIONS!$C$22)*(1+H1182)*(1-((1+H1182)/(1+I1182))^5)/(I1182-H1182))+((ASSUMPTIONS!$C$18*J1182*(1-ASSUMPTIONS!$C$20)+ASSUMPTIONS!$C$18*ASSUMPTIONS!$C$21-ASSUMPTIONS!$C$18*ASSUMPTIONS!$C$22)*(1+H1182)^5*(1+K1182)/(I1182-K1182)/(1+I1182)^5)-DCF!$C$12)/ASSUMPTIONS!$C$7</f>
        <v/>
      </c>
    </row>
    <row r="1183">
      <c r="H1183" s="83">
        <f>_xlfn.NORM.INV(RAND(),AVERAGE(ASSUMPTIONS!$C$38,ASSUMPTIONS!$C$39,ASSUMPTIONS!$C$40,ASSUMPTIONS!$C$41,ASSUMPTIONS!$C$42),ASSUMPTIONS!$C$68)</f>
        <v/>
      </c>
      <c r="I1183" s="83">
        <f>MAX(_xlfn.NORM.INV(RAND(),DCF!$C$11,ASSUMPTIONS!$C$69),K1183+0.005)</f>
        <v/>
      </c>
      <c r="J1183" s="83">
        <f>_xlfn.NORM.INV(RAND(),ASSUMPTIONS!$C$19,ASSUMPTIONS!$C$70)</f>
        <v/>
      </c>
      <c r="K1183" s="83">
        <f>_xlfn.NORM.INV(RAND(),ASSUMPTIONS!$C$43,ASSUMPTIONS!$C$71)</f>
        <v/>
      </c>
      <c r="L1183" s="84">
        <f>(((ASSUMPTIONS!$C$18*J1183*(1-ASSUMPTIONS!$C$20)+ASSUMPTIONS!$C$18*ASSUMPTIONS!$C$21-ASSUMPTIONS!$C$18*ASSUMPTIONS!$C$22)*(1+H1183)*(1-((1+H1183)/(1+I1183))^5)/(I1183-H1183))+((ASSUMPTIONS!$C$18*J1183*(1-ASSUMPTIONS!$C$20)+ASSUMPTIONS!$C$18*ASSUMPTIONS!$C$21-ASSUMPTIONS!$C$18*ASSUMPTIONS!$C$22)*(1+H1183)^5*(1+K1183)/(I1183-K1183)/(1+I1183)^5)-DCF!$C$12)/ASSUMPTIONS!$C$7</f>
        <v/>
      </c>
    </row>
    <row r="1184">
      <c r="H1184" s="83">
        <f>_xlfn.NORM.INV(RAND(),AVERAGE(ASSUMPTIONS!$C$38,ASSUMPTIONS!$C$39,ASSUMPTIONS!$C$40,ASSUMPTIONS!$C$41,ASSUMPTIONS!$C$42),ASSUMPTIONS!$C$68)</f>
        <v/>
      </c>
      <c r="I1184" s="83">
        <f>MAX(_xlfn.NORM.INV(RAND(),DCF!$C$11,ASSUMPTIONS!$C$69),K1184+0.005)</f>
        <v/>
      </c>
      <c r="J1184" s="83">
        <f>_xlfn.NORM.INV(RAND(),ASSUMPTIONS!$C$19,ASSUMPTIONS!$C$70)</f>
        <v/>
      </c>
      <c r="K1184" s="83">
        <f>_xlfn.NORM.INV(RAND(),ASSUMPTIONS!$C$43,ASSUMPTIONS!$C$71)</f>
        <v/>
      </c>
      <c r="L1184" s="84">
        <f>(((ASSUMPTIONS!$C$18*J1184*(1-ASSUMPTIONS!$C$20)+ASSUMPTIONS!$C$18*ASSUMPTIONS!$C$21-ASSUMPTIONS!$C$18*ASSUMPTIONS!$C$22)*(1+H1184)*(1-((1+H1184)/(1+I1184))^5)/(I1184-H1184))+((ASSUMPTIONS!$C$18*J1184*(1-ASSUMPTIONS!$C$20)+ASSUMPTIONS!$C$18*ASSUMPTIONS!$C$21-ASSUMPTIONS!$C$18*ASSUMPTIONS!$C$22)*(1+H1184)^5*(1+K1184)/(I1184-K1184)/(1+I1184)^5)-DCF!$C$12)/ASSUMPTIONS!$C$7</f>
        <v/>
      </c>
    </row>
    <row r="1185">
      <c r="H1185" s="83">
        <f>_xlfn.NORM.INV(RAND(),AVERAGE(ASSUMPTIONS!$C$38,ASSUMPTIONS!$C$39,ASSUMPTIONS!$C$40,ASSUMPTIONS!$C$41,ASSUMPTIONS!$C$42),ASSUMPTIONS!$C$68)</f>
        <v/>
      </c>
      <c r="I1185" s="83">
        <f>MAX(_xlfn.NORM.INV(RAND(),DCF!$C$11,ASSUMPTIONS!$C$69),K1185+0.005)</f>
        <v/>
      </c>
      <c r="J1185" s="83">
        <f>_xlfn.NORM.INV(RAND(),ASSUMPTIONS!$C$19,ASSUMPTIONS!$C$70)</f>
        <v/>
      </c>
      <c r="K1185" s="83">
        <f>_xlfn.NORM.INV(RAND(),ASSUMPTIONS!$C$43,ASSUMPTIONS!$C$71)</f>
        <v/>
      </c>
      <c r="L1185" s="84">
        <f>(((ASSUMPTIONS!$C$18*J1185*(1-ASSUMPTIONS!$C$20)+ASSUMPTIONS!$C$18*ASSUMPTIONS!$C$21-ASSUMPTIONS!$C$18*ASSUMPTIONS!$C$22)*(1+H1185)*(1-((1+H1185)/(1+I1185))^5)/(I1185-H1185))+((ASSUMPTIONS!$C$18*J1185*(1-ASSUMPTIONS!$C$20)+ASSUMPTIONS!$C$18*ASSUMPTIONS!$C$21-ASSUMPTIONS!$C$18*ASSUMPTIONS!$C$22)*(1+H1185)^5*(1+K1185)/(I1185-K1185)/(1+I1185)^5)-DCF!$C$12)/ASSUMPTIONS!$C$7</f>
        <v/>
      </c>
    </row>
    <row r="1186">
      <c r="H1186" s="83">
        <f>_xlfn.NORM.INV(RAND(),AVERAGE(ASSUMPTIONS!$C$38,ASSUMPTIONS!$C$39,ASSUMPTIONS!$C$40,ASSUMPTIONS!$C$41,ASSUMPTIONS!$C$42),ASSUMPTIONS!$C$68)</f>
        <v/>
      </c>
      <c r="I1186" s="83">
        <f>MAX(_xlfn.NORM.INV(RAND(),DCF!$C$11,ASSUMPTIONS!$C$69),K1186+0.005)</f>
        <v/>
      </c>
      <c r="J1186" s="83">
        <f>_xlfn.NORM.INV(RAND(),ASSUMPTIONS!$C$19,ASSUMPTIONS!$C$70)</f>
        <v/>
      </c>
      <c r="K1186" s="83">
        <f>_xlfn.NORM.INV(RAND(),ASSUMPTIONS!$C$43,ASSUMPTIONS!$C$71)</f>
        <v/>
      </c>
      <c r="L1186" s="84">
        <f>(((ASSUMPTIONS!$C$18*J1186*(1-ASSUMPTIONS!$C$20)+ASSUMPTIONS!$C$18*ASSUMPTIONS!$C$21-ASSUMPTIONS!$C$18*ASSUMPTIONS!$C$22)*(1+H1186)*(1-((1+H1186)/(1+I1186))^5)/(I1186-H1186))+((ASSUMPTIONS!$C$18*J1186*(1-ASSUMPTIONS!$C$20)+ASSUMPTIONS!$C$18*ASSUMPTIONS!$C$21-ASSUMPTIONS!$C$18*ASSUMPTIONS!$C$22)*(1+H1186)^5*(1+K1186)/(I1186-K1186)/(1+I1186)^5)-DCF!$C$12)/ASSUMPTIONS!$C$7</f>
        <v/>
      </c>
    </row>
    <row r="1187">
      <c r="H1187" s="83">
        <f>_xlfn.NORM.INV(RAND(),AVERAGE(ASSUMPTIONS!$C$38,ASSUMPTIONS!$C$39,ASSUMPTIONS!$C$40,ASSUMPTIONS!$C$41,ASSUMPTIONS!$C$42),ASSUMPTIONS!$C$68)</f>
        <v/>
      </c>
      <c r="I1187" s="83">
        <f>MAX(_xlfn.NORM.INV(RAND(),DCF!$C$11,ASSUMPTIONS!$C$69),K1187+0.005)</f>
        <v/>
      </c>
      <c r="J1187" s="83">
        <f>_xlfn.NORM.INV(RAND(),ASSUMPTIONS!$C$19,ASSUMPTIONS!$C$70)</f>
        <v/>
      </c>
      <c r="K1187" s="83">
        <f>_xlfn.NORM.INV(RAND(),ASSUMPTIONS!$C$43,ASSUMPTIONS!$C$71)</f>
        <v/>
      </c>
      <c r="L1187" s="84">
        <f>(((ASSUMPTIONS!$C$18*J1187*(1-ASSUMPTIONS!$C$20)+ASSUMPTIONS!$C$18*ASSUMPTIONS!$C$21-ASSUMPTIONS!$C$18*ASSUMPTIONS!$C$22)*(1+H1187)*(1-((1+H1187)/(1+I1187))^5)/(I1187-H1187))+((ASSUMPTIONS!$C$18*J1187*(1-ASSUMPTIONS!$C$20)+ASSUMPTIONS!$C$18*ASSUMPTIONS!$C$21-ASSUMPTIONS!$C$18*ASSUMPTIONS!$C$22)*(1+H1187)^5*(1+K1187)/(I1187-K1187)/(1+I1187)^5)-DCF!$C$12)/ASSUMPTIONS!$C$7</f>
        <v/>
      </c>
    </row>
    <row r="1188">
      <c r="H1188" s="83">
        <f>_xlfn.NORM.INV(RAND(),AVERAGE(ASSUMPTIONS!$C$38,ASSUMPTIONS!$C$39,ASSUMPTIONS!$C$40,ASSUMPTIONS!$C$41,ASSUMPTIONS!$C$42),ASSUMPTIONS!$C$68)</f>
        <v/>
      </c>
      <c r="I1188" s="83">
        <f>MAX(_xlfn.NORM.INV(RAND(),DCF!$C$11,ASSUMPTIONS!$C$69),K1188+0.005)</f>
        <v/>
      </c>
      <c r="J1188" s="83">
        <f>_xlfn.NORM.INV(RAND(),ASSUMPTIONS!$C$19,ASSUMPTIONS!$C$70)</f>
        <v/>
      </c>
      <c r="K1188" s="83">
        <f>_xlfn.NORM.INV(RAND(),ASSUMPTIONS!$C$43,ASSUMPTIONS!$C$71)</f>
        <v/>
      </c>
      <c r="L1188" s="84">
        <f>(((ASSUMPTIONS!$C$18*J1188*(1-ASSUMPTIONS!$C$20)+ASSUMPTIONS!$C$18*ASSUMPTIONS!$C$21-ASSUMPTIONS!$C$18*ASSUMPTIONS!$C$22)*(1+H1188)*(1-((1+H1188)/(1+I1188))^5)/(I1188-H1188))+((ASSUMPTIONS!$C$18*J1188*(1-ASSUMPTIONS!$C$20)+ASSUMPTIONS!$C$18*ASSUMPTIONS!$C$21-ASSUMPTIONS!$C$18*ASSUMPTIONS!$C$22)*(1+H1188)^5*(1+K1188)/(I1188-K1188)/(1+I1188)^5)-DCF!$C$12)/ASSUMPTIONS!$C$7</f>
        <v/>
      </c>
    </row>
    <row r="1189">
      <c r="H1189" s="83">
        <f>_xlfn.NORM.INV(RAND(),AVERAGE(ASSUMPTIONS!$C$38,ASSUMPTIONS!$C$39,ASSUMPTIONS!$C$40,ASSUMPTIONS!$C$41,ASSUMPTIONS!$C$42),ASSUMPTIONS!$C$68)</f>
        <v/>
      </c>
      <c r="I1189" s="83">
        <f>MAX(_xlfn.NORM.INV(RAND(),DCF!$C$11,ASSUMPTIONS!$C$69),K1189+0.005)</f>
        <v/>
      </c>
      <c r="J1189" s="83">
        <f>_xlfn.NORM.INV(RAND(),ASSUMPTIONS!$C$19,ASSUMPTIONS!$C$70)</f>
        <v/>
      </c>
      <c r="K1189" s="83">
        <f>_xlfn.NORM.INV(RAND(),ASSUMPTIONS!$C$43,ASSUMPTIONS!$C$71)</f>
        <v/>
      </c>
      <c r="L1189" s="84">
        <f>(((ASSUMPTIONS!$C$18*J1189*(1-ASSUMPTIONS!$C$20)+ASSUMPTIONS!$C$18*ASSUMPTIONS!$C$21-ASSUMPTIONS!$C$18*ASSUMPTIONS!$C$22)*(1+H1189)*(1-((1+H1189)/(1+I1189))^5)/(I1189-H1189))+((ASSUMPTIONS!$C$18*J1189*(1-ASSUMPTIONS!$C$20)+ASSUMPTIONS!$C$18*ASSUMPTIONS!$C$21-ASSUMPTIONS!$C$18*ASSUMPTIONS!$C$22)*(1+H1189)^5*(1+K1189)/(I1189-K1189)/(1+I1189)^5)-DCF!$C$12)/ASSUMPTIONS!$C$7</f>
        <v/>
      </c>
    </row>
    <row r="1190">
      <c r="H1190" s="83">
        <f>_xlfn.NORM.INV(RAND(),AVERAGE(ASSUMPTIONS!$C$38,ASSUMPTIONS!$C$39,ASSUMPTIONS!$C$40,ASSUMPTIONS!$C$41,ASSUMPTIONS!$C$42),ASSUMPTIONS!$C$68)</f>
        <v/>
      </c>
      <c r="I1190" s="83">
        <f>MAX(_xlfn.NORM.INV(RAND(),DCF!$C$11,ASSUMPTIONS!$C$69),K1190+0.005)</f>
        <v/>
      </c>
      <c r="J1190" s="83">
        <f>_xlfn.NORM.INV(RAND(),ASSUMPTIONS!$C$19,ASSUMPTIONS!$C$70)</f>
        <v/>
      </c>
      <c r="K1190" s="83">
        <f>_xlfn.NORM.INV(RAND(),ASSUMPTIONS!$C$43,ASSUMPTIONS!$C$71)</f>
        <v/>
      </c>
      <c r="L1190" s="84">
        <f>(((ASSUMPTIONS!$C$18*J1190*(1-ASSUMPTIONS!$C$20)+ASSUMPTIONS!$C$18*ASSUMPTIONS!$C$21-ASSUMPTIONS!$C$18*ASSUMPTIONS!$C$22)*(1+H1190)*(1-((1+H1190)/(1+I1190))^5)/(I1190-H1190))+((ASSUMPTIONS!$C$18*J1190*(1-ASSUMPTIONS!$C$20)+ASSUMPTIONS!$C$18*ASSUMPTIONS!$C$21-ASSUMPTIONS!$C$18*ASSUMPTIONS!$C$22)*(1+H1190)^5*(1+K1190)/(I1190-K1190)/(1+I1190)^5)-DCF!$C$12)/ASSUMPTIONS!$C$7</f>
        <v/>
      </c>
    </row>
    <row r="1191">
      <c r="H1191" s="83">
        <f>_xlfn.NORM.INV(RAND(),AVERAGE(ASSUMPTIONS!$C$38,ASSUMPTIONS!$C$39,ASSUMPTIONS!$C$40,ASSUMPTIONS!$C$41,ASSUMPTIONS!$C$42),ASSUMPTIONS!$C$68)</f>
        <v/>
      </c>
      <c r="I1191" s="83">
        <f>MAX(_xlfn.NORM.INV(RAND(),DCF!$C$11,ASSUMPTIONS!$C$69),K1191+0.005)</f>
        <v/>
      </c>
      <c r="J1191" s="83">
        <f>_xlfn.NORM.INV(RAND(),ASSUMPTIONS!$C$19,ASSUMPTIONS!$C$70)</f>
        <v/>
      </c>
      <c r="K1191" s="83">
        <f>_xlfn.NORM.INV(RAND(),ASSUMPTIONS!$C$43,ASSUMPTIONS!$C$71)</f>
        <v/>
      </c>
      <c r="L1191" s="84">
        <f>(((ASSUMPTIONS!$C$18*J1191*(1-ASSUMPTIONS!$C$20)+ASSUMPTIONS!$C$18*ASSUMPTIONS!$C$21-ASSUMPTIONS!$C$18*ASSUMPTIONS!$C$22)*(1+H1191)*(1-((1+H1191)/(1+I1191))^5)/(I1191-H1191))+((ASSUMPTIONS!$C$18*J1191*(1-ASSUMPTIONS!$C$20)+ASSUMPTIONS!$C$18*ASSUMPTIONS!$C$21-ASSUMPTIONS!$C$18*ASSUMPTIONS!$C$22)*(1+H1191)^5*(1+K1191)/(I1191-K1191)/(1+I1191)^5)-DCF!$C$12)/ASSUMPTIONS!$C$7</f>
        <v/>
      </c>
    </row>
    <row r="1192">
      <c r="H1192" s="83">
        <f>_xlfn.NORM.INV(RAND(),AVERAGE(ASSUMPTIONS!$C$38,ASSUMPTIONS!$C$39,ASSUMPTIONS!$C$40,ASSUMPTIONS!$C$41,ASSUMPTIONS!$C$42),ASSUMPTIONS!$C$68)</f>
        <v/>
      </c>
      <c r="I1192" s="83">
        <f>MAX(_xlfn.NORM.INV(RAND(),DCF!$C$11,ASSUMPTIONS!$C$69),K1192+0.005)</f>
        <v/>
      </c>
      <c r="J1192" s="83">
        <f>_xlfn.NORM.INV(RAND(),ASSUMPTIONS!$C$19,ASSUMPTIONS!$C$70)</f>
        <v/>
      </c>
      <c r="K1192" s="83">
        <f>_xlfn.NORM.INV(RAND(),ASSUMPTIONS!$C$43,ASSUMPTIONS!$C$71)</f>
        <v/>
      </c>
      <c r="L1192" s="84">
        <f>(((ASSUMPTIONS!$C$18*J1192*(1-ASSUMPTIONS!$C$20)+ASSUMPTIONS!$C$18*ASSUMPTIONS!$C$21-ASSUMPTIONS!$C$18*ASSUMPTIONS!$C$22)*(1+H1192)*(1-((1+H1192)/(1+I1192))^5)/(I1192-H1192))+((ASSUMPTIONS!$C$18*J1192*(1-ASSUMPTIONS!$C$20)+ASSUMPTIONS!$C$18*ASSUMPTIONS!$C$21-ASSUMPTIONS!$C$18*ASSUMPTIONS!$C$22)*(1+H1192)^5*(1+K1192)/(I1192-K1192)/(1+I1192)^5)-DCF!$C$12)/ASSUMPTIONS!$C$7</f>
        <v/>
      </c>
    </row>
    <row r="1193">
      <c r="H1193" s="83">
        <f>_xlfn.NORM.INV(RAND(),AVERAGE(ASSUMPTIONS!$C$38,ASSUMPTIONS!$C$39,ASSUMPTIONS!$C$40,ASSUMPTIONS!$C$41,ASSUMPTIONS!$C$42),ASSUMPTIONS!$C$68)</f>
        <v/>
      </c>
      <c r="I1193" s="83">
        <f>MAX(_xlfn.NORM.INV(RAND(),DCF!$C$11,ASSUMPTIONS!$C$69),K1193+0.005)</f>
        <v/>
      </c>
      <c r="J1193" s="83">
        <f>_xlfn.NORM.INV(RAND(),ASSUMPTIONS!$C$19,ASSUMPTIONS!$C$70)</f>
        <v/>
      </c>
      <c r="K1193" s="83">
        <f>_xlfn.NORM.INV(RAND(),ASSUMPTIONS!$C$43,ASSUMPTIONS!$C$71)</f>
        <v/>
      </c>
      <c r="L1193" s="84">
        <f>(((ASSUMPTIONS!$C$18*J1193*(1-ASSUMPTIONS!$C$20)+ASSUMPTIONS!$C$18*ASSUMPTIONS!$C$21-ASSUMPTIONS!$C$18*ASSUMPTIONS!$C$22)*(1+H1193)*(1-((1+H1193)/(1+I1193))^5)/(I1193-H1193))+((ASSUMPTIONS!$C$18*J1193*(1-ASSUMPTIONS!$C$20)+ASSUMPTIONS!$C$18*ASSUMPTIONS!$C$21-ASSUMPTIONS!$C$18*ASSUMPTIONS!$C$22)*(1+H1193)^5*(1+K1193)/(I1193-K1193)/(1+I1193)^5)-DCF!$C$12)/ASSUMPTIONS!$C$7</f>
        <v/>
      </c>
    </row>
    <row r="1194">
      <c r="H1194" s="83">
        <f>_xlfn.NORM.INV(RAND(),AVERAGE(ASSUMPTIONS!$C$38,ASSUMPTIONS!$C$39,ASSUMPTIONS!$C$40,ASSUMPTIONS!$C$41,ASSUMPTIONS!$C$42),ASSUMPTIONS!$C$68)</f>
        <v/>
      </c>
      <c r="I1194" s="83">
        <f>MAX(_xlfn.NORM.INV(RAND(),DCF!$C$11,ASSUMPTIONS!$C$69),K1194+0.005)</f>
        <v/>
      </c>
      <c r="J1194" s="83">
        <f>_xlfn.NORM.INV(RAND(),ASSUMPTIONS!$C$19,ASSUMPTIONS!$C$70)</f>
        <v/>
      </c>
      <c r="K1194" s="83">
        <f>_xlfn.NORM.INV(RAND(),ASSUMPTIONS!$C$43,ASSUMPTIONS!$C$71)</f>
        <v/>
      </c>
      <c r="L1194" s="84">
        <f>(((ASSUMPTIONS!$C$18*J1194*(1-ASSUMPTIONS!$C$20)+ASSUMPTIONS!$C$18*ASSUMPTIONS!$C$21-ASSUMPTIONS!$C$18*ASSUMPTIONS!$C$22)*(1+H1194)*(1-((1+H1194)/(1+I1194))^5)/(I1194-H1194))+((ASSUMPTIONS!$C$18*J1194*(1-ASSUMPTIONS!$C$20)+ASSUMPTIONS!$C$18*ASSUMPTIONS!$C$21-ASSUMPTIONS!$C$18*ASSUMPTIONS!$C$22)*(1+H1194)^5*(1+K1194)/(I1194-K1194)/(1+I1194)^5)-DCF!$C$12)/ASSUMPTIONS!$C$7</f>
        <v/>
      </c>
    </row>
    <row r="1195">
      <c r="H1195" s="83">
        <f>_xlfn.NORM.INV(RAND(),AVERAGE(ASSUMPTIONS!$C$38,ASSUMPTIONS!$C$39,ASSUMPTIONS!$C$40,ASSUMPTIONS!$C$41,ASSUMPTIONS!$C$42),ASSUMPTIONS!$C$68)</f>
        <v/>
      </c>
      <c r="I1195" s="83">
        <f>MAX(_xlfn.NORM.INV(RAND(),DCF!$C$11,ASSUMPTIONS!$C$69),K1195+0.005)</f>
        <v/>
      </c>
      <c r="J1195" s="83">
        <f>_xlfn.NORM.INV(RAND(),ASSUMPTIONS!$C$19,ASSUMPTIONS!$C$70)</f>
        <v/>
      </c>
      <c r="K1195" s="83">
        <f>_xlfn.NORM.INV(RAND(),ASSUMPTIONS!$C$43,ASSUMPTIONS!$C$71)</f>
        <v/>
      </c>
      <c r="L1195" s="84">
        <f>(((ASSUMPTIONS!$C$18*J1195*(1-ASSUMPTIONS!$C$20)+ASSUMPTIONS!$C$18*ASSUMPTIONS!$C$21-ASSUMPTIONS!$C$18*ASSUMPTIONS!$C$22)*(1+H1195)*(1-((1+H1195)/(1+I1195))^5)/(I1195-H1195))+((ASSUMPTIONS!$C$18*J1195*(1-ASSUMPTIONS!$C$20)+ASSUMPTIONS!$C$18*ASSUMPTIONS!$C$21-ASSUMPTIONS!$C$18*ASSUMPTIONS!$C$22)*(1+H1195)^5*(1+K1195)/(I1195-K1195)/(1+I1195)^5)-DCF!$C$12)/ASSUMPTIONS!$C$7</f>
        <v/>
      </c>
    </row>
    <row r="1196">
      <c r="H1196" s="83">
        <f>_xlfn.NORM.INV(RAND(),AVERAGE(ASSUMPTIONS!$C$38,ASSUMPTIONS!$C$39,ASSUMPTIONS!$C$40,ASSUMPTIONS!$C$41,ASSUMPTIONS!$C$42),ASSUMPTIONS!$C$68)</f>
        <v/>
      </c>
      <c r="I1196" s="83">
        <f>MAX(_xlfn.NORM.INV(RAND(),DCF!$C$11,ASSUMPTIONS!$C$69),K1196+0.005)</f>
        <v/>
      </c>
      <c r="J1196" s="83">
        <f>_xlfn.NORM.INV(RAND(),ASSUMPTIONS!$C$19,ASSUMPTIONS!$C$70)</f>
        <v/>
      </c>
      <c r="K1196" s="83">
        <f>_xlfn.NORM.INV(RAND(),ASSUMPTIONS!$C$43,ASSUMPTIONS!$C$71)</f>
        <v/>
      </c>
      <c r="L1196" s="84">
        <f>(((ASSUMPTIONS!$C$18*J1196*(1-ASSUMPTIONS!$C$20)+ASSUMPTIONS!$C$18*ASSUMPTIONS!$C$21-ASSUMPTIONS!$C$18*ASSUMPTIONS!$C$22)*(1+H1196)*(1-((1+H1196)/(1+I1196))^5)/(I1196-H1196))+((ASSUMPTIONS!$C$18*J1196*(1-ASSUMPTIONS!$C$20)+ASSUMPTIONS!$C$18*ASSUMPTIONS!$C$21-ASSUMPTIONS!$C$18*ASSUMPTIONS!$C$22)*(1+H1196)^5*(1+K1196)/(I1196-K1196)/(1+I1196)^5)-DCF!$C$12)/ASSUMPTIONS!$C$7</f>
        <v/>
      </c>
    </row>
    <row r="1197">
      <c r="H1197" s="83">
        <f>_xlfn.NORM.INV(RAND(),AVERAGE(ASSUMPTIONS!$C$38,ASSUMPTIONS!$C$39,ASSUMPTIONS!$C$40,ASSUMPTIONS!$C$41,ASSUMPTIONS!$C$42),ASSUMPTIONS!$C$68)</f>
        <v/>
      </c>
      <c r="I1197" s="83">
        <f>MAX(_xlfn.NORM.INV(RAND(),DCF!$C$11,ASSUMPTIONS!$C$69),K1197+0.005)</f>
        <v/>
      </c>
      <c r="J1197" s="83">
        <f>_xlfn.NORM.INV(RAND(),ASSUMPTIONS!$C$19,ASSUMPTIONS!$C$70)</f>
        <v/>
      </c>
      <c r="K1197" s="83">
        <f>_xlfn.NORM.INV(RAND(),ASSUMPTIONS!$C$43,ASSUMPTIONS!$C$71)</f>
        <v/>
      </c>
      <c r="L1197" s="84">
        <f>(((ASSUMPTIONS!$C$18*J1197*(1-ASSUMPTIONS!$C$20)+ASSUMPTIONS!$C$18*ASSUMPTIONS!$C$21-ASSUMPTIONS!$C$18*ASSUMPTIONS!$C$22)*(1+H1197)*(1-((1+H1197)/(1+I1197))^5)/(I1197-H1197))+((ASSUMPTIONS!$C$18*J1197*(1-ASSUMPTIONS!$C$20)+ASSUMPTIONS!$C$18*ASSUMPTIONS!$C$21-ASSUMPTIONS!$C$18*ASSUMPTIONS!$C$22)*(1+H1197)^5*(1+K1197)/(I1197-K1197)/(1+I1197)^5)-DCF!$C$12)/ASSUMPTIONS!$C$7</f>
        <v/>
      </c>
    </row>
    <row r="1198">
      <c r="H1198" s="83">
        <f>_xlfn.NORM.INV(RAND(),AVERAGE(ASSUMPTIONS!$C$38,ASSUMPTIONS!$C$39,ASSUMPTIONS!$C$40,ASSUMPTIONS!$C$41,ASSUMPTIONS!$C$42),ASSUMPTIONS!$C$68)</f>
        <v/>
      </c>
      <c r="I1198" s="83">
        <f>MAX(_xlfn.NORM.INV(RAND(),DCF!$C$11,ASSUMPTIONS!$C$69),K1198+0.005)</f>
        <v/>
      </c>
      <c r="J1198" s="83">
        <f>_xlfn.NORM.INV(RAND(),ASSUMPTIONS!$C$19,ASSUMPTIONS!$C$70)</f>
        <v/>
      </c>
      <c r="K1198" s="83">
        <f>_xlfn.NORM.INV(RAND(),ASSUMPTIONS!$C$43,ASSUMPTIONS!$C$71)</f>
        <v/>
      </c>
      <c r="L1198" s="84">
        <f>(((ASSUMPTIONS!$C$18*J1198*(1-ASSUMPTIONS!$C$20)+ASSUMPTIONS!$C$18*ASSUMPTIONS!$C$21-ASSUMPTIONS!$C$18*ASSUMPTIONS!$C$22)*(1+H1198)*(1-((1+H1198)/(1+I1198))^5)/(I1198-H1198))+((ASSUMPTIONS!$C$18*J1198*(1-ASSUMPTIONS!$C$20)+ASSUMPTIONS!$C$18*ASSUMPTIONS!$C$21-ASSUMPTIONS!$C$18*ASSUMPTIONS!$C$22)*(1+H1198)^5*(1+K1198)/(I1198-K1198)/(1+I1198)^5)-DCF!$C$12)/ASSUMPTIONS!$C$7</f>
        <v/>
      </c>
    </row>
    <row r="1199">
      <c r="H1199" s="83">
        <f>_xlfn.NORM.INV(RAND(),AVERAGE(ASSUMPTIONS!$C$38,ASSUMPTIONS!$C$39,ASSUMPTIONS!$C$40,ASSUMPTIONS!$C$41,ASSUMPTIONS!$C$42),ASSUMPTIONS!$C$68)</f>
        <v/>
      </c>
      <c r="I1199" s="83">
        <f>MAX(_xlfn.NORM.INV(RAND(),DCF!$C$11,ASSUMPTIONS!$C$69),K1199+0.005)</f>
        <v/>
      </c>
      <c r="J1199" s="83">
        <f>_xlfn.NORM.INV(RAND(),ASSUMPTIONS!$C$19,ASSUMPTIONS!$C$70)</f>
        <v/>
      </c>
      <c r="K1199" s="83">
        <f>_xlfn.NORM.INV(RAND(),ASSUMPTIONS!$C$43,ASSUMPTIONS!$C$71)</f>
        <v/>
      </c>
      <c r="L1199" s="84">
        <f>(((ASSUMPTIONS!$C$18*J1199*(1-ASSUMPTIONS!$C$20)+ASSUMPTIONS!$C$18*ASSUMPTIONS!$C$21-ASSUMPTIONS!$C$18*ASSUMPTIONS!$C$22)*(1+H1199)*(1-((1+H1199)/(1+I1199))^5)/(I1199-H1199))+((ASSUMPTIONS!$C$18*J1199*(1-ASSUMPTIONS!$C$20)+ASSUMPTIONS!$C$18*ASSUMPTIONS!$C$21-ASSUMPTIONS!$C$18*ASSUMPTIONS!$C$22)*(1+H1199)^5*(1+K1199)/(I1199-K1199)/(1+I1199)^5)-DCF!$C$12)/ASSUMPTIONS!$C$7</f>
        <v/>
      </c>
    </row>
    <row r="1200">
      <c r="H1200" s="83">
        <f>_xlfn.NORM.INV(RAND(),AVERAGE(ASSUMPTIONS!$C$38,ASSUMPTIONS!$C$39,ASSUMPTIONS!$C$40,ASSUMPTIONS!$C$41,ASSUMPTIONS!$C$42),ASSUMPTIONS!$C$68)</f>
        <v/>
      </c>
      <c r="I1200" s="83">
        <f>MAX(_xlfn.NORM.INV(RAND(),DCF!$C$11,ASSUMPTIONS!$C$69),K1200+0.005)</f>
        <v/>
      </c>
      <c r="J1200" s="83">
        <f>_xlfn.NORM.INV(RAND(),ASSUMPTIONS!$C$19,ASSUMPTIONS!$C$70)</f>
        <v/>
      </c>
      <c r="K1200" s="83">
        <f>_xlfn.NORM.INV(RAND(),ASSUMPTIONS!$C$43,ASSUMPTIONS!$C$71)</f>
        <v/>
      </c>
      <c r="L1200" s="84">
        <f>(((ASSUMPTIONS!$C$18*J1200*(1-ASSUMPTIONS!$C$20)+ASSUMPTIONS!$C$18*ASSUMPTIONS!$C$21-ASSUMPTIONS!$C$18*ASSUMPTIONS!$C$22)*(1+H1200)*(1-((1+H1200)/(1+I1200))^5)/(I1200-H1200))+((ASSUMPTIONS!$C$18*J1200*(1-ASSUMPTIONS!$C$20)+ASSUMPTIONS!$C$18*ASSUMPTIONS!$C$21-ASSUMPTIONS!$C$18*ASSUMPTIONS!$C$22)*(1+H1200)^5*(1+K1200)/(I1200-K1200)/(1+I1200)^5)-DCF!$C$12)/ASSUMPTIONS!$C$7</f>
        <v/>
      </c>
    </row>
    <row r="1201">
      <c r="H1201" s="83">
        <f>_xlfn.NORM.INV(RAND(),AVERAGE(ASSUMPTIONS!$C$38,ASSUMPTIONS!$C$39,ASSUMPTIONS!$C$40,ASSUMPTIONS!$C$41,ASSUMPTIONS!$C$42),ASSUMPTIONS!$C$68)</f>
        <v/>
      </c>
      <c r="I1201" s="83">
        <f>MAX(_xlfn.NORM.INV(RAND(),DCF!$C$11,ASSUMPTIONS!$C$69),K1201+0.005)</f>
        <v/>
      </c>
      <c r="J1201" s="83">
        <f>_xlfn.NORM.INV(RAND(),ASSUMPTIONS!$C$19,ASSUMPTIONS!$C$70)</f>
        <v/>
      </c>
      <c r="K1201" s="83">
        <f>_xlfn.NORM.INV(RAND(),ASSUMPTIONS!$C$43,ASSUMPTIONS!$C$71)</f>
        <v/>
      </c>
      <c r="L1201" s="84">
        <f>(((ASSUMPTIONS!$C$18*J1201*(1-ASSUMPTIONS!$C$20)+ASSUMPTIONS!$C$18*ASSUMPTIONS!$C$21-ASSUMPTIONS!$C$18*ASSUMPTIONS!$C$22)*(1+H1201)*(1-((1+H1201)/(1+I1201))^5)/(I1201-H1201))+((ASSUMPTIONS!$C$18*J1201*(1-ASSUMPTIONS!$C$20)+ASSUMPTIONS!$C$18*ASSUMPTIONS!$C$21-ASSUMPTIONS!$C$18*ASSUMPTIONS!$C$22)*(1+H1201)^5*(1+K1201)/(I1201-K1201)/(1+I1201)^5)-DCF!$C$12)/ASSUMPTIONS!$C$7</f>
        <v/>
      </c>
    </row>
    <row r="1202">
      <c r="H1202" s="83">
        <f>_xlfn.NORM.INV(RAND(),AVERAGE(ASSUMPTIONS!$C$38,ASSUMPTIONS!$C$39,ASSUMPTIONS!$C$40,ASSUMPTIONS!$C$41,ASSUMPTIONS!$C$42),ASSUMPTIONS!$C$68)</f>
        <v/>
      </c>
      <c r="I1202" s="83">
        <f>MAX(_xlfn.NORM.INV(RAND(),DCF!$C$11,ASSUMPTIONS!$C$69),K1202+0.005)</f>
        <v/>
      </c>
      <c r="J1202" s="83">
        <f>_xlfn.NORM.INV(RAND(),ASSUMPTIONS!$C$19,ASSUMPTIONS!$C$70)</f>
        <v/>
      </c>
      <c r="K1202" s="83">
        <f>_xlfn.NORM.INV(RAND(),ASSUMPTIONS!$C$43,ASSUMPTIONS!$C$71)</f>
        <v/>
      </c>
      <c r="L1202" s="84">
        <f>(((ASSUMPTIONS!$C$18*J1202*(1-ASSUMPTIONS!$C$20)+ASSUMPTIONS!$C$18*ASSUMPTIONS!$C$21-ASSUMPTIONS!$C$18*ASSUMPTIONS!$C$22)*(1+H1202)*(1-((1+H1202)/(1+I1202))^5)/(I1202-H1202))+((ASSUMPTIONS!$C$18*J1202*(1-ASSUMPTIONS!$C$20)+ASSUMPTIONS!$C$18*ASSUMPTIONS!$C$21-ASSUMPTIONS!$C$18*ASSUMPTIONS!$C$22)*(1+H1202)^5*(1+K1202)/(I1202-K1202)/(1+I1202)^5)-DCF!$C$12)/ASSUMPTIONS!$C$7</f>
        <v/>
      </c>
    </row>
    <row r="1203">
      <c r="H1203" s="83">
        <f>_xlfn.NORM.INV(RAND(),AVERAGE(ASSUMPTIONS!$C$38,ASSUMPTIONS!$C$39,ASSUMPTIONS!$C$40,ASSUMPTIONS!$C$41,ASSUMPTIONS!$C$42),ASSUMPTIONS!$C$68)</f>
        <v/>
      </c>
      <c r="I1203" s="83">
        <f>MAX(_xlfn.NORM.INV(RAND(),DCF!$C$11,ASSUMPTIONS!$C$69),K1203+0.005)</f>
        <v/>
      </c>
      <c r="J1203" s="83">
        <f>_xlfn.NORM.INV(RAND(),ASSUMPTIONS!$C$19,ASSUMPTIONS!$C$70)</f>
        <v/>
      </c>
      <c r="K1203" s="83">
        <f>_xlfn.NORM.INV(RAND(),ASSUMPTIONS!$C$43,ASSUMPTIONS!$C$71)</f>
        <v/>
      </c>
      <c r="L1203" s="84">
        <f>(((ASSUMPTIONS!$C$18*J1203*(1-ASSUMPTIONS!$C$20)+ASSUMPTIONS!$C$18*ASSUMPTIONS!$C$21-ASSUMPTIONS!$C$18*ASSUMPTIONS!$C$22)*(1+H1203)*(1-((1+H1203)/(1+I1203))^5)/(I1203-H1203))+((ASSUMPTIONS!$C$18*J1203*(1-ASSUMPTIONS!$C$20)+ASSUMPTIONS!$C$18*ASSUMPTIONS!$C$21-ASSUMPTIONS!$C$18*ASSUMPTIONS!$C$22)*(1+H1203)^5*(1+K1203)/(I1203-K1203)/(1+I1203)^5)-DCF!$C$12)/ASSUMPTIONS!$C$7</f>
        <v/>
      </c>
    </row>
    <row r="1204">
      <c r="H1204" s="83">
        <f>_xlfn.NORM.INV(RAND(),AVERAGE(ASSUMPTIONS!$C$38,ASSUMPTIONS!$C$39,ASSUMPTIONS!$C$40,ASSUMPTIONS!$C$41,ASSUMPTIONS!$C$42),ASSUMPTIONS!$C$68)</f>
        <v/>
      </c>
      <c r="I1204" s="83">
        <f>MAX(_xlfn.NORM.INV(RAND(),DCF!$C$11,ASSUMPTIONS!$C$69),K1204+0.005)</f>
        <v/>
      </c>
      <c r="J1204" s="83">
        <f>_xlfn.NORM.INV(RAND(),ASSUMPTIONS!$C$19,ASSUMPTIONS!$C$70)</f>
        <v/>
      </c>
      <c r="K1204" s="83">
        <f>_xlfn.NORM.INV(RAND(),ASSUMPTIONS!$C$43,ASSUMPTIONS!$C$71)</f>
        <v/>
      </c>
      <c r="L1204" s="84">
        <f>(((ASSUMPTIONS!$C$18*J1204*(1-ASSUMPTIONS!$C$20)+ASSUMPTIONS!$C$18*ASSUMPTIONS!$C$21-ASSUMPTIONS!$C$18*ASSUMPTIONS!$C$22)*(1+H1204)*(1-((1+H1204)/(1+I1204))^5)/(I1204-H1204))+((ASSUMPTIONS!$C$18*J1204*(1-ASSUMPTIONS!$C$20)+ASSUMPTIONS!$C$18*ASSUMPTIONS!$C$21-ASSUMPTIONS!$C$18*ASSUMPTIONS!$C$22)*(1+H1204)^5*(1+K1204)/(I1204-K1204)/(1+I1204)^5)-DCF!$C$12)/ASSUMPTIONS!$C$7</f>
        <v/>
      </c>
    </row>
    <row r="1205">
      <c r="H1205" s="83">
        <f>_xlfn.NORM.INV(RAND(),AVERAGE(ASSUMPTIONS!$C$38,ASSUMPTIONS!$C$39,ASSUMPTIONS!$C$40,ASSUMPTIONS!$C$41,ASSUMPTIONS!$C$42),ASSUMPTIONS!$C$68)</f>
        <v/>
      </c>
      <c r="I1205" s="83">
        <f>MAX(_xlfn.NORM.INV(RAND(),DCF!$C$11,ASSUMPTIONS!$C$69),K1205+0.005)</f>
        <v/>
      </c>
      <c r="J1205" s="83">
        <f>_xlfn.NORM.INV(RAND(),ASSUMPTIONS!$C$19,ASSUMPTIONS!$C$70)</f>
        <v/>
      </c>
      <c r="K1205" s="83">
        <f>_xlfn.NORM.INV(RAND(),ASSUMPTIONS!$C$43,ASSUMPTIONS!$C$71)</f>
        <v/>
      </c>
      <c r="L1205" s="84">
        <f>(((ASSUMPTIONS!$C$18*J1205*(1-ASSUMPTIONS!$C$20)+ASSUMPTIONS!$C$18*ASSUMPTIONS!$C$21-ASSUMPTIONS!$C$18*ASSUMPTIONS!$C$22)*(1+H1205)*(1-((1+H1205)/(1+I1205))^5)/(I1205-H1205))+((ASSUMPTIONS!$C$18*J1205*(1-ASSUMPTIONS!$C$20)+ASSUMPTIONS!$C$18*ASSUMPTIONS!$C$21-ASSUMPTIONS!$C$18*ASSUMPTIONS!$C$22)*(1+H1205)^5*(1+K1205)/(I1205-K1205)/(1+I1205)^5)-DCF!$C$12)/ASSUMPTIONS!$C$7</f>
        <v/>
      </c>
    </row>
    <row r="1206">
      <c r="H1206" s="83">
        <f>_xlfn.NORM.INV(RAND(),AVERAGE(ASSUMPTIONS!$C$38,ASSUMPTIONS!$C$39,ASSUMPTIONS!$C$40,ASSUMPTIONS!$C$41,ASSUMPTIONS!$C$42),ASSUMPTIONS!$C$68)</f>
        <v/>
      </c>
      <c r="I1206" s="83">
        <f>MAX(_xlfn.NORM.INV(RAND(),DCF!$C$11,ASSUMPTIONS!$C$69),K1206+0.005)</f>
        <v/>
      </c>
      <c r="J1206" s="83">
        <f>_xlfn.NORM.INV(RAND(),ASSUMPTIONS!$C$19,ASSUMPTIONS!$C$70)</f>
        <v/>
      </c>
      <c r="K1206" s="83">
        <f>_xlfn.NORM.INV(RAND(),ASSUMPTIONS!$C$43,ASSUMPTIONS!$C$71)</f>
        <v/>
      </c>
      <c r="L1206" s="84">
        <f>(((ASSUMPTIONS!$C$18*J1206*(1-ASSUMPTIONS!$C$20)+ASSUMPTIONS!$C$18*ASSUMPTIONS!$C$21-ASSUMPTIONS!$C$18*ASSUMPTIONS!$C$22)*(1+H1206)*(1-((1+H1206)/(1+I1206))^5)/(I1206-H1206))+((ASSUMPTIONS!$C$18*J1206*(1-ASSUMPTIONS!$C$20)+ASSUMPTIONS!$C$18*ASSUMPTIONS!$C$21-ASSUMPTIONS!$C$18*ASSUMPTIONS!$C$22)*(1+H1206)^5*(1+K1206)/(I1206-K1206)/(1+I1206)^5)-DCF!$C$12)/ASSUMPTIONS!$C$7</f>
        <v/>
      </c>
    </row>
    <row r="1207">
      <c r="H1207" s="83">
        <f>_xlfn.NORM.INV(RAND(),AVERAGE(ASSUMPTIONS!$C$38,ASSUMPTIONS!$C$39,ASSUMPTIONS!$C$40,ASSUMPTIONS!$C$41,ASSUMPTIONS!$C$42),ASSUMPTIONS!$C$68)</f>
        <v/>
      </c>
      <c r="I1207" s="83">
        <f>MAX(_xlfn.NORM.INV(RAND(),DCF!$C$11,ASSUMPTIONS!$C$69),K1207+0.005)</f>
        <v/>
      </c>
      <c r="J1207" s="83">
        <f>_xlfn.NORM.INV(RAND(),ASSUMPTIONS!$C$19,ASSUMPTIONS!$C$70)</f>
        <v/>
      </c>
      <c r="K1207" s="83">
        <f>_xlfn.NORM.INV(RAND(),ASSUMPTIONS!$C$43,ASSUMPTIONS!$C$71)</f>
        <v/>
      </c>
      <c r="L1207" s="84">
        <f>(((ASSUMPTIONS!$C$18*J1207*(1-ASSUMPTIONS!$C$20)+ASSUMPTIONS!$C$18*ASSUMPTIONS!$C$21-ASSUMPTIONS!$C$18*ASSUMPTIONS!$C$22)*(1+H1207)*(1-((1+H1207)/(1+I1207))^5)/(I1207-H1207))+((ASSUMPTIONS!$C$18*J1207*(1-ASSUMPTIONS!$C$20)+ASSUMPTIONS!$C$18*ASSUMPTIONS!$C$21-ASSUMPTIONS!$C$18*ASSUMPTIONS!$C$22)*(1+H1207)^5*(1+K1207)/(I1207-K1207)/(1+I1207)^5)-DCF!$C$12)/ASSUMPTIONS!$C$7</f>
        <v/>
      </c>
    </row>
    <row r="1208">
      <c r="H1208" s="83">
        <f>_xlfn.NORM.INV(RAND(),AVERAGE(ASSUMPTIONS!$C$38,ASSUMPTIONS!$C$39,ASSUMPTIONS!$C$40,ASSUMPTIONS!$C$41,ASSUMPTIONS!$C$42),ASSUMPTIONS!$C$68)</f>
        <v/>
      </c>
      <c r="I1208" s="83">
        <f>MAX(_xlfn.NORM.INV(RAND(),DCF!$C$11,ASSUMPTIONS!$C$69),K1208+0.005)</f>
        <v/>
      </c>
      <c r="J1208" s="83">
        <f>_xlfn.NORM.INV(RAND(),ASSUMPTIONS!$C$19,ASSUMPTIONS!$C$70)</f>
        <v/>
      </c>
      <c r="K1208" s="83">
        <f>_xlfn.NORM.INV(RAND(),ASSUMPTIONS!$C$43,ASSUMPTIONS!$C$71)</f>
        <v/>
      </c>
      <c r="L1208" s="84">
        <f>(((ASSUMPTIONS!$C$18*J1208*(1-ASSUMPTIONS!$C$20)+ASSUMPTIONS!$C$18*ASSUMPTIONS!$C$21-ASSUMPTIONS!$C$18*ASSUMPTIONS!$C$22)*(1+H1208)*(1-((1+H1208)/(1+I1208))^5)/(I1208-H1208))+((ASSUMPTIONS!$C$18*J1208*(1-ASSUMPTIONS!$C$20)+ASSUMPTIONS!$C$18*ASSUMPTIONS!$C$21-ASSUMPTIONS!$C$18*ASSUMPTIONS!$C$22)*(1+H1208)^5*(1+K1208)/(I1208-K1208)/(1+I1208)^5)-DCF!$C$12)/ASSUMPTIONS!$C$7</f>
        <v/>
      </c>
    </row>
    <row r="1209">
      <c r="H1209" s="83">
        <f>_xlfn.NORM.INV(RAND(),AVERAGE(ASSUMPTIONS!$C$38,ASSUMPTIONS!$C$39,ASSUMPTIONS!$C$40,ASSUMPTIONS!$C$41,ASSUMPTIONS!$C$42),ASSUMPTIONS!$C$68)</f>
        <v/>
      </c>
      <c r="I1209" s="83">
        <f>MAX(_xlfn.NORM.INV(RAND(),DCF!$C$11,ASSUMPTIONS!$C$69),K1209+0.005)</f>
        <v/>
      </c>
      <c r="J1209" s="83">
        <f>_xlfn.NORM.INV(RAND(),ASSUMPTIONS!$C$19,ASSUMPTIONS!$C$70)</f>
        <v/>
      </c>
      <c r="K1209" s="83">
        <f>_xlfn.NORM.INV(RAND(),ASSUMPTIONS!$C$43,ASSUMPTIONS!$C$71)</f>
        <v/>
      </c>
      <c r="L1209" s="84">
        <f>(((ASSUMPTIONS!$C$18*J1209*(1-ASSUMPTIONS!$C$20)+ASSUMPTIONS!$C$18*ASSUMPTIONS!$C$21-ASSUMPTIONS!$C$18*ASSUMPTIONS!$C$22)*(1+H1209)*(1-((1+H1209)/(1+I1209))^5)/(I1209-H1209))+((ASSUMPTIONS!$C$18*J1209*(1-ASSUMPTIONS!$C$20)+ASSUMPTIONS!$C$18*ASSUMPTIONS!$C$21-ASSUMPTIONS!$C$18*ASSUMPTIONS!$C$22)*(1+H1209)^5*(1+K1209)/(I1209-K1209)/(1+I1209)^5)-DCF!$C$12)/ASSUMPTIONS!$C$7</f>
        <v/>
      </c>
    </row>
    <row r="1210">
      <c r="H1210" s="83">
        <f>_xlfn.NORM.INV(RAND(),AVERAGE(ASSUMPTIONS!$C$38,ASSUMPTIONS!$C$39,ASSUMPTIONS!$C$40,ASSUMPTIONS!$C$41,ASSUMPTIONS!$C$42),ASSUMPTIONS!$C$68)</f>
        <v/>
      </c>
      <c r="I1210" s="83">
        <f>MAX(_xlfn.NORM.INV(RAND(),DCF!$C$11,ASSUMPTIONS!$C$69),K1210+0.005)</f>
        <v/>
      </c>
      <c r="J1210" s="83">
        <f>_xlfn.NORM.INV(RAND(),ASSUMPTIONS!$C$19,ASSUMPTIONS!$C$70)</f>
        <v/>
      </c>
      <c r="K1210" s="83">
        <f>_xlfn.NORM.INV(RAND(),ASSUMPTIONS!$C$43,ASSUMPTIONS!$C$71)</f>
        <v/>
      </c>
      <c r="L1210" s="84">
        <f>(((ASSUMPTIONS!$C$18*J1210*(1-ASSUMPTIONS!$C$20)+ASSUMPTIONS!$C$18*ASSUMPTIONS!$C$21-ASSUMPTIONS!$C$18*ASSUMPTIONS!$C$22)*(1+H1210)*(1-((1+H1210)/(1+I1210))^5)/(I1210-H1210))+((ASSUMPTIONS!$C$18*J1210*(1-ASSUMPTIONS!$C$20)+ASSUMPTIONS!$C$18*ASSUMPTIONS!$C$21-ASSUMPTIONS!$C$18*ASSUMPTIONS!$C$22)*(1+H1210)^5*(1+K1210)/(I1210-K1210)/(1+I1210)^5)-DCF!$C$12)/ASSUMPTIONS!$C$7</f>
        <v/>
      </c>
    </row>
    <row r="1211">
      <c r="H1211" s="83">
        <f>_xlfn.NORM.INV(RAND(),AVERAGE(ASSUMPTIONS!$C$38,ASSUMPTIONS!$C$39,ASSUMPTIONS!$C$40,ASSUMPTIONS!$C$41,ASSUMPTIONS!$C$42),ASSUMPTIONS!$C$68)</f>
        <v/>
      </c>
      <c r="I1211" s="83">
        <f>MAX(_xlfn.NORM.INV(RAND(),DCF!$C$11,ASSUMPTIONS!$C$69),K1211+0.005)</f>
        <v/>
      </c>
      <c r="J1211" s="83">
        <f>_xlfn.NORM.INV(RAND(),ASSUMPTIONS!$C$19,ASSUMPTIONS!$C$70)</f>
        <v/>
      </c>
      <c r="K1211" s="83">
        <f>_xlfn.NORM.INV(RAND(),ASSUMPTIONS!$C$43,ASSUMPTIONS!$C$71)</f>
        <v/>
      </c>
      <c r="L1211" s="84">
        <f>(((ASSUMPTIONS!$C$18*J1211*(1-ASSUMPTIONS!$C$20)+ASSUMPTIONS!$C$18*ASSUMPTIONS!$C$21-ASSUMPTIONS!$C$18*ASSUMPTIONS!$C$22)*(1+H1211)*(1-((1+H1211)/(1+I1211))^5)/(I1211-H1211))+((ASSUMPTIONS!$C$18*J1211*(1-ASSUMPTIONS!$C$20)+ASSUMPTIONS!$C$18*ASSUMPTIONS!$C$21-ASSUMPTIONS!$C$18*ASSUMPTIONS!$C$22)*(1+H1211)^5*(1+K1211)/(I1211-K1211)/(1+I1211)^5)-DCF!$C$12)/ASSUMPTIONS!$C$7</f>
        <v/>
      </c>
    </row>
    <row r="1212">
      <c r="H1212" s="83">
        <f>_xlfn.NORM.INV(RAND(),AVERAGE(ASSUMPTIONS!$C$38,ASSUMPTIONS!$C$39,ASSUMPTIONS!$C$40,ASSUMPTIONS!$C$41,ASSUMPTIONS!$C$42),ASSUMPTIONS!$C$68)</f>
        <v/>
      </c>
      <c r="I1212" s="83">
        <f>MAX(_xlfn.NORM.INV(RAND(),DCF!$C$11,ASSUMPTIONS!$C$69),K1212+0.005)</f>
        <v/>
      </c>
      <c r="J1212" s="83">
        <f>_xlfn.NORM.INV(RAND(),ASSUMPTIONS!$C$19,ASSUMPTIONS!$C$70)</f>
        <v/>
      </c>
      <c r="K1212" s="83">
        <f>_xlfn.NORM.INV(RAND(),ASSUMPTIONS!$C$43,ASSUMPTIONS!$C$71)</f>
        <v/>
      </c>
      <c r="L1212" s="84">
        <f>(((ASSUMPTIONS!$C$18*J1212*(1-ASSUMPTIONS!$C$20)+ASSUMPTIONS!$C$18*ASSUMPTIONS!$C$21-ASSUMPTIONS!$C$18*ASSUMPTIONS!$C$22)*(1+H1212)*(1-((1+H1212)/(1+I1212))^5)/(I1212-H1212))+((ASSUMPTIONS!$C$18*J1212*(1-ASSUMPTIONS!$C$20)+ASSUMPTIONS!$C$18*ASSUMPTIONS!$C$21-ASSUMPTIONS!$C$18*ASSUMPTIONS!$C$22)*(1+H1212)^5*(1+K1212)/(I1212-K1212)/(1+I1212)^5)-DCF!$C$12)/ASSUMPTIONS!$C$7</f>
        <v/>
      </c>
    </row>
    <row r="1213">
      <c r="H1213" s="83">
        <f>_xlfn.NORM.INV(RAND(),AVERAGE(ASSUMPTIONS!$C$38,ASSUMPTIONS!$C$39,ASSUMPTIONS!$C$40,ASSUMPTIONS!$C$41,ASSUMPTIONS!$C$42),ASSUMPTIONS!$C$68)</f>
        <v/>
      </c>
      <c r="I1213" s="83">
        <f>MAX(_xlfn.NORM.INV(RAND(),DCF!$C$11,ASSUMPTIONS!$C$69),K1213+0.005)</f>
        <v/>
      </c>
      <c r="J1213" s="83">
        <f>_xlfn.NORM.INV(RAND(),ASSUMPTIONS!$C$19,ASSUMPTIONS!$C$70)</f>
        <v/>
      </c>
      <c r="K1213" s="83">
        <f>_xlfn.NORM.INV(RAND(),ASSUMPTIONS!$C$43,ASSUMPTIONS!$C$71)</f>
        <v/>
      </c>
      <c r="L1213" s="84">
        <f>(((ASSUMPTIONS!$C$18*J1213*(1-ASSUMPTIONS!$C$20)+ASSUMPTIONS!$C$18*ASSUMPTIONS!$C$21-ASSUMPTIONS!$C$18*ASSUMPTIONS!$C$22)*(1+H1213)*(1-((1+H1213)/(1+I1213))^5)/(I1213-H1213))+((ASSUMPTIONS!$C$18*J1213*(1-ASSUMPTIONS!$C$20)+ASSUMPTIONS!$C$18*ASSUMPTIONS!$C$21-ASSUMPTIONS!$C$18*ASSUMPTIONS!$C$22)*(1+H1213)^5*(1+K1213)/(I1213-K1213)/(1+I1213)^5)-DCF!$C$12)/ASSUMPTIONS!$C$7</f>
        <v/>
      </c>
    </row>
    <row r="1214">
      <c r="H1214" s="83">
        <f>_xlfn.NORM.INV(RAND(),AVERAGE(ASSUMPTIONS!$C$38,ASSUMPTIONS!$C$39,ASSUMPTIONS!$C$40,ASSUMPTIONS!$C$41,ASSUMPTIONS!$C$42),ASSUMPTIONS!$C$68)</f>
        <v/>
      </c>
      <c r="I1214" s="83">
        <f>MAX(_xlfn.NORM.INV(RAND(),DCF!$C$11,ASSUMPTIONS!$C$69),K1214+0.005)</f>
        <v/>
      </c>
      <c r="J1214" s="83">
        <f>_xlfn.NORM.INV(RAND(),ASSUMPTIONS!$C$19,ASSUMPTIONS!$C$70)</f>
        <v/>
      </c>
      <c r="K1214" s="83">
        <f>_xlfn.NORM.INV(RAND(),ASSUMPTIONS!$C$43,ASSUMPTIONS!$C$71)</f>
        <v/>
      </c>
      <c r="L1214" s="84">
        <f>(((ASSUMPTIONS!$C$18*J1214*(1-ASSUMPTIONS!$C$20)+ASSUMPTIONS!$C$18*ASSUMPTIONS!$C$21-ASSUMPTIONS!$C$18*ASSUMPTIONS!$C$22)*(1+H1214)*(1-((1+H1214)/(1+I1214))^5)/(I1214-H1214))+((ASSUMPTIONS!$C$18*J1214*(1-ASSUMPTIONS!$C$20)+ASSUMPTIONS!$C$18*ASSUMPTIONS!$C$21-ASSUMPTIONS!$C$18*ASSUMPTIONS!$C$22)*(1+H1214)^5*(1+K1214)/(I1214-K1214)/(1+I1214)^5)-DCF!$C$12)/ASSUMPTIONS!$C$7</f>
        <v/>
      </c>
    </row>
    <row r="1215">
      <c r="H1215" s="83">
        <f>_xlfn.NORM.INV(RAND(),AVERAGE(ASSUMPTIONS!$C$38,ASSUMPTIONS!$C$39,ASSUMPTIONS!$C$40,ASSUMPTIONS!$C$41,ASSUMPTIONS!$C$42),ASSUMPTIONS!$C$68)</f>
        <v/>
      </c>
      <c r="I1215" s="83">
        <f>MAX(_xlfn.NORM.INV(RAND(),DCF!$C$11,ASSUMPTIONS!$C$69),K1215+0.005)</f>
        <v/>
      </c>
      <c r="J1215" s="83">
        <f>_xlfn.NORM.INV(RAND(),ASSUMPTIONS!$C$19,ASSUMPTIONS!$C$70)</f>
        <v/>
      </c>
      <c r="K1215" s="83">
        <f>_xlfn.NORM.INV(RAND(),ASSUMPTIONS!$C$43,ASSUMPTIONS!$C$71)</f>
        <v/>
      </c>
      <c r="L1215" s="84">
        <f>(((ASSUMPTIONS!$C$18*J1215*(1-ASSUMPTIONS!$C$20)+ASSUMPTIONS!$C$18*ASSUMPTIONS!$C$21-ASSUMPTIONS!$C$18*ASSUMPTIONS!$C$22)*(1+H1215)*(1-((1+H1215)/(1+I1215))^5)/(I1215-H1215))+((ASSUMPTIONS!$C$18*J1215*(1-ASSUMPTIONS!$C$20)+ASSUMPTIONS!$C$18*ASSUMPTIONS!$C$21-ASSUMPTIONS!$C$18*ASSUMPTIONS!$C$22)*(1+H1215)^5*(1+K1215)/(I1215-K1215)/(1+I1215)^5)-DCF!$C$12)/ASSUMPTIONS!$C$7</f>
        <v/>
      </c>
    </row>
    <row r="1216">
      <c r="H1216" s="83">
        <f>_xlfn.NORM.INV(RAND(),AVERAGE(ASSUMPTIONS!$C$38,ASSUMPTIONS!$C$39,ASSUMPTIONS!$C$40,ASSUMPTIONS!$C$41,ASSUMPTIONS!$C$42),ASSUMPTIONS!$C$68)</f>
        <v/>
      </c>
      <c r="I1216" s="83">
        <f>MAX(_xlfn.NORM.INV(RAND(),DCF!$C$11,ASSUMPTIONS!$C$69),K1216+0.005)</f>
        <v/>
      </c>
      <c r="J1216" s="83">
        <f>_xlfn.NORM.INV(RAND(),ASSUMPTIONS!$C$19,ASSUMPTIONS!$C$70)</f>
        <v/>
      </c>
      <c r="K1216" s="83">
        <f>_xlfn.NORM.INV(RAND(),ASSUMPTIONS!$C$43,ASSUMPTIONS!$C$71)</f>
        <v/>
      </c>
      <c r="L1216" s="84">
        <f>(((ASSUMPTIONS!$C$18*J1216*(1-ASSUMPTIONS!$C$20)+ASSUMPTIONS!$C$18*ASSUMPTIONS!$C$21-ASSUMPTIONS!$C$18*ASSUMPTIONS!$C$22)*(1+H1216)*(1-((1+H1216)/(1+I1216))^5)/(I1216-H1216))+((ASSUMPTIONS!$C$18*J1216*(1-ASSUMPTIONS!$C$20)+ASSUMPTIONS!$C$18*ASSUMPTIONS!$C$21-ASSUMPTIONS!$C$18*ASSUMPTIONS!$C$22)*(1+H1216)^5*(1+K1216)/(I1216-K1216)/(1+I1216)^5)-DCF!$C$12)/ASSUMPTIONS!$C$7</f>
        <v/>
      </c>
    </row>
    <row r="1217">
      <c r="H1217" s="83">
        <f>_xlfn.NORM.INV(RAND(),AVERAGE(ASSUMPTIONS!$C$38,ASSUMPTIONS!$C$39,ASSUMPTIONS!$C$40,ASSUMPTIONS!$C$41,ASSUMPTIONS!$C$42),ASSUMPTIONS!$C$68)</f>
        <v/>
      </c>
      <c r="I1217" s="83">
        <f>MAX(_xlfn.NORM.INV(RAND(),DCF!$C$11,ASSUMPTIONS!$C$69),K1217+0.005)</f>
        <v/>
      </c>
      <c r="J1217" s="83">
        <f>_xlfn.NORM.INV(RAND(),ASSUMPTIONS!$C$19,ASSUMPTIONS!$C$70)</f>
        <v/>
      </c>
      <c r="K1217" s="83">
        <f>_xlfn.NORM.INV(RAND(),ASSUMPTIONS!$C$43,ASSUMPTIONS!$C$71)</f>
        <v/>
      </c>
      <c r="L1217" s="84">
        <f>(((ASSUMPTIONS!$C$18*J1217*(1-ASSUMPTIONS!$C$20)+ASSUMPTIONS!$C$18*ASSUMPTIONS!$C$21-ASSUMPTIONS!$C$18*ASSUMPTIONS!$C$22)*(1+H1217)*(1-((1+H1217)/(1+I1217))^5)/(I1217-H1217))+((ASSUMPTIONS!$C$18*J1217*(1-ASSUMPTIONS!$C$20)+ASSUMPTIONS!$C$18*ASSUMPTIONS!$C$21-ASSUMPTIONS!$C$18*ASSUMPTIONS!$C$22)*(1+H1217)^5*(1+K1217)/(I1217-K1217)/(1+I1217)^5)-DCF!$C$12)/ASSUMPTIONS!$C$7</f>
        <v/>
      </c>
    </row>
    <row r="1218">
      <c r="H1218" s="83">
        <f>_xlfn.NORM.INV(RAND(),AVERAGE(ASSUMPTIONS!$C$38,ASSUMPTIONS!$C$39,ASSUMPTIONS!$C$40,ASSUMPTIONS!$C$41,ASSUMPTIONS!$C$42),ASSUMPTIONS!$C$68)</f>
        <v/>
      </c>
      <c r="I1218" s="83">
        <f>MAX(_xlfn.NORM.INV(RAND(),DCF!$C$11,ASSUMPTIONS!$C$69),K1218+0.005)</f>
        <v/>
      </c>
      <c r="J1218" s="83">
        <f>_xlfn.NORM.INV(RAND(),ASSUMPTIONS!$C$19,ASSUMPTIONS!$C$70)</f>
        <v/>
      </c>
      <c r="K1218" s="83">
        <f>_xlfn.NORM.INV(RAND(),ASSUMPTIONS!$C$43,ASSUMPTIONS!$C$71)</f>
        <v/>
      </c>
      <c r="L1218" s="84">
        <f>(((ASSUMPTIONS!$C$18*J1218*(1-ASSUMPTIONS!$C$20)+ASSUMPTIONS!$C$18*ASSUMPTIONS!$C$21-ASSUMPTIONS!$C$18*ASSUMPTIONS!$C$22)*(1+H1218)*(1-((1+H1218)/(1+I1218))^5)/(I1218-H1218))+((ASSUMPTIONS!$C$18*J1218*(1-ASSUMPTIONS!$C$20)+ASSUMPTIONS!$C$18*ASSUMPTIONS!$C$21-ASSUMPTIONS!$C$18*ASSUMPTIONS!$C$22)*(1+H1218)^5*(1+K1218)/(I1218-K1218)/(1+I1218)^5)-DCF!$C$12)/ASSUMPTIONS!$C$7</f>
        <v/>
      </c>
    </row>
    <row r="1219">
      <c r="H1219" s="83">
        <f>_xlfn.NORM.INV(RAND(),AVERAGE(ASSUMPTIONS!$C$38,ASSUMPTIONS!$C$39,ASSUMPTIONS!$C$40,ASSUMPTIONS!$C$41,ASSUMPTIONS!$C$42),ASSUMPTIONS!$C$68)</f>
        <v/>
      </c>
      <c r="I1219" s="83">
        <f>MAX(_xlfn.NORM.INV(RAND(),DCF!$C$11,ASSUMPTIONS!$C$69),K1219+0.005)</f>
        <v/>
      </c>
      <c r="J1219" s="83">
        <f>_xlfn.NORM.INV(RAND(),ASSUMPTIONS!$C$19,ASSUMPTIONS!$C$70)</f>
        <v/>
      </c>
      <c r="K1219" s="83">
        <f>_xlfn.NORM.INV(RAND(),ASSUMPTIONS!$C$43,ASSUMPTIONS!$C$71)</f>
        <v/>
      </c>
      <c r="L1219" s="84">
        <f>(((ASSUMPTIONS!$C$18*J1219*(1-ASSUMPTIONS!$C$20)+ASSUMPTIONS!$C$18*ASSUMPTIONS!$C$21-ASSUMPTIONS!$C$18*ASSUMPTIONS!$C$22)*(1+H1219)*(1-((1+H1219)/(1+I1219))^5)/(I1219-H1219))+((ASSUMPTIONS!$C$18*J1219*(1-ASSUMPTIONS!$C$20)+ASSUMPTIONS!$C$18*ASSUMPTIONS!$C$21-ASSUMPTIONS!$C$18*ASSUMPTIONS!$C$22)*(1+H1219)^5*(1+K1219)/(I1219-K1219)/(1+I1219)^5)-DCF!$C$12)/ASSUMPTIONS!$C$7</f>
        <v/>
      </c>
    </row>
    <row r="1220">
      <c r="H1220" s="83">
        <f>_xlfn.NORM.INV(RAND(),AVERAGE(ASSUMPTIONS!$C$38,ASSUMPTIONS!$C$39,ASSUMPTIONS!$C$40,ASSUMPTIONS!$C$41,ASSUMPTIONS!$C$42),ASSUMPTIONS!$C$68)</f>
        <v/>
      </c>
      <c r="I1220" s="83">
        <f>MAX(_xlfn.NORM.INV(RAND(),DCF!$C$11,ASSUMPTIONS!$C$69),K1220+0.005)</f>
        <v/>
      </c>
      <c r="J1220" s="83">
        <f>_xlfn.NORM.INV(RAND(),ASSUMPTIONS!$C$19,ASSUMPTIONS!$C$70)</f>
        <v/>
      </c>
      <c r="K1220" s="83">
        <f>_xlfn.NORM.INV(RAND(),ASSUMPTIONS!$C$43,ASSUMPTIONS!$C$71)</f>
        <v/>
      </c>
      <c r="L1220" s="84">
        <f>(((ASSUMPTIONS!$C$18*J1220*(1-ASSUMPTIONS!$C$20)+ASSUMPTIONS!$C$18*ASSUMPTIONS!$C$21-ASSUMPTIONS!$C$18*ASSUMPTIONS!$C$22)*(1+H1220)*(1-((1+H1220)/(1+I1220))^5)/(I1220-H1220))+((ASSUMPTIONS!$C$18*J1220*(1-ASSUMPTIONS!$C$20)+ASSUMPTIONS!$C$18*ASSUMPTIONS!$C$21-ASSUMPTIONS!$C$18*ASSUMPTIONS!$C$22)*(1+H1220)^5*(1+K1220)/(I1220-K1220)/(1+I1220)^5)-DCF!$C$12)/ASSUMPTIONS!$C$7</f>
        <v/>
      </c>
    </row>
    <row r="1221">
      <c r="H1221" s="83">
        <f>_xlfn.NORM.INV(RAND(),AVERAGE(ASSUMPTIONS!$C$38,ASSUMPTIONS!$C$39,ASSUMPTIONS!$C$40,ASSUMPTIONS!$C$41,ASSUMPTIONS!$C$42),ASSUMPTIONS!$C$68)</f>
        <v/>
      </c>
      <c r="I1221" s="83">
        <f>MAX(_xlfn.NORM.INV(RAND(),DCF!$C$11,ASSUMPTIONS!$C$69),K1221+0.005)</f>
        <v/>
      </c>
      <c r="J1221" s="83">
        <f>_xlfn.NORM.INV(RAND(),ASSUMPTIONS!$C$19,ASSUMPTIONS!$C$70)</f>
        <v/>
      </c>
      <c r="K1221" s="83">
        <f>_xlfn.NORM.INV(RAND(),ASSUMPTIONS!$C$43,ASSUMPTIONS!$C$71)</f>
        <v/>
      </c>
      <c r="L1221" s="84">
        <f>(((ASSUMPTIONS!$C$18*J1221*(1-ASSUMPTIONS!$C$20)+ASSUMPTIONS!$C$18*ASSUMPTIONS!$C$21-ASSUMPTIONS!$C$18*ASSUMPTIONS!$C$22)*(1+H1221)*(1-((1+H1221)/(1+I1221))^5)/(I1221-H1221))+((ASSUMPTIONS!$C$18*J1221*(1-ASSUMPTIONS!$C$20)+ASSUMPTIONS!$C$18*ASSUMPTIONS!$C$21-ASSUMPTIONS!$C$18*ASSUMPTIONS!$C$22)*(1+H1221)^5*(1+K1221)/(I1221-K1221)/(1+I1221)^5)-DCF!$C$12)/ASSUMPTIONS!$C$7</f>
        <v/>
      </c>
    </row>
    <row r="1222">
      <c r="H1222" s="83">
        <f>_xlfn.NORM.INV(RAND(),AVERAGE(ASSUMPTIONS!$C$38,ASSUMPTIONS!$C$39,ASSUMPTIONS!$C$40,ASSUMPTIONS!$C$41,ASSUMPTIONS!$C$42),ASSUMPTIONS!$C$68)</f>
        <v/>
      </c>
      <c r="I1222" s="83">
        <f>MAX(_xlfn.NORM.INV(RAND(),DCF!$C$11,ASSUMPTIONS!$C$69),K1222+0.005)</f>
        <v/>
      </c>
      <c r="J1222" s="83">
        <f>_xlfn.NORM.INV(RAND(),ASSUMPTIONS!$C$19,ASSUMPTIONS!$C$70)</f>
        <v/>
      </c>
      <c r="K1222" s="83">
        <f>_xlfn.NORM.INV(RAND(),ASSUMPTIONS!$C$43,ASSUMPTIONS!$C$71)</f>
        <v/>
      </c>
      <c r="L1222" s="84">
        <f>(((ASSUMPTIONS!$C$18*J1222*(1-ASSUMPTIONS!$C$20)+ASSUMPTIONS!$C$18*ASSUMPTIONS!$C$21-ASSUMPTIONS!$C$18*ASSUMPTIONS!$C$22)*(1+H1222)*(1-((1+H1222)/(1+I1222))^5)/(I1222-H1222))+((ASSUMPTIONS!$C$18*J1222*(1-ASSUMPTIONS!$C$20)+ASSUMPTIONS!$C$18*ASSUMPTIONS!$C$21-ASSUMPTIONS!$C$18*ASSUMPTIONS!$C$22)*(1+H1222)^5*(1+K1222)/(I1222-K1222)/(1+I1222)^5)-DCF!$C$12)/ASSUMPTIONS!$C$7</f>
        <v/>
      </c>
    </row>
    <row r="1223">
      <c r="H1223" s="83">
        <f>_xlfn.NORM.INV(RAND(),AVERAGE(ASSUMPTIONS!$C$38,ASSUMPTIONS!$C$39,ASSUMPTIONS!$C$40,ASSUMPTIONS!$C$41,ASSUMPTIONS!$C$42),ASSUMPTIONS!$C$68)</f>
        <v/>
      </c>
      <c r="I1223" s="83">
        <f>MAX(_xlfn.NORM.INV(RAND(),DCF!$C$11,ASSUMPTIONS!$C$69),K1223+0.005)</f>
        <v/>
      </c>
      <c r="J1223" s="83">
        <f>_xlfn.NORM.INV(RAND(),ASSUMPTIONS!$C$19,ASSUMPTIONS!$C$70)</f>
        <v/>
      </c>
      <c r="K1223" s="83">
        <f>_xlfn.NORM.INV(RAND(),ASSUMPTIONS!$C$43,ASSUMPTIONS!$C$71)</f>
        <v/>
      </c>
      <c r="L1223" s="84">
        <f>(((ASSUMPTIONS!$C$18*J1223*(1-ASSUMPTIONS!$C$20)+ASSUMPTIONS!$C$18*ASSUMPTIONS!$C$21-ASSUMPTIONS!$C$18*ASSUMPTIONS!$C$22)*(1+H1223)*(1-((1+H1223)/(1+I1223))^5)/(I1223-H1223))+((ASSUMPTIONS!$C$18*J1223*(1-ASSUMPTIONS!$C$20)+ASSUMPTIONS!$C$18*ASSUMPTIONS!$C$21-ASSUMPTIONS!$C$18*ASSUMPTIONS!$C$22)*(1+H1223)^5*(1+K1223)/(I1223-K1223)/(1+I1223)^5)-DCF!$C$12)/ASSUMPTIONS!$C$7</f>
        <v/>
      </c>
    </row>
    <row r="1224">
      <c r="H1224" s="83">
        <f>_xlfn.NORM.INV(RAND(),AVERAGE(ASSUMPTIONS!$C$38,ASSUMPTIONS!$C$39,ASSUMPTIONS!$C$40,ASSUMPTIONS!$C$41,ASSUMPTIONS!$C$42),ASSUMPTIONS!$C$68)</f>
        <v/>
      </c>
      <c r="I1224" s="83">
        <f>MAX(_xlfn.NORM.INV(RAND(),DCF!$C$11,ASSUMPTIONS!$C$69),K1224+0.005)</f>
        <v/>
      </c>
      <c r="J1224" s="83">
        <f>_xlfn.NORM.INV(RAND(),ASSUMPTIONS!$C$19,ASSUMPTIONS!$C$70)</f>
        <v/>
      </c>
      <c r="K1224" s="83">
        <f>_xlfn.NORM.INV(RAND(),ASSUMPTIONS!$C$43,ASSUMPTIONS!$C$71)</f>
        <v/>
      </c>
      <c r="L1224" s="84">
        <f>(((ASSUMPTIONS!$C$18*J1224*(1-ASSUMPTIONS!$C$20)+ASSUMPTIONS!$C$18*ASSUMPTIONS!$C$21-ASSUMPTIONS!$C$18*ASSUMPTIONS!$C$22)*(1+H1224)*(1-((1+H1224)/(1+I1224))^5)/(I1224-H1224))+((ASSUMPTIONS!$C$18*J1224*(1-ASSUMPTIONS!$C$20)+ASSUMPTIONS!$C$18*ASSUMPTIONS!$C$21-ASSUMPTIONS!$C$18*ASSUMPTIONS!$C$22)*(1+H1224)^5*(1+K1224)/(I1224-K1224)/(1+I1224)^5)-DCF!$C$12)/ASSUMPTIONS!$C$7</f>
        <v/>
      </c>
    </row>
    <row r="1225">
      <c r="H1225" s="83">
        <f>_xlfn.NORM.INV(RAND(),AVERAGE(ASSUMPTIONS!$C$38,ASSUMPTIONS!$C$39,ASSUMPTIONS!$C$40,ASSUMPTIONS!$C$41,ASSUMPTIONS!$C$42),ASSUMPTIONS!$C$68)</f>
        <v/>
      </c>
      <c r="I1225" s="83">
        <f>MAX(_xlfn.NORM.INV(RAND(),DCF!$C$11,ASSUMPTIONS!$C$69),K1225+0.005)</f>
        <v/>
      </c>
      <c r="J1225" s="83">
        <f>_xlfn.NORM.INV(RAND(),ASSUMPTIONS!$C$19,ASSUMPTIONS!$C$70)</f>
        <v/>
      </c>
      <c r="K1225" s="83">
        <f>_xlfn.NORM.INV(RAND(),ASSUMPTIONS!$C$43,ASSUMPTIONS!$C$71)</f>
        <v/>
      </c>
      <c r="L1225" s="84">
        <f>(((ASSUMPTIONS!$C$18*J1225*(1-ASSUMPTIONS!$C$20)+ASSUMPTIONS!$C$18*ASSUMPTIONS!$C$21-ASSUMPTIONS!$C$18*ASSUMPTIONS!$C$22)*(1+H1225)*(1-((1+H1225)/(1+I1225))^5)/(I1225-H1225))+((ASSUMPTIONS!$C$18*J1225*(1-ASSUMPTIONS!$C$20)+ASSUMPTIONS!$C$18*ASSUMPTIONS!$C$21-ASSUMPTIONS!$C$18*ASSUMPTIONS!$C$22)*(1+H1225)^5*(1+K1225)/(I1225-K1225)/(1+I1225)^5)-DCF!$C$12)/ASSUMPTIONS!$C$7</f>
        <v/>
      </c>
    </row>
    <row r="1226">
      <c r="H1226" s="83">
        <f>_xlfn.NORM.INV(RAND(),AVERAGE(ASSUMPTIONS!$C$38,ASSUMPTIONS!$C$39,ASSUMPTIONS!$C$40,ASSUMPTIONS!$C$41,ASSUMPTIONS!$C$42),ASSUMPTIONS!$C$68)</f>
        <v/>
      </c>
      <c r="I1226" s="83">
        <f>MAX(_xlfn.NORM.INV(RAND(),DCF!$C$11,ASSUMPTIONS!$C$69),K1226+0.005)</f>
        <v/>
      </c>
      <c r="J1226" s="83">
        <f>_xlfn.NORM.INV(RAND(),ASSUMPTIONS!$C$19,ASSUMPTIONS!$C$70)</f>
        <v/>
      </c>
      <c r="K1226" s="83">
        <f>_xlfn.NORM.INV(RAND(),ASSUMPTIONS!$C$43,ASSUMPTIONS!$C$71)</f>
        <v/>
      </c>
      <c r="L1226" s="84">
        <f>(((ASSUMPTIONS!$C$18*J1226*(1-ASSUMPTIONS!$C$20)+ASSUMPTIONS!$C$18*ASSUMPTIONS!$C$21-ASSUMPTIONS!$C$18*ASSUMPTIONS!$C$22)*(1+H1226)*(1-((1+H1226)/(1+I1226))^5)/(I1226-H1226))+((ASSUMPTIONS!$C$18*J1226*(1-ASSUMPTIONS!$C$20)+ASSUMPTIONS!$C$18*ASSUMPTIONS!$C$21-ASSUMPTIONS!$C$18*ASSUMPTIONS!$C$22)*(1+H1226)^5*(1+K1226)/(I1226-K1226)/(1+I1226)^5)-DCF!$C$12)/ASSUMPTIONS!$C$7</f>
        <v/>
      </c>
    </row>
    <row r="1227">
      <c r="H1227" s="83">
        <f>_xlfn.NORM.INV(RAND(),AVERAGE(ASSUMPTIONS!$C$38,ASSUMPTIONS!$C$39,ASSUMPTIONS!$C$40,ASSUMPTIONS!$C$41,ASSUMPTIONS!$C$42),ASSUMPTIONS!$C$68)</f>
        <v/>
      </c>
      <c r="I1227" s="83">
        <f>MAX(_xlfn.NORM.INV(RAND(),DCF!$C$11,ASSUMPTIONS!$C$69),K1227+0.005)</f>
        <v/>
      </c>
      <c r="J1227" s="83">
        <f>_xlfn.NORM.INV(RAND(),ASSUMPTIONS!$C$19,ASSUMPTIONS!$C$70)</f>
        <v/>
      </c>
      <c r="K1227" s="83">
        <f>_xlfn.NORM.INV(RAND(),ASSUMPTIONS!$C$43,ASSUMPTIONS!$C$71)</f>
        <v/>
      </c>
      <c r="L1227" s="84">
        <f>(((ASSUMPTIONS!$C$18*J1227*(1-ASSUMPTIONS!$C$20)+ASSUMPTIONS!$C$18*ASSUMPTIONS!$C$21-ASSUMPTIONS!$C$18*ASSUMPTIONS!$C$22)*(1+H1227)*(1-((1+H1227)/(1+I1227))^5)/(I1227-H1227))+((ASSUMPTIONS!$C$18*J1227*(1-ASSUMPTIONS!$C$20)+ASSUMPTIONS!$C$18*ASSUMPTIONS!$C$21-ASSUMPTIONS!$C$18*ASSUMPTIONS!$C$22)*(1+H1227)^5*(1+K1227)/(I1227-K1227)/(1+I1227)^5)-DCF!$C$12)/ASSUMPTIONS!$C$7</f>
        <v/>
      </c>
    </row>
    <row r="1228">
      <c r="H1228" s="83">
        <f>_xlfn.NORM.INV(RAND(),AVERAGE(ASSUMPTIONS!$C$38,ASSUMPTIONS!$C$39,ASSUMPTIONS!$C$40,ASSUMPTIONS!$C$41,ASSUMPTIONS!$C$42),ASSUMPTIONS!$C$68)</f>
        <v/>
      </c>
      <c r="I1228" s="83">
        <f>MAX(_xlfn.NORM.INV(RAND(),DCF!$C$11,ASSUMPTIONS!$C$69),K1228+0.005)</f>
        <v/>
      </c>
      <c r="J1228" s="83">
        <f>_xlfn.NORM.INV(RAND(),ASSUMPTIONS!$C$19,ASSUMPTIONS!$C$70)</f>
        <v/>
      </c>
      <c r="K1228" s="83">
        <f>_xlfn.NORM.INV(RAND(),ASSUMPTIONS!$C$43,ASSUMPTIONS!$C$71)</f>
        <v/>
      </c>
      <c r="L1228" s="84">
        <f>(((ASSUMPTIONS!$C$18*J1228*(1-ASSUMPTIONS!$C$20)+ASSUMPTIONS!$C$18*ASSUMPTIONS!$C$21-ASSUMPTIONS!$C$18*ASSUMPTIONS!$C$22)*(1+H1228)*(1-((1+H1228)/(1+I1228))^5)/(I1228-H1228))+((ASSUMPTIONS!$C$18*J1228*(1-ASSUMPTIONS!$C$20)+ASSUMPTIONS!$C$18*ASSUMPTIONS!$C$21-ASSUMPTIONS!$C$18*ASSUMPTIONS!$C$22)*(1+H1228)^5*(1+K1228)/(I1228-K1228)/(1+I1228)^5)-DCF!$C$12)/ASSUMPTIONS!$C$7</f>
        <v/>
      </c>
    </row>
    <row r="1229">
      <c r="H1229" s="83">
        <f>_xlfn.NORM.INV(RAND(),AVERAGE(ASSUMPTIONS!$C$38,ASSUMPTIONS!$C$39,ASSUMPTIONS!$C$40,ASSUMPTIONS!$C$41,ASSUMPTIONS!$C$42),ASSUMPTIONS!$C$68)</f>
        <v/>
      </c>
      <c r="I1229" s="83">
        <f>MAX(_xlfn.NORM.INV(RAND(),DCF!$C$11,ASSUMPTIONS!$C$69),K1229+0.005)</f>
        <v/>
      </c>
      <c r="J1229" s="83">
        <f>_xlfn.NORM.INV(RAND(),ASSUMPTIONS!$C$19,ASSUMPTIONS!$C$70)</f>
        <v/>
      </c>
      <c r="K1229" s="83">
        <f>_xlfn.NORM.INV(RAND(),ASSUMPTIONS!$C$43,ASSUMPTIONS!$C$71)</f>
        <v/>
      </c>
      <c r="L1229" s="84">
        <f>(((ASSUMPTIONS!$C$18*J1229*(1-ASSUMPTIONS!$C$20)+ASSUMPTIONS!$C$18*ASSUMPTIONS!$C$21-ASSUMPTIONS!$C$18*ASSUMPTIONS!$C$22)*(1+H1229)*(1-((1+H1229)/(1+I1229))^5)/(I1229-H1229))+((ASSUMPTIONS!$C$18*J1229*(1-ASSUMPTIONS!$C$20)+ASSUMPTIONS!$C$18*ASSUMPTIONS!$C$21-ASSUMPTIONS!$C$18*ASSUMPTIONS!$C$22)*(1+H1229)^5*(1+K1229)/(I1229-K1229)/(1+I1229)^5)-DCF!$C$12)/ASSUMPTIONS!$C$7</f>
        <v/>
      </c>
    </row>
    <row r="1230">
      <c r="H1230" s="83">
        <f>_xlfn.NORM.INV(RAND(),AVERAGE(ASSUMPTIONS!$C$38,ASSUMPTIONS!$C$39,ASSUMPTIONS!$C$40,ASSUMPTIONS!$C$41,ASSUMPTIONS!$C$42),ASSUMPTIONS!$C$68)</f>
        <v/>
      </c>
      <c r="I1230" s="83">
        <f>MAX(_xlfn.NORM.INV(RAND(),DCF!$C$11,ASSUMPTIONS!$C$69),K1230+0.005)</f>
        <v/>
      </c>
      <c r="J1230" s="83">
        <f>_xlfn.NORM.INV(RAND(),ASSUMPTIONS!$C$19,ASSUMPTIONS!$C$70)</f>
        <v/>
      </c>
      <c r="K1230" s="83">
        <f>_xlfn.NORM.INV(RAND(),ASSUMPTIONS!$C$43,ASSUMPTIONS!$C$71)</f>
        <v/>
      </c>
      <c r="L1230" s="84">
        <f>(((ASSUMPTIONS!$C$18*J1230*(1-ASSUMPTIONS!$C$20)+ASSUMPTIONS!$C$18*ASSUMPTIONS!$C$21-ASSUMPTIONS!$C$18*ASSUMPTIONS!$C$22)*(1+H1230)*(1-((1+H1230)/(1+I1230))^5)/(I1230-H1230))+((ASSUMPTIONS!$C$18*J1230*(1-ASSUMPTIONS!$C$20)+ASSUMPTIONS!$C$18*ASSUMPTIONS!$C$21-ASSUMPTIONS!$C$18*ASSUMPTIONS!$C$22)*(1+H1230)^5*(1+K1230)/(I1230-K1230)/(1+I1230)^5)-DCF!$C$12)/ASSUMPTIONS!$C$7</f>
        <v/>
      </c>
    </row>
    <row r="1231">
      <c r="H1231" s="83">
        <f>_xlfn.NORM.INV(RAND(),AVERAGE(ASSUMPTIONS!$C$38,ASSUMPTIONS!$C$39,ASSUMPTIONS!$C$40,ASSUMPTIONS!$C$41,ASSUMPTIONS!$C$42),ASSUMPTIONS!$C$68)</f>
        <v/>
      </c>
      <c r="I1231" s="83">
        <f>MAX(_xlfn.NORM.INV(RAND(),DCF!$C$11,ASSUMPTIONS!$C$69),K1231+0.005)</f>
        <v/>
      </c>
      <c r="J1231" s="83">
        <f>_xlfn.NORM.INV(RAND(),ASSUMPTIONS!$C$19,ASSUMPTIONS!$C$70)</f>
        <v/>
      </c>
      <c r="K1231" s="83">
        <f>_xlfn.NORM.INV(RAND(),ASSUMPTIONS!$C$43,ASSUMPTIONS!$C$71)</f>
        <v/>
      </c>
      <c r="L1231" s="84">
        <f>(((ASSUMPTIONS!$C$18*J1231*(1-ASSUMPTIONS!$C$20)+ASSUMPTIONS!$C$18*ASSUMPTIONS!$C$21-ASSUMPTIONS!$C$18*ASSUMPTIONS!$C$22)*(1+H1231)*(1-((1+H1231)/(1+I1231))^5)/(I1231-H1231))+((ASSUMPTIONS!$C$18*J1231*(1-ASSUMPTIONS!$C$20)+ASSUMPTIONS!$C$18*ASSUMPTIONS!$C$21-ASSUMPTIONS!$C$18*ASSUMPTIONS!$C$22)*(1+H1231)^5*(1+K1231)/(I1231-K1231)/(1+I1231)^5)-DCF!$C$12)/ASSUMPTIONS!$C$7</f>
        <v/>
      </c>
    </row>
    <row r="1232">
      <c r="H1232" s="83">
        <f>_xlfn.NORM.INV(RAND(),AVERAGE(ASSUMPTIONS!$C$38,ASSUMPTIONS!$C$39,ASSUMPTIONS!$C$40,ASSUMPTIONS!$C$41,ASSUMPTIONS!$C$42),ASSUMPTIONS!$C$68)</f>
        <v/>
      </c>
      <c r="I1232" s="83">
        <f>MAX(_xlfn.NORM.INV(RAND(),DCF!$C$11,ASSUMPTIONS!$C$69),K1232+0.005)</f>
        <v/>
      </c>
      <c r="J1232" s="83">
        <f>_xlfn.NORM.INV(RAND(),ASSUMPTIONS!$C$19,ASSUMPTIONS!$C$70)</f>
        <v/>
      </c>
      <c r="K1232" s="83">
        <f>_xlfn.NORM.INV(RAND(),ASSUMPTIONS!$C$43,ASSUMPTIONS!$C$71)</f>
        <v/>
      </c>
      <c r="L1232" s="84">
        <f>(((ASSUMPTIONS!$C$18*J1232*(1-ASSUMPTIONS!$C$20)+ASSUMPTIONS!$C$18*ASSUMPTIONS!$C$21-ASSUMPTIONS!$C$18*ASSUMPTIONS!$C$22)*(1+H1232)*(1-((1+H1232)/(1+I1232))^5)/(I1232-H1232))+((ASSUMPTIONS!$C$18*J1232*(1-ASSUMPTIONS!$C$20)+ASSUMPTIONS!$C$18*ASSUMPTIONS!$C$21-ASSUMPTIONS!$C$18*ASSUMPTIONS!$C$22)*(1+H1232)^5*(1+K1232)/(I1232-K1232)/(1+I1232)^5)-DCF!$C$12)/ASSUMPTIONS!$C$7</f>
        <v/>
      </c>
    </row>
    <row r="1233">
      <c r="H1233" s="83">
        <f>_xlfn.NORM.INV(RAND(),AVERAGE(ASSUMPTIONS!$C$38,ASSUMPTIONS!$C$39,ASSUMPTIONS!$C$40,ASSUMPTIONS!$C$41,ASSUMPTIONS!$C$42),ASSUMPTIONS!$C$68)</f>
        <v/>
      </c>
      <c r="I1233" s="83">
        <f>MAX(_xlfn.NORM.INV(RAND(),DCF!$C$11,ASSUMPTIONS!$C$69),K1233+0.005)</f>
        <v/>
      </c>
      <c r="J1233" s="83">
        <f>_xlfn.NORM.INV(RAND(),ASSUMPTIONS!$C$19,ASSUMPTIONS!$C$70)</f>
        <v/>
      </c>
      <c r="K1233" s="83">
        <f>_xlfn.NORM.INV(RAND(),ASSUMPTIONS!$C$43,ASSUMPTIONS!$C$71)</f>
        <v/>
      </c>
      <c r="L1233" s="84">
        <f>(((ASSUMPTIONS!$C$18*J1233*(1-ASSUMPTIONS!$C$20)+ASSUMPTIONS!$C$18*ASSUMPTIONS!$C$21-ASSUMPTIONS!$C$18*ASSUMPTIONS!$C$22)*(1+H1233)*(1-((1+H1233)/(1+I1233))^5)/(I1233-H1233))+((ASSUMPTIONS!$C$18*J1233*(1-ASSUMPTIONS!$C$20)+ASSUMPTIONS!$C$18*ASSUMPTIONS!$C$21-ASSUMPTIONS!$C$18*ASSUMPTIONS!$C$22)*(1+H1233)^5*(1+K1233)/(I1233-K1233)/(1+I1233)^5)-DCF!$C$12)/ASSUMPTIONS!$C$7</f>
        <v/>
      </c>
    </row>
    <row r="1234">
      <c r="H1234" s="83">
        <f>_xlfn.NORM.INV(RAND(),AVERAGE(ASSUMPTIONS!$C$38,ASSUMPTIONS!$C$39,ASSUMPTIONS!$C$40,ASSUMPTIONS!$C$41,ASSUMPTIONS!$C$42),ASSUMPTIONS!$C$68)</f>
        <v/>
      </c>
      <c r="I1234" s="83">
        <f>MAX(_xlfn.NORM.INV(RAND(),DCF!$C$11,ASSUMPTIONS!$C$69),K1234+0.005)</f>
        <v/>
      </c>
      <c r="J1234" s="83">
        <f>_xlfn.NORM.INV(RAND(),ASSUMPTIONS!$C$19,ASSUMPTIONS!$C$70)</f>
        <v/>
      </c>
      <c r="K1234" s="83">
        <f>_xlfn.NORM.INV(RAND(),ASSUMPTIONS!$C$43,ASSUMPTIONS!$C$71)</f>
        <v/>
      </c>
      <c r="L1234" s="84">
        <f>(((ASSUMPTIONS!$C$18*J1234*(1-ASSUMPTIONS!$C$20)+ASSUMPTIONS!$C$18*ASSUMPTIONS!$C$21-ASSUMPTIONS!$C$18*ASSUMPTIONS!$C$22)*(1+H1234)*(1-((1+H1234)/(1+I1234))^5)/(I1234-H1234))+((ASSUMPTIONS!$C$18*J1234*(1-ASSUMPTIONS!$C$20)+ASSUMPTIONS!$C$18*ASSUMPTIONS!$C$21-ASSUMPTIONS!$C$18*ASSUMPTIONS!$C$22)*(1+H1234)^5*(1+K1234)/(I1234-K1234)/(1+I1234)^5)-DCF!$C$12)/ASSUMPTIONS!$C$7</f>
        <v/>
      </c>
    </row>
    <row r="1235">
      <c r="H1235" s="83">
        <f>_xlfn.NORM.INV(RAND(),AVERAGE(ASSUMPTIONS!$C$38,ASSUMPTIONS!$C$39,ASSUMPTIONS!$C$40,ASSUMPTIONS!$C$41,ASSUMPTIONS!$C$42),ASSUMPTIONS!$C$68)</f>
        <v/>
      </c>
      <c r="I1235" s="83">
        <f>MAX(_xlfn.NORM.INV(RAND(),DCF!$C$11,ASSUMPTIONS!$C$69),K1235+0.005)</f>
        <v/>
      </c>
      <c r="J1235" s="83">
        <f>_xlfn.NORM.INV(RAND(),ASSUMPTIONS!$C$19,ASSUMPTIONS!$C$70)</f>
        <v/>
      </c>
      <c r="K1235" s="83">
        <f>_xlfn.NORM.INV(RAND(),ASSUMPTIONS!$C$43,ASSUMPTIONS!$C$71)</f>
        <v/>
      </c>
      <c r="L1235" s="84">
        <f>(((ASSUMPTIONS!$C$18*J1235*(1-ASSUMPTIONS!$C$20)+ASSUMPTIONS!$C$18*ASSUMPTIONS!$C$21-ASSUMPTIONS!$C$18*ASSUMPTIONS!$C$22)*(1+H1235)*(1-((1+H1235)/(1+I1235))^5)/(I1235-H1235))+((ASSUMPTIONS!$C$18*J1235*(1-ASSUMPTIONS!$C$20)+ASSUMPTIONS!$C$18*ASSUMPTIONS!$C$21-ASSUMPTIONS!$C$18*ASSUMPTIONS!$C$22)*(1+H1235)^5*(1+K1235)/(I1235-K1235)/(1+I1235)^5)-DCF!$C$12)/ASSUMPTIONS!$C$7</f>
        <v/>
      </c>
    </row>
    <row r="1236">
      <c r="H1236" s="83">
        <f>_xlfn.NORM.INV(RAND(),AVERAGE(ASSUMPTIONS!$C$38,ASSUMPTIONS!$C$39,ASSUMPTIONS!$C$40,ASSUMPTIONS!$C$41,ASSUMPTIONS!$C$42),ASSUMPTIONS!$C$68)</f>
        <v/>
      </c>
      <c r="I1236" s="83">
        <f>MAX(_xlfn.NORM.INV(RAND(),DCF!$C$11,ASSUMPTIONS!$C$69),K1236+0.005)</f>
        <v/>
      </c>
      <c r="J1236" s="83">
        <f>_xlfn.NORM.INV(RAND(),ASSUMPTIONS!$C$19,ASSUMPTIONS!$C$70)</f>
        <v/>
      </c>
      <c r="K1236" s="83">
        <f>_xlfn.NORM.INV(RAND(),ASSUMPTIONS!$C$43,ASSUMPTIONS!$C$71)</f>
        <v/>
      </c>
      <c r="L1236" s="84">
        <f>(((ASSUMPTIONS!$C$18*J1236*(1-ASSUMPTIONS!$C$20)+ASSUMPTIONS!$C$18*ASSUMPTIONS!$C$21-ASSUMPTIONS!$C$18*ASSUMPTIONS!$C$22)*(1+H1236)*(1-((1+H1236)/(1+I1236))^5)/(I1236-H1236))+((ASSUMPTIONS!$C$18*J1236*(1-ASSUMPTIONS!$C$20)+ASSUMPTIONS!$C$18*ASSUMPTIONS!$C$21-ASSUMPTIONS!$C$18*ASSUMPTIONS!$C$22)*(1+H1236)^5*(1+K1236)/(I1236-K1236)/(1+I1236)^5)-DCF!$C$12)/ASSUMPTIONS!$C$7</f>
        <v/>
      </c>
    </row>
    <row r="1237">
      <c r="H1237" s="83">
        <f>_xlfn.NORM.INV(RAND(),AVERAGE(ASSUMPTIONS!$C$38,ASSUMPTIONS!$C$39,ASSUMPTIONS!$C$40,ASSUMPTIONS!$C$41,ASSUMPTIONS!$C$42),ASSUMPTIONS!$C$68)</f>
        <v/>
      </c>
      <c r="I1237" s="83">
        <f>MAX(_xlfn.NORM.INV(RAND(),DCF!$C$11,ASSUMPTIONS!$C$69),K1237+0.005)</f>
        <v/>
      </c>
      <c r="J1237" s="83">
        <f>_xlfn.NORM.INV(RAND(),ASSUMPTIONS!$C$19,ASSUMPTIONS!$C$70)</f>
        <v/>
      </c>
      <c r="K1237" s="83">
        <f>_xlfn.NORM.INV(RAND(),ASSUMPTIONS!$C$43,ASSUMPTIONS!$C$71)</f>
        <v/>
      </c>
      <c r="L1237" s="84">
        <f>(((ASSUMPTIONS!$C$18*J1237*(1-ASSUMPTIONS!$C$20)+ASSUMPTIONS!$C$18*ASSUMPTIONS!$C$21-ASSUMPTIONS!$C$18*ASSUMPTIONS!$C$22)*(1+H1237)*(1-((1+H1237)/(1+I1237))^5)/(I1237-H1237))+((ASSUMPTIONS!$C$18*J1237*(1-ASSUMPTIONS!$C$20)+ASSUMPTIONS!$C$18*ASSUMPTIONS!$C$21-ASSUMPTIONS!$C$18*ASSUMPTIONS!$C$22)*(1+H1237)^5*(1+K1237)/(I1237-K1237)/(1+I1237)^5)-DCF!$C$12)/ASSUMPTIONS!$C$7</f>
        <v/>
      </c>
    </row>
    <row r="1238">
      <c r="H1238" s="83">
        <f>_xlfn.NORM.INV(RAND(),AVERAGE(ASSUMPTIONS!$C$38,ASSUMPTIONS!$C$39,ASSUMPTIONS!$C$40,ASSUMPTIONS!$C$41,ASSUMPTIONS!$C$42),ASSUMPTIONS!$C$68)</f>
        <v/>
      </c>
      <c r="I1238" s="83">
        <f>MAX(_xlfn.NORM.INV(RAND(),DCF!$C$11,ASSUMPTIONS!$C$69),K1238+0.005)</f>
        <v/>
      </c>
      <c r="J1238" s="83">
        <f>_xlfn.NORM.INV(RAND(),ASSUMPTIONS!$C$19,ASSUMPTIONS!$C$70)</f>
        <v/>
      </c>
      <c r="K1238" s="83">
        <f>_xlfn.NORM.INV(RAND(),ASSUMPTIONS!$C$43,ASSUMPTIONS!$C$71)</f>
        <v/>
      </c>
      <c r="L1238" s="84">
        <f>(((ASSUMPTIONS!$C$18*J1238*(1-ASSUMPTIONS!$C$20)+ASSUMPTIONS!$C$18*ASSUMPTIONS!$C$21-ASSUMPTIONS!$C$18*ASSUMPTIONS!$C$22)*(1+H1238)*(1-((1+H1238)/(1+I1238))^5)/(I1238-H1238))+((ASSUMPTIONS!$C$18*J1238*(1-ASSUMPTIONS!$C$20)+ASSUMPTIONS!$C$18*ASSUMPTIONS!$C$21-ASSUMPTIONS!$C$18*ASSUMPTIONS!$C$22)*(1+H1238)^5*(1+K1238)/(I1238-K1238)/(1+I1238)^5)-DCF!$C$12)/ASSUMPTIONS!$C$7</f>
        <v/>
      </c>
    </row>
    <row r="1239">
      <c r="H1239" s="83">
        <f>_xlfn.NORM.INV(RAND(),AVERAGE(ASSUMPTIONS!$C$38,ASSUMPTIONS!$C$39,ASSUMPTIONS!$C$40,ASSUMPTIONS!$C$41,ASSUMPTIONS!$C$42),ASSUMPTIONS!$C$68)</f>
        <v/>
      </c>
      <c r="I1239" s="83">
        <f>MAX(_xlfn.NORM.INV(RAND(),DCF!$C$11,ASSUMPTIONS!$C$69),K1239+0.005)</f>
        <v/>
      </c>
      <c r="J1239" s="83">
        <f>_xlfn.NORM.INV(RAND(),ASSUMPTIONS!$C$19,ASSUMPTIONS!$C$70)</f>
        <v/>
      </c>
      <c r="K1239" s="83">
        <f>_xlfn.NORM.INV(RAND(),ASSUMPTIONS!$C$43,ASSUMPTIONS!$C$71)</f>
        <v/>
      </c>
      <c r="L1239" s="84">
        <f>(((ASSUMPTIONS!$C$18*J1239*(1-ASSUMPTIONS!$C$20)+ASSUMPTIONS!$C$18*ASSUMPTIONS!$C$21-ASSUMPTIONS!$C$18*ASSUMPTIONS!$C$22)*(1+H1239)*(1-((1+H1239)/(1+I1239))^5)/(I1239-H1239))+((ASSUMPTIONS!$C$18*J1239*(1-ASSUMPTIONS!$C$20)+ASSUMPTIONS!$C$18*ASSUMPTIONS!$C$21-ASSUMPTIONS!$C$18*ASSUMPTIONS!$C$22)*(1+H1239)^5*(1+K1239)/(I1239-K1239)/(1+I1239)^5)-DCF!$C$12)/ASSUMPTIONS!$C$7</f>
        <v/>
      </c>
    </row>
    <row r="1240">
      <c r="H1240" s="83">
        <f>_xlfn.NORM.INV(RAND(),AVERAGE(ASSUMPTIONS!$C$38,ASSUMPTIONS!$C$39,ASSUMPTIONS!$C$40,ASSUMPTIONS!$C$41,ASSUMPTIONS!$C$42),ASSUMPTIONS!$C$68)</f>
        <v/>
      </c>
      <c r="I1240" s="83">
        <f>MAX(_xlfn.NORM.INV(RAND(),DCF!$C$11,ASSUMPTIONS!$C$69),K1240+0.005)</f>
        <v/>
      </c>
      <c r="J1240" s="83">
        <f>_xlfn.NORM.INV(RAND(),ASSUMPTIONS!$C$19,ASSUMPTIONS!$C$70)</f>
        <v/>
      </c>
      <c r="K1240" s="83">
        <f>_xlfn.NORM.INV(RAND(),ASSUMPTIONS!$C$43,ASSUMPTIONS!$C$71)</f>
        <v/>
      </c>
      <c r="L1240" s="84">
        <f>(((ASSUMPTIONS!$C$18*J1240*(1-ASSUMPTIONS!$C$20)+ASSUMPTIONS!$C$18*ASSUMPTIONS!$C$21-ASSUMPTIONS!$C$18*ASSUMPTIONS!$C$22)*(1+H1240)*(1-((1+H1240)/(1+I1240))^5)/(I1240-H1240))+((ASSUMPTIONS!$C$18*J1240*(1-ASSUMPTIONS!$C$20)+ASSUMPTIONS!$C$18*ASSUMPTIONS!$C$21-ASSUMPTIONS!$C$18*ASSUMPTIONS!$C$22)*(1+H1240)^5*(1+K1240)/(I1240-K1240)/(1+I1240)^5)-DCF!$C$12)/ASSUMPTIONS!$C$7</f>
        <v/>
      </c>
    </row>
    <row r="1241">
      <c r="H1241" s="83">
        <f>_xlfn.NORM.INV(RAND(),AVERAGE(ASSUMPTIONS!$C$38,ASSUMPTIONS!$C$39,ASSUMPTIONS!$C$40,ASSUMPTIONS!$C$41,ASSUMPTIONS!$C$42),ASSUMPTIONS!$C$68)</f>
        <v/>
      </c>
      <c r="I1241" s="83">
        <f>MAX(_xlfn.NORM.INV(RAND(),DCF!$C$11,ASSUMPTIONS!$C$69),K1241+0.005)</f>
        <v/>
      </c>
      <c r="J1241" s="83">
        <f>_xlfn.NORM.INV(RAND(),ASSUMPTIONS!$C$19,ASSUMPTIONS!$C$70)</f>
        <v/>
      </c>
      <c r="K1241" s="83">
        <f>_xlfn.NORM.INV(RAND(),ASSUMPTIONS!$C$43,ASSUMPTIONS!$C$71)</f>
        <v/>
      </c>
      <c r="L1241" s="84">
        <f>(((ASSUMPTIONS!$C$18*J1241*(1-ASSUMPTIONS!$C$20)+ASSUMPTIONS!$C$18*ASSUMPTIONS!$C$21-ASSUMPTIONS!$C$18*ASSUMPTIONS!$C$22)*(1+H1241)*(1-((1+H1241)/(1+I1241))^5)/(I1241-H1241))+((ASSUMPTIONS!$C$18*J1241*(1-ASSUMPTIONS!$C$20)+ASSUMPTIONS!$C$18*ASSUMPTIONS!$C$21-ASSUMPTIONS!$C$18*ASSUMPTIONS!$C$22)*(1+H1241)^5*(1+K1241)/(I1241-K1241)/(1+I1241)^5)-DCF!$C$12)/ASSUMPTIONS!$C$7</f>
        <v/>
      </c>
    </row>
    <row r="1242">
      <c r="H1242" s="83">
        <f>_xlfn.NORM.INV(RAND(),AVERAGE(ASSUMPTIONS!$C$38,ASSUMPTIONS!$C$39,ASSUMPTIONS!$C$40,ASSUMPTIONS!$C$41,ASSUMPTIONS!$C$42),ASSUMPTIONS!$C$68)</f>
        <v/>
      </c>
      <c r="I1242" s="83">
        <f>MAX(_xlfn.NORM.INV(RAND(),DCF!$C$11,ASSUMPTIONS!$C$69),K1242+0.005)</f>
        <v/>
      </c>
      <c r="J1242" s="83">
        <f>_xlfn.NORM.INV(RAND(),ASSUMPTIONS!$C$19,ASSUMPTIONS!$C$70)</f>
        <v/>
      </c>
      <c r="K1242" s="83">
        <f>_xlfn.NORM.INV(RAND(),ASSUMPTIONS!$C$43,ASSUMPTIONS!$C$71)</f>
        <v/>
      </c>
      <c r="L1242" s="84">
        <f>(((ASSUMPTIONS!$C$18*J1242*(1-ASSUMPTIONS!$C$20)+ASSUMPTIONS!$C$18*ASSUMPTIONS!$C$21-ASSUMPTIONS!$C$18*ASSUMPTIONS!$C$22)*(1+H1242)*(1-((1+H1242)/(1+I1242))^5)/(I1242-H1242))+((ASSUMPTIONS!$C$18*J1242*(1-ASSUMPTIONS!$C$20)+ASSUMPTIONS!$C$18*ASSUMPTIONS!$C$21-ASSUMPTIONS!$C$18*ASSUMPTIONS!$C$22)*(1+H1242)^5*(1+K1242)/(I1242-K1242)/(1+I1242)^5)-DCF!$C$12)/ASSUMPTIONS!$C$7</f>
        <v/>
      </c>
    </row>
    <row r="1243">
      <c r="H1243" s="83">
        <f>_xlfn.NORM.INV(RAND(),AVERAGE(ASSUMPTIONS!$C$38,ASSUMPTIONS!$C$39,ASSUMPTIONS!$C$40,ASSUMPTIONS!$C$41,ASSUMPTIONS!$C$42),ASSUMPTIONS!$C$68)</f>
        <v/>
      </c>
      <c r="I1243" s="83">
        <f>MAX(_xlfn.NORM.INV(RAND(),DCF!$C$11,ASSUMPTIONS!$C$69),K1243+0.005)</f>
        <v/>
      </c>
      <c r="J1243" s="83">
        <f>_xlfn.NORM.INV(RAND(),ASSUMPTIONS!$C$19,ASSUMPTIONS!$C$70)</f>
        <v/>
      </c>
      <c r="K1243" s="83">
        <f>_xlfn.NORM.INV(RAND(),ASSUMPTIONS!$C$43,ASSUMPTIONS!$C$71)</f>
        <v/>
      </c>
      <c r="L1243" s="84">
        <f>(((ASSUMPTIONS!$C$18*J1243*(1-ASSUMPTIONS!$C$20)+ASSUMPTIONS!$C$18*ASSUMPTIONS!$C$21-ASSUMPTIONS!$C$18*ASSUMPTIONS!$C$22)*(1+H1243)*(1-((1+H1243)/(1+I1243))^5)/(I1243-H1243))+((ASSUMPTIONS!$C$18*J1243*(1-ASSUMPTIONS!$C$20)+ASSUMPTIONS!$C$18*ASSUMPTIONS!$C$21-ASSUMPTIONS!$C$18*ASSUMPTIONS!$C$22)*(1+H1243)^5*(1+K1243)/(I1243-K1243)/(1+I1243)^5)-DCF!$C$12)/ASSUMPTIONS!$C$7</f>
        <v/>
      </c>
    </row>
    <row r="1244">
      <c r="H1244" s="83">
        <f>_xlfn.NORM.INV(RAND(),AVERAGE(ASSUMPTIONS!$C$38,ASSUMPTIONS!$C$39,ASSUMPTIONS!$C$40,ASSUMPTIONS!$C$41,ASSUMPTIONS!$C$42),ASSUMPTIONS!$C$68)</f>
        <v/>
      </c>
      <c r="I1244" s="83">
        <f>MAX(_xlfn.NORM.INV(RAND(),DCF!$C$11,ASSUMPTIONS!$C$69),K1244+0.005)</f>
        <v/>
      </c>
      <c r="J1244" s="83">
        <f>_xlfn.NORM.INV(RAND(),ASSUMPTIONS!$C$19,ASSUMPTIONS!$C$70)</f>
        <v/>
      </c>
      <c r="K1244" s="83">
        <f>_xlfn.NORM.INV(RAND(),ASSUMPTIONS!$C$43,ASSUMPTIONS!$C$71)</f>
        <v/>
      </c>
      <c r="L1244" s="84">
        <f>(((ASSUMPTIONS!$C$18*J1244*(1-ASSUMPTIONS!$C$20)+ASSUMPTIONS!$C$18*ASSUMPTIONS!$C$21-ASSUMPTIONS!$C$18*ASSUMPTIONS!$C$22)*(1+H1244)*(1-((1+H1244)/(1+I1244))^5)/(I1244-H1244))+((ASSUMPTIONS!$C$18*J1244*(1-ASSUMPTIONS!$C$20)+ASSUMPTIONS!$C$18*ASSUMPTIONS!$C$21-ASSUMPTIONS!$C$18*ASSUMPTIONS!$C$22)*(1+H1244)^5*(1+K1244)/(I1244-K1244)/(1+I1244)^5)-DCF!$C$12)/ASSUMPTIONS!$C$7</f>
        <v/>
      </c>
    </row>
    <row r="1245">
      <c r="H1245" s="83">
        <f>_xlfn.NORM.INV(RAND(),AVERAGE(ASSUMPTIONS!$C$38,ASSUMPTIONS!$C$39,ASSUMPTIONS!$C$40,ASSUMPTIONS!$C$41,ASSUMPTIONS!$C$42),ASSUMPTIONS!$C$68)</f>
        <v/>
      </c>
      <c r="I1245" s="83">
        <f>MAX(_xlfn.NORM.INV(RAND(),DCF!$C$11,ASSUMPTIONS!$C$69),K1245+0.005)</f>
        <v/>
      </c>
      <c r="J1245" s="83">
        <f>_xlfn.NORM.INV(RAND(),ASSUMPTIONS!$C$19,ASSUMPTIONS!$C$70)</f>
        <v/>
      </c>
      <c r="K1245" s="83">
        <f>_xlfn.NORM.INV(RAND(),ASSUMPTIONS!$C$43,ASSUMPTIONS!$C$71)</f>
        <v/>
      </c>
      <c r="L1245" s="84">
        <f>(((ASSUMPTIONS!$C$18*J1245*(1-ASSUMPTIONS!$C$20)+ASSUMPTIONS!$C$18*ASSUMPTIONS!$C$21-ASSUMPTIONS!$C$18*ASSUMPTIONS!$C$22)*(1+H1245)*(1-((1+H1245)/(1+I1245))^5)/(I1245-H1245))+((ASSUMPTIONS!$C$18*J1245*(1-ASSUMPTIONS!$C$20)+ASSUMPTIONS!$C$18*ASSUMPTIONS!$C$21-ASSUMPTIONS!$C$18*ASSUMPTIONS!$C$22)*(1+H1245)^5*(1+K1245)/(I1245-K1245)/(1+I1245)^5)-DCF!$C$12)/ASSUMPTIONS!$C$7</f>
        <v/>
      </c>
    </row>
    <row r="1246">
      <c r="H1246" s="83">
        <f>_xlfn.NORM.INV(RAND(),AVERAGE(ASSUMPTIONS!$C$38,ASSUMPTIONS!$C$39,ASSUMPTIONS!$C$40,ASSUMPTIONS!$C$41,ASSUMPTIONS!$C$42),ASSUMPTIONS!$C$68)</f>
        <v/>
      </c>
      <c r="I1246" s="83">
        <f>MAX(_xlfn.NORM.INV(RAND(),DCF!$C$11,ASSUMPTIONS!$C$69),K1246+0.005)</f>
        <v/>
      </c>
      <c r="J1246" s="83">
        <f>_xlfn.NORM.INV(RAND(),ASSUMPTIONS!$C$19,ASSUMPTIONS!$C$70)</f>
        <v/>
      </c>
      <c r="K1246" s="83">
        <f>_xlfn.NORM.INV(RAND(),ASSUMPTIONS!$C$43,ASSUMPTIONS!$C$71)</f>
        <v/>
      </c>
      <c r="L1246" s="84">
        <f>(((ASSUMPTIONS!$C$18*J1246*(1-ASSUMPTIONS!$C$20)+ASSUMPTIONS!$C$18*ASSUMPTIONS!$C$21-ASSUMPTIONS!$C$18*ASSUMPTIONS!$C$22)*(1+H1246)*(1-((1+H1246)/(1+I1246))^5)/(I1246-H1246))+((ASSUMPTIONS!$C$18*J1246*(1-ASSUMPTIONS!$C$20)+ASSUMPTIONS!$C$18*ASSUMPTIONS!$C$21-ASSUMPTIONS!$C$18*ASSUMPTIONS!$C$22)*(1+H1246)^5*(1+K1246)/(I1246-K1246)/(1+I1246)^5)-DCF!$C$12)/ASSUMPTIONS!$C$7</f>
        <v/>
      </c>
    </row>
    <row r="1247">
      <c r="H1247" s="83">
        <f>_xlfn.NORM.INV(RAND(),AVERAGE(ASSUMPTIONS!$C$38,ASSUMPTIONS!$C$39,ASSUMPTIONS!$C$40,ASSUMPTIONS!$C$41,ASSUMPTIONS!$C$42),ASSUMPTIONS!$C$68)</f>
        <v/>
      </c>
      <c r="I1247" s="83">
        <f>MAX(_xlfn.NORM.INV(RAND(),DCF!$C$11,ASSUMPTIONS!$C$69),K1247+0.005)</f>
        <v/>
      </c>
      <c r="J1247" s="83">
        <f>_xlfn.NORM.INV(RAND(),ASSUMPTIONS!$C$19,ASSUMPTIONS!$C$70)</f>
        <v/>
      </c>
      <c r="K1247" s="83">
        <f>_xlfn.NORM.INV(RAND(),ASSUMPTIONS!$C$43,ASSUMPTIONS!$C$71)</f>
        <v/>
      </c>
      <c r="L1247" s="84">
        <f>(((ASSUMPTIONS!$C$18*J1247*(1-ASSUMPTIONS!$C$20)+ASSUMPTIONS!$C$18*ASSUMPTIONS!$C$21-ASSUMPTIONS!$C$18*ASSUMPTIONS!$C$22)*(1+H1247)*(1-((1+H1247)/(1+I1247))^5)/(I1247-H1247))+((ASSUMPTIONS!$C$18*J1247*(1-ASSUMPTIONS!$C$20)+ASSUMPTIONS!$C$18*ASSUMPTIONS!$C$21-ASSUMPTIONS!$C$18*ASSUMPTIONS!$C$22)*(1+H1247)^5*(1+K1247)/(I1247-K1247)/(1+I1247)^5)-DCF!$C$12)/ASSUMPTIONS!$C$7</f>
        <v/>
      </c>
    </row>
    <row r="1248">
      <c r="H1248" s="83">
        <f>_xlfn.NORM.INV(RAND(),AVERAGE(ASSUMPTIONS!$C$38,ASSUMPTIONS!$C$39,ASSUMPTIONS!$C$40,ASSUMPTIONS!$C$41,ASSUMPTIONS!$C$42),ASSUMPTIONS!$C$68)</f>
        <v/>
      </c>
      <c r="I1248" s="83">
        <f>MAX(_xlfn.NORM.INV(RAND(),DCF!$C$11,ASSUMPTIONS!$C$69),K1248+0.005)</f>
        <v/>
      </c>
      <c r="J1248" s="83">
        <f>_xlfn.NORM.INV(RAND(),ASSUMPTIONS!$C$19,ASSUMPTIONS!$C$70)</f>
        <v/>
      </c>
      <c r="K1248" s="83">
        <f>_xlfn.NORM.INV(RAND(),ASSUMPTIONS!$C$43,ASSUMPTIONS!$C$71)</f>
        <v/>
      </c>
      <c r="L1248" s="84">
        <f>(((ASSUMPTIONS!$C$18*J1248*(1-ASSUMPTIONS!$C$20)+ASSUMPTIONS!$C$18*ASSUMPTIONS!$C$21-ASSUMPTIONS!$C$18*ASSUMPTIONS!$C$22)*(1+H1248)*(1-((1+H1248)/(1+I1248))^5)/(I1248-H1248))+((ASSUMPTIONS!$C$18*J1248*(1-ASSUMPTIONS!$C$20)+ASSUMPTIONS!$C$18*ASSUMPTIONS!$C$21-ASSUMPTIONS!$C$18*ASSUMPTIONS!$C$22)*(1+H1248)^5*(1+K1248)/(I1248-K1248)/(1+I1248)^5)-DCF!$C$12)/ASSUMPTIONS!$C$7</f>
        <v/>
      </c>
    </row>
    <row r="1249">
      <c r="H1249" s="83">
        <f>_xlfn.NORM.INV(RAND(),AVERAGE(ASSUMPTIONS!$C$38,ASSUMPTIONS!$C$39,ASSUMPTIONS!$C$40,ASSUMPTIONS!$C$41,ASSUMPTIONS!$C$42),ASSUMPTIONS!$C$68)</f>
        <v/>
      </c>
      <c r="I1249" s="83">
        <f>MAX(_xlfn.NORM.INV(RAND(),DCF!$C$11,ASSUMPTIONS!$C$69),K1249+0.005)</f>
        <v/>
      </c>
      <c r="J1249" s="83">
        <f>_xlfn.NORM.INV(RAND(),ASSUMPTIONS!$C$19,ASSUMPTIONS!$C$70)</f>
        <v/>
      </c>
      <c r="K1249" s="83">
        <f>_xlfn.NORM.INV(RAND(),ASSUMPTIONS!$C$43,ASSUMPTIONS!$C$71)</f>
        <v/>
      </c>
      <c r="L1249" s="84">
        <f>(((ASSUMPTIONS!$C$18*J1249*(1-ASSUMPTIONS!$C$20)+ASSUMPTIONS!$C$18*ASSUMPTIONS!$C$21-ASSUMPTIONS!$C$18*ASSUMPTIONS!$C$22)*(1+H1249)*(1-((1+H1249)/(1+I1249))^5)/(I1249-H1249))+((ASSUMPTIONS!$C$18*J1249*(1-ASSUMPTIONS!$C$20)+ASSUMPTIONS!$C$18*ASSUMPTIONS!$C$21-ASSUMPTIONS!$C$18*ASSUMPTIONS!$C$22)*(1+H1249)^5*(1+K1249)/(I1249-K1249)/(1+I1249)^5)-DCF!$C$12)/ASSUMPTIONS!$C$7</f>
        <v/>
      </c>
    </row>
    <row r="1250">
      <c r="H1250" s="83">
        <f>_xlfn.NORM.INV(RAND(),AVERAGE(ASSUMPTIONS!$C$38,ASSUMPTIONS!$C$39,ASSUMPTIONS!$C$40,ASSUMPTIONS!$C$41,ASSUMPTIONS!$C$42),ASSUMPTIONS!$C$68)</f>
        <v/>
      </c>
      <c r="I1250" s="83">
        <f>MAX(_xlfn.NORM.INV(RAND(),DCF!$C$11,ASSUMPTIONS!$C$69),K1250+0.005)</f>
        <v/>
      </c>
      <c r="J1250" s="83">
        <f>_xlfn.NORM.INV(RAND(),ASSUMPTIONS!$C$19,ASSUMPTIONS!$C$70)</f>
        <v/>
      </c>
      <c r="K1250" s="83">
        <f>_xlfn.NORM.INV(RAND(),ASSUMPTIONS!$C$43,ASSUMPTIONS!$C$71)</f>
        <v/>
      </c>
      <c r="L1250" s="84">
        <f>(((ASSUMPTIONS!$C$18*J1250*(1-ASSUMPTIONS!$C$20)+ASSUMPTIONS!$C$18*ASSUMPTIONS!$C$21-ASSUMPTIONS!$C$18*ASSUMPTIONS!$C$22)*(1+H1250)*(1-((1+H1250)/(1+I1250))^5)/(I1250-H1250))+((ASSUMPTIONS!$C$18*J1250*(1-ASSUMPTIONS!$C$20)+ASSUMPTIONS!$C$18*ASSUMPTIONS!$C$21-ASSUMPTIONS!$C$18*ASSUMPTIONS!$C$22)*(1+H1250)^5*(1+K1250)/(I1250-K1250)/(1+I1250)^5)-DCF!$C$12)/ASSUMPTIONS!$C$7</f>
        <v/>
      </c>
    </row>
    <row r="1251">
      <c r="H1251" s="83">
        <f>_xlfn.NORM.INV(RAND(),AVERAGE(ASSUMPTIONS!$C$38,ASSUMPTIONS!$C$39,ASSUMPTIONS!$C$40,ASSUMPTIONS!$C$41,ASSUMPTIONS!$C$42),ASSUMPTIONS!$C$68)</f>
        <v/>
      </c>
      <c r="I1251" s="83">
        <f>MAX(_xlfn.NORM.INV(RAND(),DCF!$C$11,ASSUMPTIONS!$C$69),K1251+0.005)</f>
        <v/>
      </c>
      <c r="J1251" s="83">
        <f>_xlfn.NORM.INV(RAND(),ASSUMPTIONS!$C$19,ASSUMPTIONS!$C$70)</f>
        <v/>
      </c>
      <c r="K1251" s="83">
        <f>_xlfn.NORM.INV(RAND(),ASSUMPTIONS!$C$43,ASSUMPTIONS!$C$71)</f>
        <v/>
      </c>
      <c r="L1251" s="84">
        <f>(((ASSUMPTIONS!$C$18*J1251*(1-ASSUMPTIONS!$C$20)+ASSUMPTIONS!$C$18*ASSUMPTIONS!$C$21-ASSUMPTIONS!$C$18*ASSUMPTIONS!$C$22)*(1+H1251)*(1-((1+H1251)/(1+I1251))^5)/(I1251-H1251))+((ASSUMPTIONS!$C$18*J1251*(1-ASSUMPTIONS!$C$20)+ASSUMPTIONS!$C$18*ASSUMPTIONS!$C$21-ASSUMPTIONS!$C$18*ASSUMPTIONS!$C$22)*(1+H1251)^5*(1+K1251)/(I1251-K1251)/(1+I1251)^5)-DCF!$C$12)/ASSUMPTIONS!$C$7</f>
        <v/>
      </c>
    </row>
    <row r="1252">
      <c r="H1252" s="83">
        <f>_xlfn.NORM.INV(RAND(),AVERAGE(ASSUMPTIONS!$C$38,ASSUMPTIONS!$C$39,ASSUMPTIONS!$C$40,ASSUMPTIONS!$C$41,ASSUMPTIONS!$C$42),ASSUMPTIONS!$C$68)</f>
        <v/>
      </c>
      <c r="I1252" s="83">
        <f>MAX(_xlfn.NORM.INV(RAND(),DCF!$C$11,ASSUMPTIONS!$C$69),K1252+0.005)</f>
        <v/>
      </c>
      <c r="J1252" s="83">
        <f>_xlfn.NORM.INV(RAND(),ASSUMPTIONS!$C$19,ASSUMPTIONS!$C$70)</f>
        <v/>
      </c>
      <c r="K1252" s="83">
        <f>_xlfn.NORM.INV(RAND(),ASSUMPTIONS!$C$43,ASSUMPTIONS!$C$71)</f>
        <v/>
      </c>
      <c r="L1252" s="84">
        <f>(((ASSUMPTIONS!$C$18*J1252*(1-ASSUMPTIONS!$C$20)+ASSUMPTIONS!$C$18*ASSUMPTIONS!$C$21-ASSUMPTIONS!$C$18*ASSUMPTIONS!$C$22)*(1+H1252)*(1-((1+H1252)/(1+I1252))^5)/(I1252-H1252))+((ASSUMPTIONS!$C$18*J1252*(1-ASSUMPTIONS!$C$20)+ASSUMPTIONS!$C$18*ASSUMPTIONS!$C$21-ASSUMPTIONS!$C$18*ASSUMPTIONS!$C$22)*(1+H1252)^5*(1+K1252)/(I1252-K1252)/(1+I1252)^5)-DCF!$C$12)/ASSUMPTIONS!$C$7</f>
        <v/>
      </c>
    </row>
    <row r="1253">
      <c r="H1253" s="83">
        <f>_xlfn.NORM.INV(RAND(),AVERAGE(ASSUMPTIONS!$C$38,ASSUMPTIONS!$C$39,ASSUMPTIONS!$C$40,ASSUMPTIONS!$C$41,ASSUMPTIONS!$C$42),ASSUMPTIONS!$C$68)</f>
        <v/>
      </c>
      <c r="I1253" s="83">
        <f>MAX(_xlfn.NORM.INV(RAND(),DCF!$C$11,ASSUMPTIONS!$C$69),K1253+0.005)</f>
        <v/>
      </c>
      <c r="J1253" s="83">
        <f>_xlfn.NORM.INV(RAND(),ASSUMPTIONS!$C$19,ASSUMPTIONS!$C$70)</f>
        <v/>
      </c>
      <c r="K1253" s="83">
        <f>_xlfn.NORM.INV(RAND(),ASSUMPTIONS!$C$43,ASSUMPTIONS!$C$71)</f>
        <v/>
      </c>
      <c r="L1253" s="84">
        <f>(((ASSUMPTIONS!$C$18*J1253*(1-ASSUMPTIONS!$C$20)+ASSUMPTIONS!$C$18*ASSUMPTIONS!$C$21-ASSUMPTIONS!$C$18*ASSUMPTIONS!$C$22)*(1+H1253)*(1-((1+H1253)/(1+I1253))^5)/(I1253-H1253))+((ASSUMPTIONS!$C$18*J1253*(1-ASSUMPTIONS!$C$20)+ASSUMPTIONS!$C$18*ASSUMPTIONS!$C$21-ASSUMPTIONS!$C$18*ASSUMPTIONS!$C$22)*(1+H1253)^5*(1+K1253)/(I1253-K1253)/(1+I1253)^5)-DCF!$C$12)/ASSUMPTIONS!$C$7</f>
        <v/>
      </c>
    </row>
    <row r="1254">
      <c r="H1254" s="83">
        <f>_xlfn.NORM.INV(RAND(),AVERAGE(ASSUMPTIONS!$C$38,ASSUMPTIONS!$C$39,ASSUMPTIONS!$C$40,ASSUMPTIONS!$C$41,ASSUMPTIONS!$C$42),ASSUMPTIONS!$C$68)</f>
        <v/>
      </c>
      <c r="I1254" s="83">
        <f>MAX(_xlfn.NORM.INV(RAND(),DCF!$C$11,ASSUMPTIONS!$C$69),K1254+0.005)</f>
        <v/>
      </c>
      <c r="J1254" s="83">
        <f>_xlfn.NORM.INV(RAND(),ASSUMPTIONS!$C$19,ASSUMPTIONS!$C$70)</f>
        <v/>
      </c>
      <c r="K1254" s="83">
        <f>_xlfn.NORM.INV(RAND(),ASSUMPTIONS!$C$43,ASSUMPTIONS!$C$71)</f>
        <v/>
      </c>
      <c r="L1254" s="84">
        <f>(((ASSUMPTIONS!$C$18*J1254*(1-ASSUMPTIONS!$C$20)+ASSUMPTIONS!$C$18*ASSUMPTIONS!$C$21-ASSUMPTIONS!$C$18*ASSUMPTIONS!$C$22)*(1+H1254)*(1-((1+H1254)/(1+I1254))^5)/(I1254-H1254))+((ASSUMPTIONS!$C$18*J1254*(1-ASSUMPTIONS!$C$20)+ASSUMPTIONS!$C$18*ASSUMPTIONS!$C$21-ASSUMPTIONS!$C$18*ASSUMPTIONS!$C$22)*(1+H1254)^5*(1+K1254)/(I1254-K1254)/(1+I1254)^5)-DCF!$C$12)/ASSUMPTIONS!$C$7</f>
        <v/>
      </c>
    </row>
    <row r="1255">
      <c r="H1255" s="83">
        <f>_xlfn.NORM.INV(RAND(),AVERAGE(ASSUMPTIONS!$C$38,ASSUMPTIONS!$C$39,ASSUMPTIONS!$C$40,ASSUMPTIONS!$C$41,ASSUMPTIONS!$C$42),ASSUMPTIONS!$C$68)</f>
        <v/>
      </c>
      <c r="I1255" s="83">
        <f>MAX(_xlfn.NORM.INV(RAND(),DCF!$C$11,ASSUMPTIONS!$C$69),K1255+0.005)</f>
        <v/>
      </c>
      <c r="J1255" s="83">
        <f>_xlfn.NORM.INV(RAND(),ASSUMPTIONS!$C$19,ASSUMPTIONS!$C$70)</f>
        <v/>
      </c>
      <c r="K1255" s="83">
        <f>_xlfn.NORM.INV(RAND(),ASSUMPTIONS!$C$43,ASSUMPTIONS!$C$71)</f>
        <v/>
      </c>
      <c r="L1255" s="84">
        <f>(((ASSUMPTIONS!$C$18*J1255*(1-ASSUMPTIONS!$C$20)+ASSUMPTIONS!$C$18*ASSUMPTIONS!$C$21-ASSUMPTIONS!$C$18*ASSUMPTIONS!$C$22)*(1+H1255)*(1-((1+H1255)/(1+I1255))^5)/(I1255-H1255))+((ASSUMPTIONS!$C$18*J1255*(1-ASSUMPTIONS!$C$20)+ASSUMPTIONS!$C$18*ASSUMPTIONS!$C$21-ASSUMPTIONS!$C$18*ASSUMPTIONS!$C$22)*(1+H1255)^5*(1+K1255)/(I1255-K1255)/(1+I1255)^5)-DCF!$C$12)/ASSUMPTIONS!$C$7</f>
        <v/>
      </c>
    </row>
    <row r="1256">
      <c r="H1256" s="83">
        <f>_xlfn.NORM.INV(RAND(),AVERAGE(ASSUMPTIONS!$C$38,ASSUMPTIONS!$C$39,ASSUMPTIONS!$C$40,ASSUMPTIONS!$C$41,ASSUMPTIONS!$C$42),ASSUMPTIONS!$C$68)</f>
        <v/>
      </c>
      <c r="I1256" s="83">
        <f>MAX(_xlfn.NORM.INV(RAND(),DCF!$C$11,ASSUMPTIONS!$C$69),K1256+0.005)</f>
        <v/>
      </c>
      <c r="J1256" s="83">
        <f>_xlfn.NORM.INV(RAND(),ASSUMPTIONS!$C$19,ASSUMPTIONS!$C$70)</f>
        <v/>
      </c>
      <c r="K1256" s="83">
        <f>_xlfn.NORM.INV(RAND(),ASSUMPTIONS!$C$43,ASSUMPTIONS!$C$71)</f>
        <v/>
      </c>
      <c r="L1256" s="84">
        <f>(((ASSUMPTIONS!$C$18*J1256*(1-ASSUMPTIONS!$C$20)+ASSUMPTIONS!$C$18*ASSUMPTIONS!$C$21-ASSUMPTIONS!$C$18*ASSUMPTIONS!$C$22)*(1+H1256)*(1-((1+H1256)/(1+I1256))^5)/(I1256-H1256))+((ASSUMPTIONS!$C$18*J1256*(1-ASSUMPTIONS!$C$20)+ASSUMPTIONS!$C$18*ASSUMPTIONS!$C$21-ASSUMPTIONS!$C$18*ASSUMPTIONS!$C$22)*(1+H1256)^5*(1+K1256)/(I1256-K1256)/(1+I1256)^5)-DCF!$C$12)/ASSUMPTIONS!$C$7</f>
        <v/>
      </c>
    </row>
    <row r="1257">
      <c r="H1257" s="83">
        <f>_xlfn.NORM.INV(RAND(),AVERAGE(ASSUMPTIONS!$C$38,ASSUMPTIONS!$C$39,ASSUMPTIONS!$C$40,ASSUMPTIONS!$C$41,ASSUMPTIONS!$C$42),ASSUMPTIONS!$C$68)</f>
        <v/>
      </c>
      <c r="I1257" s="83">
        <f>MAX(_xlfn.NORM.INV(RAND(),DCF!$C$11,ASSUMPTIONS!$C$69),K1257+0.005)</f>
        <v/>
      </c>
      <c r="J1257" s="83">
        <f>_xlfn.NORM.INV(RAND(),ASSUMPTIONS!$C$19,ASSUMPTIONS!$C$70)</f>
        <v/>
      </c>
      <c r="K1257" s="83">
        <f>_xlfn.NORM.INV(RAND(),ASSUMPTIONS!$C$43,ASSUMPTIONS!$C$71)</f>
        <v/>
      </c>
      <c r="L1257" s="84">
        <f>(((ASSUMPTIONS!$C$18*J1257*(1-ASSUMPTIONS!$C$20)+ASSUMPTIONS!$C$18*ASSUMPTIONS!$C$21-ASSUMPTIONS!$C$18*ASSUMPTIONS!$C$22)*(1+H1257)*(1-((1+H1257)/(1+I1257))^5)/(I1257-H1257))+((ASSUMPTIONS!$C$18*J1257*(1-ASSUMPTIONS!$C$20)+ASSUMPTIONS!$C$18*ASSUMPTIONS!$C$21-ASSUMPTIONS!$C$18*ASSUMPTIONS!$C$22)*(1+H1257)^5*(1+K1257)/(I1257-K1257)/(1+I1257)^5)-DCF!$C$12)/ASSUMPTIONS!$C$7</f>
        <v/>
      </c>
    </row>
    <row r="1258">
      <c r="H1258" s="83">
        <f>_xlfn.NORM.INV(RAND(),AVERAGE(ASSUMPTIONS!$C$38,ASSUMPTIONS!$C$39,ASSUMPTIONS!$C$40,ASSUMPTIONS!$C$41,ASSUMPTIONS!$C$42),ASSUMPTIONS!$C$68)</f>
        <v/>
      </c>
      <c r="I1258" s="83">
        <f>MAX(_xlfn.NORM.INV(RAND(),DCF!$C$11,ASSUMPTIONS!$C$69),K1258+0.005)</f>
        <v/>
      </c>
      <c r="J1258" s="83">
        <f>_xlfn.NORM.INV(RAND(),ASSUMPTIONS!$C$19,ASSUMPTIONS!$C$70)</f>
        <v/>
      </c>
      <c r="K1258" s="83">
        <f>_xlfn.NORM.INV(RAND(),ASSUMPTIONS!$C$43,ASSUMPTIONS!$C$71)</f>
        <v/>
      </c>
      <c r="L1258" s="84">
        <f>(((ASSUMPTIONS!$C$18*J1258*(1-ASSUMPTIONS!$C$20)+ASSUMPTIONS!$C$18*ASSUMPTIONS!$C$21-ASSUMPTIONS!$C$18*ASSUMPTIONS!$C$22)*(1+H1258)*(1-((1+H1258)/(1+I1258))^5)/(I1258-H1258))+((ASSUMPTIONS!$C$18*J1258*(1-ASSUMPTIONS!$C$20)+ASSUMPTIONS!$C$18*ASSUMPTIONS!$C$21-ASSUMPTIONS!$C$18*ASSUMPTIONS!$C$22)*(1+H1258)^5*(1+K1258)/(I1258-K1258)/(1+I1258)^5)-DCF!$C$12)/ASSUMPTIONS!$C$7</f>
        <v/>
      </c>
    </row>
    <row r="1259">
      <c r="H1259" s="83">
        <f>_xlfn.NORM.INV(RAND(),AVERAGE(ASSUMPTIONS!$C$38,ASSUMPTIONS!$C$39,ASSUMPTIONS!$C$40,ASSUMPTIONS!$C$41,ASSUMPTIONS!$C$42),ASSUMPTIONS!$C$68)</f>
        <v/>
      </c>
      <c r="I1259" s="83">
        <f>MAX(_xlfn.NORM.INV(RAND(),DCF!$C$11,ASSUMPTIONS!$C$69),K1259+0.005)</f>
        <v/>
      </c>
      <c r="J1259" s="83">
        <f>_xlfn.NORM.INV(RAND(),ASSUMPTIONS!$C$19,ASSUMPTIONS!$C$70)</f>
        <v/>
      </c>
      <c r="K1259" s="83">
        <f>_xlfn.NORM.INV(RAND(),ASSUMPTIONS!$C$43,ASSUMPTIONS!$C$71)</f>
        <v/>
      </c>
      <c r="L1259" s="84">
        <f>(((ASSUMPTIONS!$C$18*J1259*(1-ASSUMPTIONS!$C$20)+ASSUMPTIONS!$C$18*ASSUMPTIONS!$C$21-ASSUMPTIONS!$C$18*ASSUMPTIONS!$C$22)*(1+H1259)*(1-((1+H1259)/(1+I1259))^5)/(I1259-H1259))+((ASSUMPTIONS!$C$18*J1259*(1-ASSUMPTIONS!$C$20)+ASSUMPTIONS!$C$18*ASSUMPTIONS!$C$21-ASSUMPTIONS!$C$18*ASSUMPTIONS!$C$22)*(1+H1259)^5*(1+K1259)/(I1259-K1259)/(1+I1259)^5)-DCF!$C$12)/ASSUMPTIONS!$C$7</f>
        <v/>
      </c>
    </row>
    <row r="1260">
      <c r="H1260" s="83">
        <f>_xlfn.NORM.INV(RAND(),AVERAGE(ASSUMPTIONS!$C$38,ASSUMPTIONS!$C$39,ASSUMPTIONS!$C$40,ASSUMPTIONS!$C$41,ASSUMPTIONS!$C$42),ASSUMPTIONS!$C$68)</f>
        <v/>
      </c>
      <c r="I1260" s="83">
        <f>MAX(_xlfn.NORM.INV(RAND(),DCF!$C$11,ASSUMPTIONS!$C$69),K1260+0.005)</f>
        <v/>
      </c>
      <c r="J1260" s="83">
        <f>_xlfn.NORM.INV(RAND(),ASSUMPTIONS!$C$19,ASSUMPTIONS!$C$70)</f>
        <v/>
      </c>
      <c r="K1260" s="83">
        <f>_xlfn.NORM.INV(RAND(),ASSUMPTIONS!$C$43,ASSUMPTIONS!$C$71)</f>
        <v/>
      </c>
      <c r="L1260" s="84">
        <f>(((ASSUMPTIONS!$C$18*J1260*(1-ASSUMPTIONS!$C$20)+ASSUMPTIONS!$C$18*ASSUMPTIONS!$C$21-ASSUMPTIONS!$C$18*ASSUMPTIONS!$C$22)*(1+H1260)*(1-((1+H1260)/(1+I1260))^5)/(I1260-H1260))+((ASSUMPTIONS!$C$18*J1260*(1-ASSUMPTIONS!$C$20)+ASSUMPTIONS!$C$18*ASSUMPTIONS!$C$21-ASSUMPTIONS!$C$18*ASSUMPTIONS!$C$22)*(1+H1260)^5*(1+K1260)/(I1260-K1260)/(1+I1260)^5)-DCF!$C$12)/ASSUMPTIONS!$C$7</f>
        <v/>
      </c>
    </row>
    <row r="1261">
      <c r="H1261" s="83">
        <f>_xlfn.NORM.INV(RAND(),AVERAGE(ASSUMPTIONS!$C$38,ASSUMPTIONS!$C$39,ASSUMPTIONS!$C$40,ASSUMPTIONS!$C$41,ASSUMPTIONS!$C$42),ASSUMPTIONS!$C$68)</f>
        <v/>
      </c>
      <c r="I1261" s="83">
        <f>MAX(_xlfn.NORM.INV(RAND(),DCF!$C$11,ASSUMPTIONS!$C$69),K1261+0.005)</f>
        <v/>
      </c>
      <c r="J1261" s="83">
        <f>_xlfn.NORM.INV(RAND(),ASSUMPTIONS!$C$19,ASSUMPTIONS!$C$70)</f>
        <v/>
      </c>
      <c r="K1261" s="83">
        <f>_xlfn.NORM.INV(RAND(),ASSUMPTIONS!$C$43,ASSUMPTIONS!$C$71)</f>
        <v/>
      </c>
      <c r="L1261" s="84">
        <f>(((ASSUMPTIONS!$C$18*J1261*(1-ASSUMPTIONS!$C$20)+ASSUMPTIONS!$C$18*ASSUMPTIONS!$C$21-ASSUMPTIONS!$C$18*ASSUMPTIONS!$C$22)*(1+H1261)*(1-((1+H1261)/(1+I1261))^5)/(I1261-H1261))+((ASSUMPTIONS!$C$18*J1261*(1-ASSUMPTIONS!$C$20)+ASSUMPTIONS!$C$18*ASSUMPTIONS!$C$21-ASSUMPTIONS!$C$18*ASSUMPTIONS!$C$22)*(1+H1261)^5*(1+K1261)/(I1261-K1261)/(1+I1261)^5)-DCF!$C$12)/ASSUMPTIONS!$C$7</f>
        <v/>
      </c>
    </row>
    <row r="1262">
      <c r="H1262" s="83">
        <f>_xlfn.NORM.INV(RAND(),AVERAGE(ASSUMPTIONS!$C$38,ASSUMPTIONS!$C$39,ASSUMPTIONS!$C$40,ASSUMPTIONS!$C$41,ASSUMPTIONS!$C$42),ASSUMPTIONS!$C$68)</f>
        <v/>
      </c>
      <c r="I1262" s="83">
        <f>MAX(_xlfn.NORM.INV(RAND(),DCF!$C$11,ASSUMPTIONS!$C$69),K1262+0.005)</f>
        <v/>
      </c>
      <c r="J1262" s="83">
        <f>_xlfn.NORM.INV(RAND(),ASSUMPTIONS!$C$19,ASSUMPTIONS!$C$70)</f>
        <v/>
      </c>
      <c r="K1262" s="83">
        <f>_xlfn.NORM.INV(RAND(),ASSUMPTIONS!$C$43,ASSUMPTIONS!$C$71)</f>
        <v/>
      </c>
      <c r="L1262" s="84">
        <f>(((ASSUMPTIONS!$C$18*J1262*(1-ASSUMPTIONS!$C$20)+ASSUMPTIONS!$C$18*ASSUMPTIONS!$C$21-ASSUMPTIONS!$C$18*ASSUMPTIONS!$C$22)*(1+H1262)*(1-((1+H1262)/(1+I1262))^5)/(I1262-H1262))+((ASSUMPTIONS!$C$18*J1262*(1-ASSUMPTIONS!$C$20)+ASSUMPTIONS!$C$18*ASSUMPTIONS!$C$21-ASSUMPTIONS!$C$18*ASSUMPTIONS!$C$22)*(1+H1262)^5*(1+K1262)/(I1262-K1262)/(1+I1262)^5)-DCF!$C$12)/ASSUMPTIONS!$C$7</f>
        <v/>
      </c>
    </row>
    <row r="1263">
      <c r="H1263" s="83">
        <f>_xlfn.NORM.INV(RAND(),AVERAGE(ASSUMPTIONS!$C$38,ASSUMPTIONS!$C$39,ASSUMPTIONS!$C$40,ASSUMPTIONS!$C$41,ASSUMPTIONS!$C$42),ASSUMPTIONS!$C$68)</f>
        <v/>
      </c>
      <c r="I1263" s="83">
        <f>MAX(_xlfn.NORM.INV(RAND(),DCF!$C$11,ASSUMPTIONS!$C$69),K1263+0.005)</f>
        <v/>
      </c>
      <c r="J1263" s="83">
        <f>_xlfn.NORM.INV(RAND(),ASSUMPTIONS!$C$19,ASSUMPTIONS!$C$70)</f>
        <v/>
      </c>
      <c r="K1263" s="83">
        <f>_xlfn.NORM.INV(RAND(),ASSUMPTIONS!$C$43,ASSUMPTIONS!$C$71)</f>
        <v/>
      </c>
      <c r="L1263" s="84">
        <f>(((ASSUMPTIONS!$C$18*J1263*(1-ASSUMPTIONS!$C$20)+ASSUMPTIONS!$C$18*ASSUMPTIONS!$C$21-ASSUMPTIONS!$C$18*ASSUMPTIONS!$C$22)*(1+H1263)*(1-((1+H1263)/(1+I1263))^5)/(I1263-H1263))+((ASSUMPTIONS!$C$18*J1263*(1-ASSUMPTIONS!$C$20)+ASSUMPTIONS!$C$18*ASSUMPTIONS!$C$21-ASSUMPTIONS!$C$18*ASSUMPTIONS!$C$22)*(1+H1263)^5*(1+K1263)/(I1263-K1263)/(1+I1263)^5)-DCF!$C$12)/ASSUMPTIONS!$C$7</f>
        <v/>
      </c>
    </row>
    <row r="1264">
      <c r="H1264" s="83">
        <f>_xlfn.NORM.INV(RAND(),AVERAGE(ASSUMPTIONS!$C$38,ASSUMPTIONS!$C$39,ASSUMPTIONS!$C$40,ASSUMPTIONS!$C$41,ASSUMPTIONS!$C$42),ASSUMPTIONS!$C$68)</f>
        <v/>
      </c>
      <c r="I1264" s="83">
        <f>MAX(_xlfn.NORM.INV(RAND(),DCF!$C$11,ASSUMPTIONS!$C$69),K1264+0.005)</f>
        <v/>
      </c>
      <c r="J1264" s="83">
        <f>_xlfn.NORM.INV(RAND(),ASSUMPTIONS!$C$19,ASSUMPTIONS!$C$70)</f>
        <v/>
      </c>
      <c r="K1264" s="83">
        <f>_xlfn.NORM.INV(RAND(),ASSUMPTIONS!$C$43,ASSUMPTIONS!$C$71)</f>
        <v/>
      </c>
      <c r="L1264" s="84">
        <f>(((ASSUMPTIONS!$C$18*J1264*(1-ASSUMPTIONS!$C$20)+ASSUMPTIONS!$C$18*ASSUMPTIONS!$C$21-ASSUMPTIONS!$C$18*ASSUMPTIONS!$C$22)*(1+H1264)*(1-((1+H1264)/(1+I1264))^5)/(I1264-H1264))+((ASSUMPTIONS!$C$18*J1264*(1-ASSUMPTIONS!$C$20)+ASSUMPTIONS!$C$18*ASSUMPTIONS!$C$21-ASSUMPTIONS!$C$18*ASSUMPTIONS!$C$22)*(1+H1264)^5*(1+K1264)/(I1264-K1264)/(1+I1264)^5)-DCF!$C$12)/ASSUMPTIONS!$C$7</f>
        <v/>
      </c>
    </row>
    <row r="1265">
      <c r="H1265" s="83">
        <f>_xlfn.NORM.INV(RAND(),AVERAGE(ASSUMPTIONS!$C$38,ASSUMPTIONS!$C$39,ASSUMPTIONS!$C$40,ASSUMPTIONS!$C$41,ASSUMPTIONS!$C$42),ASSUMPTIONS!$C$68)</f>
        <v/>
      </c>
      <c r="I1265" s="83">
        <f>MAX(_xlfn.NORM.INV(RAND(),DCF!$C$11,ASSUMPTIONS!$C$69),K1265+0.005)</f>
        <v/>
      </c>
      <c r="J1265" s="83">
        <f>_xlfn.NORM.INV(RAND(),ASSUMPTIONS!$C$19,ASSUMPTIONS!$C$70)</f>
        <v/>
      </c>
      <c r="K1265" s="83">
        <f>_xlfn.NORM.INV(RAND(),ASSUMPTIONS!$C$43,ASSUMPTIONS!$C$71)</f>
        <v/>
      </c>
      <c r="L1265" s="84">
        <f>(((ASSUMPTIONS!$C$18*J1265*(1-ASSUMPTIONS!$C$20)+ASSUMPTIONS!$C$18*ASSUMPTIONS!$C$21-ASSUMPTIONS!$C$18*ASSUMPTIONS!$C$22)*(1+H1265)*(1-((1+H1265)/(1+I1265))^5)/(I1265-H1265))+((ASSUMPTIONS!$C$18*J1265*(1-ASSUMPTIONS!$C$20)+ASSUMPTIONS!$C$18*ASSUMPTIONS!$C$21-ASSUMPTIONS!$C$18*ASSUMPTIONS!$C$22)*(1+H1265)^5*(1+K1265)/(I1265-K1265)/(1+I1265)^5)-DCF!$C$12)/ASSUMPTIONS!$C$7</f>
        <v/>
      </c>
    </row>
    <row r="1266">
      <c r="H1266" s="83">
        <f>_xlfn.NORM.INV(RAND(),AVERAGE(ASSUMPTIONS!$C$38,ASSUMPTIONS!$C$39,ASSUMPTIONS!$C$40,ASSUMPTIONS!$C$41,ASSUMPTIONS!$C$42),ASSUMPTIONS!$C$68)</f>
        <v/>
      </c>
      <c r="I1266" s="83">
        <f>MAX(_xlfn.NORM.INV(RAND(),DCF!$C$11,ASSUMPTIONS!$C$69),K1266+0.005)</f>
        <v/>
      </c>
      <c r="J1266" s="83">
        <f>_xlfn.NORM.INV(RAND(),ASSUMPTIONS!$C$19,ASSUMPTIONS!$C$70)</f>
        <v/>
      </c>
      <c r="K1266" s="83">
        <f>_xlfn.NORM.INV(RAND(),ASSUMPTIONS!$C$43,ASSUMPTIONS!$C$71)</f>
        <v/>
      </c>
      <c r="L1266" s="84">
        <f>(((ASSUMPTIONS!$C$18*J1266*(1-ASSUMPTIONS!$C$20)+ASSUMPTIONS!$C$18*ASSUMPTIONS!$C$21-ASSUMPTIONS!$C$18*ASSUMPTIONS!$C$22)*(1+H1266)*(1-((1+H1266)/(1+I1266))^5)/(I1266-H1266))+((ASSUMPTIONS!$C$18*J1266*(1-ASSUMPTIONS!$C$20)+ASSUMPTIONS!$C$18*ASSUMPTIONS!$C$21-ASSUMPTIONS!$C$18*ASSUMPTIONS!$C$22)*(1+H1266)^5*(1+K1266)/(I1266-K1266)/(1+I1266)^5)-DCF!$C$12)/ASSUMPTIONS!$C$7</f>
        <v/>
      </c>
    </row>
    <row r="1267">
      <c r="H1267" s="83">
        <f>_xlfn.NORM.INV(RAND(),AVERAGE(ASSUMPTIONS!$C$38,ASSUMPTIONS!$C$39,ASSUMPTIONS!$C$40,ASSUMPTIONS!$C$41,ASSUMPTIONS!$C$42),ASSUMPTIONS!$C$68)</f>
        <v/>
      </c>
      <c r="I1267" s="83">
        <f>MAX(_xlfn.NORM.INV(RAND(),DCF!$C$11,ASSUMPTIONS!$C$69),K1267+0.005)</f>
        <v/>
      </c>
      <c r="J1267" s="83">
        <f>_xlfn.NORM.INV(RAND(),ASSUMPTIONS!$C$19,ASSUMPTIONS!$C$70)</f>
        <v/>
      </c>
      <c r="K1267" s="83">
        <f>_xlfn.NORM.INV(RAND(),ASSUMPTIONS!$C$43,ASSUMPTIONS!$C$71)</f>
        <v/>
      </c>
      <c r="L1267" s="84">
        <f>(((ASSUMPTIONS!$C$18*J1267*(1-ASSUMPTIONS!$C$20)+ASSUMPTIONS!$C$18*ASSUMPTIONS!$C$21-ASSUMPTIONS!$C$18*ASSUMPTIONS!$C$22)*(1+H1267)*(1-((1+H1267)/(1+I1267))^5)/(I1267-H1267))+((ASSUMPTIONS!$C$18*J1267*(1-ASSUMPTIONS!$C$20)+ASSUMPTIONS!$C$18*ASSUMPTIONS!$C$21-ASSUMPTIONS!$C$18*ASSUMPTIONS!$C$22)*(1+H1267)^5*(1+K1267)/(I1267-K1267)/(1+I1267)^5)-DCF!$C$12)/ASSUMPTIONS!$C$7</f>
        <v/>
      </c>
    </row>
    <row r="1268">
      <c r="H1268" s="83">
        <f>_xlfn.NORM.INV(RAND(),AVERAGE(ASSUMPTIONS!$C$38,ASSUMPTIONS!$C$39,ASSUMPTIONS!$C$40,ASSUMPTIONS!$C$41,ASSUMPTIONS!$C$42),ASSUMPTIONS!$C$68)</f>
        <v/>
      </c>
      <c r="I1268" s="83">
        <f>MAX(_xlfn.NORM.INV(RAND(),DCF!$C$11,ASSUMPTIONS!$C$69),K1268+0.005)</f>
        <v/>
      </c>
      <c r="J1268" s="83">
        <f>_xlfn.NORM.INV(RAND(),ASSUMPTIONS!$C$19,ASSUMPTIONS!$C$70)</f>
        <v/>
      </c>
      <c r="K1268" s="83">
        <f>_xlfn.NORM.INV(RAND(),ASSUMPTIONS!$C$43,ASSUMPTIONS!$C$71)</f>
        <v/>
      </c>
      <c r="L1268" s="84">
        <f>(((ASSUMPTIONS!$C$18*J1268*(1-ASSUMPTIONS!$C$20)+ASSUMPTIONS!$C$18*ASSUMPTIONS!$C$21-ASSUMPTIONS!$C$18*ASSUMPTIONS!$C$22)*(1+H1268)*(1-((1+H1268)/(1+I1268))^5)/(I1268-H1268))+((ASSUMPTIONS!$C$18*J1268*(1-ASSUMPTIONS!$C$20)+ASSUMPTIONS!$C$18*ASSUMPTIONS!$C$21-ASSUMPTIONS!$C$18*ASSUMPTIONS!$C$22)*(1+H1268)^5*(1+K1268)/(I1268-K1268)/(1+I1268)^5)-DCF!$C$12)/ASSUMPTIONS!$C$7</f>
        <v/>
      </c>
    </row>
    <row r="1269">
      <c r="H1269" s="83">
        <f>_xlfn.NORM.INV(RAND(),AVERAGE(ASSUMPTIONS!$C$38,ASSUMPTIONS!$C$39,ASSUMPTIONS!$C$40,ASSUMPTIONS!$C$41,ASSUMPTIONS!$C$42),ASSUMPTIONS!$C$68)</f>
        <v/>
      </c>
      <c r="I1269" s="83">
        <f>MAX(_xlfn.NORM.INV(RAND(),DCF!$C$11,ASSUMPTIONS!$C$69),K1269+0.005)</f>
        <v/>
      </c>
      <c r="J1269" s="83">
        <f>_xlfn.NORM.INV(RAND(),ASSUMPTIONS!$C$19,ASSUMPTIONS!$C$70)</f>
        <v/>
      </c>
      <c r="K1269" s="83">
        <f>_xlfn.NORM.INV(RAND(),ASSUMPTIONS!$C$43,ASSUMPTIONS!$C$71)</f>
        <v/>
      </c>
      <c r="L1269" s="84">
        <f>(((ASSUMPTIONS!$C$18*J1269*(1-ASSUMPTIONS!$C$20)+ASSUMPTIONS!$C$18*ASSUMPTIONS!$C$21-ASSUMPTIONS!$C$18*ASSUMPTIONS!$C$22)*(1+H1269)*(1-((1+H1269)/(1+I1269))^5)/(I1269-H1269))+((ASSUMPTIONS!$C$18*J1269*(1-ASSUMPTIONS!$C$20)+ASSUMPTIONS!$C$18*ASSUMPTIONS!$C$21-ASSUMPTIONS!$C$18*ASSUMPTIONS!$C$22)*(1+H1269)^5*(1+K1269)/(I1269-K1269)/(1+I1269)^5)-DCF!$C$12)/ASSUMPTIONS!$C$7</f>
        <v/>
      </c>
    </row>
    <row r="1270">
      <c r="H1270" s="83">
        <f>_xlfn.NORM.INV(RAND(),AVERAGE(ASSUMPTIONS!$C$38,ASSUMPTIONS!$C$39,ASSUMPTIONS!$C$40,ASSUMPTIONS!$C$41,ASSUMPTIONS!$C$42),ASSUMPTIONS!$C$68)</f>
        <v/>
      </c>
      <c r="I1270" s="83">
        <f>MAX(_xlfn.NORM.INV(RAND(),DCF!$C$11,ASSUMPTIONS!$C$69),K1270+0.005)</f>
        <v/>
      </c>
      <c r="J1270" s="83">
        <f>_xlfn.NORM.INV(RAND(),ASSUMPTIONS!$C$19,ASSUMPTIONS!$C$70)</f>
        <v/>
      </c>
      <c r="K1270" s="83">
        <f>_xlfn.NORM.INV(RAND(),ASSUMPTIONS!$C$43,ASSUMPTIONS!$C$71)</f>
        <v/>
      </c>
      <c r="L1270" s="84">
        <f>(((ASSUMPTIONS!$C$18*J1270*(1-ASSUMPTIONS!$C$20)+ASSUMPTIONS!$C$18*ASSUMPTIONS!$C$21-ASSUMPTIONS!$C$18*ASSUMPTIONS!$C$22)*(1+H1270)*(1-((1+H1270)/(1+I1270))^5)/(I1270-H1270))+((ASSUMPTIONS!$C$18*J1270*(1-ASSUMPTIONS!$C$20)+ASSUMPTIONS!$C$18*ASSUMPTIONS!$C$21-ASSUMPTIONS!$C$18*ASSUMPTIONS!$C$22)*(1+H1270)^5*(1+K1270)/(I1270-K1270)/(1+I1270)^5)-DCF!$C$12)/ASSUMPTIONS!$C$7</f>
        <v/>
      </c>
    </row>
    <row r="1271">
      <c r="H1271" s="83">
        <f>_xlfn.NORM.INV(RAND(),AVERAGE(ASSUMPTIONS!$C$38,ASSUMPTIONS!$C$39,ASSUMPTIONS!$C$40,ASSUMPTIONS!$C$41,ASSUMPTIONS!$C$42),ASSUMPTIONS!$C$68)</f>
        <v/>
      </c>
      <c r="I1271" s="83">
        <f>MAX(_xlfn.NORM.INV(RAND(),DCF!$C$11,ASSUMPTIONS!$C$69),K1271+0.005)</f>
        <v/>
      </c>
      <c r="J1271" s="83">
        <f>_xlfn.NORM.INV(RAND(),ASSUMPTIONS!$C$19,ASSUMPTIONS!$C$70)</f>
        <v/>
      </c>
      <c r="K1271" s="83">
        <f>_xlfn.NORM.INV(RAND(),ASSUMPTIONS!$C$43,ASSUMPTIONS!$C$71)</f>
        <v/>
      </c>
      <c r="L1271" s="84">
        <f>(((ASSUMPTIONS!$C$18*J1271*(1-ASSUMPTIONS!$C$20)+ASSUMPTIONS!$C$18*ASSUMPTIONS!$C$21-ASSUMPTIONS!$C$18*ASSUMPTIONS!$C$22)*(1+H1271)*(1-((1+H1271)/(1+I1271))^5)/(I1271-H1271))+((ASSUMPTIONS!$C$18*J1271*(1-ASSUMPTIONS!$C$20)+ASSUMPTIONS!$C$18*ASSUMPTIONS!$C$21-ASSUMPTIONS!$C$18*ASSUMPTIONS!$C$22)*(1+H1271)^5*(1+K1271)/(I1271-K1271)/(1+I1271)^5)-DCF!$C$12)/ASSUMPTIONS!$C$7</f>
        <v/>
      </c>
    </row>
    <row r="1272">
      <c r="H1272" s="83">
        <f>_xlfn.NORM.INV(RAND(),AVERAGE(ASSUMPTIONS!$C$38,ASSUMPTIONS!$C$39,ASSUMPTIONS!$C$40,ASSUMPTIONS!$C$41,ASSUMPTIONS!$C$42),ASSUMPTIONS!$C$68)</f>
        <v/>
      </c>
      <c r="I1272" s="83">
        <f>MAX(_xlfn.NORM.INV(RAND(),DCF!$C$11,ASSUMPTIONS!$C$69),K1272+0.005)</f>
        <v/>
      </c>
      <c r="J1272" s="83">
        <f>_xlfn.NORM.INV(RAND(),ASSUMPTIONS!$C$19,ASSUMPTIONS!$C$70)</f>
        <v/>
      </c>
      <c r="K1272" s="83">
        <f>_xlfn.NORM.INV(RAND(),ASSUMPTIONS!$C$43,ASSUMPTIONS!$C$71)</f>
        <v/>
      </c>
      <c r="L1272" s="84">
        <f>(((ASSUMPTIONS!$C$18*J1272*(1-ASSUMPTIONS!$C$20)+ASSUMPTIONS!$C$18*ASSUMPTIONS!$C$21-ASSUMPTIONS!$C$18*ASSUMPTIONS!$C$22)*(1+H1272)*(1-((1+H1272)/(1+I1272))^5)/(I1272-H1272))+((ASSUMPTIONS!$C$18*J1272*(1-ASSUMPTIONS!$C$20)+ASSUMPTIONS!$C$18*ASSUMPTIONS!$C$21-ASSUMPTIONS!$C$18*ASSUMPTIONS!$C$22)*(1+H1272)^5*(1+K1272)/(I1272-K1272)/(1+I1272)^5)-DCF!$C$12)/ASSUMPTIONS!$C$7</f>
        <v/>
      </c>
    </row>
    <row r="1273">
      <c r="H1273" s="83">
        <f>_xlfn.NORM.INV(RAND(),AVERAGE(ASSUMPTIONS!$C$38,ASSUMPTIONS!$C$39,ASSUMPTIONS!$C$40,ASSUMPTIONS!$C$41,ASSUMPTIONS!$C$42),ASSUMPTIONS!$C$68)</f>
        <v/>
      </c>
      <c r="I1273" s="83">
        <f>MAX(_xlfn.NORM.INV(RAND(),DCF!$C$11,ASSUMPTIONS!$C$69),K1273+0.005)</f>
        <v/>
      </c>
      <c r="J1273" s="83">
        <f>_xlfn.NORM.INV(RAND(),ASSUMPTIONS!$C$19,ASSUMPTIONS!$C$70)</f>
        <v/>
      </c>
      <c r="K1273" s="83">
        <f>_xlfn.NORM.INV(RAND(),ASSUMPTIONS!$C$43,ASSUMPTIONS!$C$71)</f>
        <v/>
      </c>
      <c r="L1273" s="84">
        <f>(((ASSUMPTIONS!$C$18*J1273*(1-ASSUMPTIONS!$C$20)+ASSUMPTIONS!$C$18*ASSUMPTIONS!$C$21-ASSUMPTIONS!$C$18*ASSUMPTIONS!$C$22)*(1+H1273)*(1-((1+H1273)/(1+I1273))^5)/(I1273-H1273))+((ASSUMPTIONS!$C$18*J1273*(1-ASSUMPTIONS!$C$20)+ASSUMPTIONS!$C$18*ASSUMPTIONS!$C$21-ASSUMPTIONS!$C$18*ASSUMPTIONS!$C$22)*(1+H1273)^5*(1+K1273)/(I1273-K1273)/(1+I1273)^5)-DCF!$C$12)/ASSUMPTIONS!$C$7</f>
        <v/>
      </c>
    </row>
    <row r="1274">
      <c r="H1274" s="83">
        <f>_xlfn.NORM.INV(RAND(),AVERAGE(ASSUMPTIONS!$C$38,ASSUMPTIONS!$C$39,ASSUMPTIONS!$C$40,ASSUMPTIONS!$C$41,ASSUMPTIONS!$C$42),ASSUMPTIONS!$C$68)</f>
        <v/>
      </c>
      <c r="I1274" s="83">
        <f>MAX(_xlfn.NORM.INV(RAND(),DCF!$C$11,ASSUMPTIONS!$C$69),K1274+0.005)</f>
        <v/>
      </c>
      <c r="J1274" s="83">
        <f>_xlfn.NORM.INV(RAND(),ASSUMPTIONS!$C$19,ASSUMPTIONS!$C$70)</f>
        <v/>
      </c>
      <c r="K1274" s="83">
        <f>_xlfn.NORM.INV(RAND(),ASSUMPTIONS!$C$43,ASSUMPTIONS!$C$71)</f>
        <v/>
      </c>
      <c r="L1274" s="84">
        <f>(((ASSUMPTIONS!$C$18*J1274*(1-ASSUMPTIONS!$C$20)+ASSUMPTIONS!$C$18*ASSUMPTIONS!$C$21-ASSUMPTIONS!$C$18*ASSUMPTIONS!$C$22)*(1+H1274)*(1-((1+H1274)/(1+I1274))^5)/(I1274-H1274))+((ASSUMPTIONS!$C$18*J1274*(1-ASSUMPTIONS!$C$20)+ASSUMPTIONS!$C$18*ASSUMPTIONS!$C$21-ASSUMPTIONS!$C$18*ASSUMPTIONS!$C$22)*(1+H1274)^5*(1+K1274)/(I1274-K1274)/(1+I1274)^5)-DCF!$C$12)/ASSUMPTIONS!$C$7</f>
        <v/>
      </c>
    </row>
    <row r="1275">
      <c r="H1275" s="83">
        <f>_xlfn.NORM.INV(RAND(),AVERAGE(ASSUMPTIONS!$C$38,ASSUMPTIONS!$C$39,ASSUMPTIONS!$C$40,ASSUMPTIONS!$C$41,ASSUMPTIONS!$C$42),ASSUMPTIONS!$C$68)</f>
        <v/>
      </c>
      <c r="I1275" s="83">
        <f>MAX(_xlfn.NORM.INV(RAND(),DCF!$C$11,ASSUMPTIONS!$C$69),K1275+0.005)</f>
        <v/>
      </c>
      <c r="J1275" s="83">
        <f>_xlfn.NORM.INV(RAND(),ASSUMPTIONS!$C$19,ASSUMPTIONS!$C$70)</f>
        <v/>
      </c>
      <c r="K1275" s="83">
        <f>_xlfn.NORM.INV(RAND(),ASSUMPTIONS!$C$43,ASSUMPTIONS!$C$71)</f>
        <v/>
      </c>
      <c r="L1275" s="84">
        <f>(((ASSUMPTIONS!$C$18*J1275*(1-ASSUMPTIONS!$C$20)+ASSUMPTIONS!$C$18*ASSUMPTIONS!$C$21-ASSUMPTIONS!$C$18*ASSUMPTIONS!$C$22)*(1+H1275)*(1-((1+H1275)/(1+I1275))^5)/(I1275-H1275))+((ASSUMPTIONS!$C$18*J1275*(1-ASSUMPTIONS!$C$20)+ASSUMPTIONS!$C$18*ASSUMPTIONS!$C$21-ASSUMPTIONS!$C$18*ASSUMPTIONS!$C$22)*(1+H1275)^5*(1+K1275)/(I1275-K1275)/(1+I1275)^5)-DCF!$C$12)/ASSUMPTIONS!$C$7</f>
        <v/>
      </c>
    </row>
    <row r="1276">
      <c r="H1276" s="83">
        <f>_xlfn.NORM.INV(RAND(),AVERAGE(ASSUMPTIONS!$C$38,ASSUMPTIONS!$C$39,ASSUMPTIONS!$C$40,ASSUMPTIONS!$C$41,ASSUMPTIONS!$C$42),ASSUMPTIONS!$C$68)</f>
        <v/>
      </c>
      <c r="I1276" s="83">
        <f>MAX(_xlfn.NORM.INV(RAND(),DCF!$C$11,ASSUMPTIONS!$C$69),K1276+0.005)</f>
        <v/>
      </c>
      <c r="J1276" s="83">
        <f>_xlfn.NORM.INV(RAND(),ASSUMPTIONS!$C$19,ASSUMPTIONS!$C$70)</f>
        <v/>
      </c>
      <c r="K1276" s="83">
        <f>_xlfn.NORM.INV(RAND(),ASSUMPTIONS!$C$43,ASSUMPTIONS!$C$71)</f>
        <v/>
      </c>
      <c r="L1276" s="84">
        <f>(((ASSUMPTIONS!$C$18*J1276*(1-ASSUMPTIONS!$C$20)+ASSUMPTIONS!$C$18*ASSUMPTIONS!$C$21-ASSUMPTIONS!$C$18*ASSUMPTIONS!$C$22)*(1+H1276)*(1-((1+H1276)/(1+I1276))^5)/(I1276-H1276))+((ASSUMPTIONS!$C$18*J1276*(1-ASSUMPTIONS!$C$20)+ASSUMPTIONS!$C$18*ASSUMPTIONS!$C$21-ASSUMPTIONS!$C$18*ASSUMPTIONS!$C$22)*(1+H1276)^5*(1+K1276)/(I1276-K1276)/(1+I1276)^5)-DCF!$C$12)/ASSUMPTIONS!$C$7</f>
        <v/>
      </c>
    </row>
    <row r="1277">
      <c r="H1277" s="83">
        <f>_xlfn.NORM.INV(RAND(),AVERAGE(ASSUMPTIONS!$C$38,ASSUMPTIONS!$C$39,ASSUMPTIONS!$C$40,ASSUMPTIONS!$C$41,ASSUMPTIONS!$C$42),ASSUMPTIONS!$C$68)</f>
        <v/>
      </c>
      <c r="I1277" s="83">
        <f>MAX(_xlfn.NORM.INV(RAND(),DCF!$C$11,ASSUMPTIONS!$C$69),K1277+0.005)</f>
        <v/>
      </c>
      <c r="J1277" s="83">
        <f>_xlfn.NORM.INV(RAND(),ASSUMPTIONS!$C$19,ASSUMPTIONS!$C$70)</f>
        <v/>
      </c>
      <c r="K1277" s="83">
        <f>_xlfn.NORM.INV(RAND(),ASSUMPTIONS!$C$43,ASSUMPTIONS!$C$71)</f>
        <v/>
      </c>
      <c r="L1277" s="84">
        <f>(((ASSUMPTIONS!$C$18*J1277*(1-ASSUMPTIONS!$C$20)+ASSUMPTIONS!$C$18*ASSUMPTIONS!$C$21-ASSUMPTIONS!$C$18*ASSUMPTIONS!$C$22)*(1+H1277)*(1-((1+H1277)/(1+I1277))^5)/(I1277-H1277))+((ASSUMPTIONS!$C$18*J1277*(1-ASSUMPTIONS!$C$20)+ASSUMPTIONS!$C$18*ASSUMPTIONS!$C$21-ASSUMPTIONS!$C$18*ASSUMPTIONS!$C$22)*(1+H1277)^5*(1+K1277)/(I1277-K1277)/(1+I1277)^5)-DCF!$C$12)/ASSUMPTIONS!$C$7</f>
        <v/>
      </c>
    </row>
    <row r="1278">
      <c r="H1278" s="83">
        <f>_xlfn.NORM.INV(RAND(),AVERAGE(ASSUMPTIONS!$C$38,ASSUMPTIONS!$C$39,ASSUMPTIONS!$C$40,ASSUMPTIONS!$C$41,ASSUMPTIONS!$C$42),ASSUMPTIONS!$C$68)</f>
        <v/>
      </c>
      <c r="I1278" s="83">
        <f>MAX(_xlfn.NORM.INV(RAND(),DCF!$C$11,ASSUMPTIONS!$C$69),K1278+0.005)</f>
        <v/>
      </c>
      <c r="J1278" s="83">
        <f>_xlfn.NORM.INV(RAND(),ASSUMPTIONS!$C$19,ASSUMPTIONS!$C$70)</f>
        <v/>
      </c>
      <c r="K1278" s="83">
        <f>_xlfn.NORM.INV(RAND(),ASSUMPTIONS!$C$43,ASSUMPTIONS!$C$71)</f>
        <v/>
      </c>
      <c r="L1278" s="84">
        <f>(((ASSUMPTIONS!$C$18*J1278*(1-ASSUMPTIONS!$C$20)+ASSUMPTIONS!$C$18*ASSUMPTIONS!$C$21-ASSUMPTIONS!$C$18*ASSUMPTIONS!$C$22)*(1+H1278)*(1-((1+H1278)/(1+I1278))^5)/(I1278-H1278))+((ASSUMPTIONS!$C$18*J1278*(1-ASSUMPTIONS!$C$20)+ASSUMPTIONS!$C$18*ASSUMPTIONS!$C$21-ASSUMPTIONS!$C$18*ASSUMPTIONS!$C$22)*(1+H1278)^5*(1+K1278)/(I1278-K1278)/(1+I1278)^5)-DCF!$C$12)/ASSUMPTIONS!$C$7</f>
        <v/>
      </c>
    </row>
    <row r="1279">
      <c r="H1279" s="83">
        <f>_xlfn.NORM.INV(RAND(),AVERAGE(ASSUMPTIONS!$C$38,ASSUMPTIONS!$C$39,ASSUMPTIONS!$C$40,ASSUMPTIONS!$C$41,ASSUMPTIONS!$C$42),ASSUMPTIONS!$C$68)</f>
        <v/>
      </c>
      <c r="I1279" s="83">
        <f>MAX(_xlfn.NORM.INV(RAND(),DCF!$C$11,ASSUMPTIONS!$C$69),K1279+0.005)</f>
        <v/>
      </c>
      <c r="J1279" s="83">
        <f>_xlfn.NORM.INV(RAND(),ASSUMPTIONS!$C$19,ASSUMPTIONS!$C$70)</f>
        <v/>
      </c>
      <c r="K1279" s="83">
        <f>_xlfn.NORM.INV(RAND(),ASSUMPTIONS!$C$43,ASSUMPTIONS!$C$71)</f>
        <v/>
      </c>
      <c r="L1279" s="84">
        <f>(((ASSUMPTIONS!$C$18*J1279*(1-ASSUMPTIONS!$C$20)+ASSUMPTIONS!$C$18*ASSUMPTIONS!$C$21-ASSUMPTIONS!$C$18*ASSUMPTIONS!$C$22)*(1+H1279)*(1-((1+H1279)/(1+I1279))^5)/(I1279-H1279))+((ASSUMPTIONS!$C$18*J1279*(1-ASSUMPTIONS!$C$20)+ASSUMPTIONS!$C$18*ASSUMPTIONS!$C$21-ASSUMPTIONS!$C$18*ASSUMPTIONS!$C$22)*(1+H1279)^5*(1+K1279)/(I1279-K1279)/(1+I1279)^5)-DCF!$C$12)/ASSUMPTIONS!$C$7</f>
        <v/>
      </c>
    </row>
    <row r="1280">
      <c r="H1280" s="83">
        <f>_xlfn.NORM.INV(RAND(),AVERAGE(ASSUMPTIONS!$C$38,ASSUMPTIONS!$C$39,ASSUMPTIONS!$C$40,ASSUMPTIONS!$C$41,ASSUMPTIONS!$C$42),ASSUMPTIONS!$C$68)</f>
        <v/>
      </c>
      <c r="I1280" s="83">
        <f>MAX(_xlfn.NORM.INV(RAND(),DCF!$C$11,ASSUMPTIONS!$C$69),K1280+0.005)</f>
        <v/>
      </c>
      <c r="J1280" s="83">
        <f>_xlfn.NORM.INV(RAND(),ASSUMPTIONS!$C$19,ASSUMPTIONS!$C$70)</f>
        <v/>
      </c>
      <c r="K1280" s="83">
        <f>_xlfn.NORM.INV(RAND(),ASSUMPTIONS!$C$43,ASSUMPTIONS!$C$71)</f>
        <v/>
      </c>
      <c r="L1280" s="84">
        <f>(((ASSUMPTIONS!$C$18*J1280*(1-ASSUMPTIONS!$C$20)+ASSUMPTIONS!$C$18*ASSUMPTIONS!$C$21-ASSUMPTIONS!$C$18*ASSUMPTIONS!$C$22)*(1+H1280)*(1-((1+H1280)/(1+I1280))^5)/(I1280-H1280))+((ASSUMPTIONS!$C$18*J1280*(1-ASSUMPTIONS!$C$20)+ASSUMPTIONS!$C$18*ASSUMPTIONS!$C$21-ASSUMPTIONS!$C$18*ASSUMPTIONS!$C$22)*(1+H1280)^5*(1+K1280)/(I1280-K1280)/(1+I1280)^5)-DCF!$C$12)/ASSUMPTIONS!$C$7</f>
        <v/>
      </c>
    </row>
    <row r="1281">
      <c r="H1281" s="83">
        <f>_xlfn.NORM.INV(RAND(),AVERAGE(ASSUMPTIONS!$C$38,ASSUMPTIONS!$C$39,ASSUMPTIONS!$C$40,ASSUMPTIONS!$C$41,ASSUMPTIONS!$C$42),ASSUMPTIONS!$C$68)</f>
        <v/>
      </c>
      <c r="I1281" s="83">
        <f>MAX(_xlfn.NORM.INV(RAND(),DCF!$C$11,ASSUMPTIONS!$C$69),K1281+0.005)</f>
        <v/>
      </c>
      <c r="J1281" s="83">
        <f>_xlfn.NORM.INV(RAND(),ASSUMPTIONS!$C$19,ASSUMPTIONS!$C$70)</f>
        <v/>
      </c>
      <c r="K1281" s="83">
        <f>_xlfn.NORM.INV(RAND(),ASSUMPTIONS!$C$43,ASSUMPTIONS!$C$71)</f>
        <v/>
      </c>
      <c r="L1281" s="84">
        <f>(((ASSUMPTIONS!$C$18*J1281*(1-ASSUMPTIONS!$C$20)+ASSUMPTIONS!$C$18*ASSUMPTIONS!$C$21-ASSUMPTIONS!$C$18*ASSUMPTIONS!$C$22)*(1+H1281)*(1-((1+H1281)/(1+I1281))^5)/(I1281-H1281))+((ASSUMPTIONS!$C$18*J1281*(1-ASSUMPTIONS!$C$20)+ASSUMPTIONS!$C$18*ASSUMPTIONS!$C$21-ASSUMPTIONS!$C$18*ASSUMPTIONS!$C$22)*(1+H1281)^5*(1+K1281)/(I1281-K1281)/(1+I1281)^5)-DCF!$C$12)/ASSUMPTIONS!$C$7</f>
        <v/>
      </c>
    </row>
    <row r="1282">
      <c r="H1282" s="83">
        <f>_xlfn.NORM.INV(RAND(),AVERAGE(ASSUMPTIONS!$C$38,ASSUMPTIONS!$C$39,ASSUMPTIONS!$C$40,ASSUMPTIONS!$C$41,ASSUMPTIONS!$C$42),ASSUMPTIONS!$C$68)</f>
        <v/>
      </c>
      <c r="I1282" s="83">
        <f>MAX(_xlfn.NORM.INV(RAND(),DCF!$C$11,ASSUMPTIONS!$C$69),K1282+0.005)</f>
        <v/>
      </c>
      <c r="J1282" s="83">
        <f>_xlfn.NORM.INV(RAND(),ASSUMPTIONS!$C$19,ASSUMPTIONS!$C$70)</f>
        <v/>
      </c>
      <c r="K1282" s="83">
        <f>_xlfn.NORM.INV(RAND(),ASSUMPTIONS!$C$43,ASSUMPTIONS!$C$71)</f>
        <v/>
      </c>
      <c r="L1282" s="84">
        <f>(((ASSUMPTIONS!$C$18*J1282*(1-ASSUMPTIONS!$C$20)+ASSUMPTIONS!$C$18*ASSUMPTIONS!$C$21-ASSUMPTIONS!$C$18*ASSUMPTIONS!$C$22)*(1+H1282)*(1-((1+H1282)/(1+I1282))^5)/(I1282-H1282))+((ASSUMPTIONS!$C$18*J1282*(1-ASSUMPTIONS!$C$20)+ASSUMPTIONS!$C$18*ASSUMPTIONS!$C$21-ASSUMPTIONS!$C$18*ASSUMPTIONS!$C$22)*(1+H1282)^5*(1+K1282)/(I1282-K1282)/(1+I1282)^5)-DCF!$C$12)/ASSUMPTIONS!$C$7</f>
        <v/>
      </c>
    </row>
    <row r="1283">
      <c r="H1283" s="83">
        <f>_xlfn.NORM.INV(RAND(),AVERAGE(ASSUMPTIONS!$C$38,ASSUMPTIONS!$C$39,ASSUMPTIONS!$C$40,ASSUMPTIONS!$C$41,ASSUMPTIONS!$C$42),ASSUMPTIONS!$C$68)</f>
        <v/>
      </c>
      <c r="I1283" s="83">
        <f>MAX(_xlfn.NORM.INV(RAND(),DCF!$C$11,ASSUMPTIONS!$C$69),K1283+0.005)</f>
        <v/>
      </c>
      <c r="J1283" s="83">
        <f>_xlfn.NORM.INV(RAND(),ASSUMPTIONS!$C$19,ASSUMPTIONS!$C$70)</f>
        <v/>
      </c>
      <c r="K1283" s="83">
        <f>_xlfn.NORM.INV(RAND(),ASSUMPTIONS!$C$43,ASSUMPTIONS!$C$71)</f>
        <v/>
      </c>
      <c r="L1283" s="84">
        <f>(((ASSUMPTIONS!$C$18*J1283*(1-ASSUMPTIONS!$C$20)+ASSUMPTIONS!$C$18*ASSUMPTIONS!$C$21-ASSUMPTIONS!$C$18*ASSUMPTIONS!$C$22)*(1+H1283)*(1-((1+H1283)/(1+I1283))^5)/(I1283-H1283))+((ASSUMPTIONS!$C$18*J1283*(1-ASSUMPTIONS!$C$20)+ASSUMPTIONS!$C$18*ASSUMPTIONS!$C$21-ASSUMPTIONS!$C$18*ASSUMPTIONS!$C$22)*(1+H1283)^5*(1+K1283)/(I1283-K1283)/(1+I1283)^5)-DCF!$C$12)/ASSUMPTIONS!$C$7</f>
        <v/>
      </c>
    </row>
    <row r="1284">
      <c r="H1284" s="83">
        <f>_xlfn.NORM.INV(RAND(),AVERAGE(ASSUMPTIONS!$C$38,ASSUMPTIONS!$C$39,ASSUMPTIONS!$C$40,ASSUMPTIONS!$C$41,ASSUMPTIONS!$C$42),ASSUMPTIONS!$C$68)</f>
        <v/>
      </c>
      <c r="I1284" s="83">
        <f>MAX(_xlfn.NORM.INV(RAND(),DCF!$C$11,ASSUMPTIONS!$C$69),K1284+0.005)</f>
        <v/>
      </c>
      <c r="J1284" s="83">
        <f>_xlfn.NORM.INV(RAND(),ASSUMPTIONS!$C$19,ASSUMPTIONS!$C$70)</f>
        <v/>
      </c>
      <c r="K1284" s="83">
        <f>_xlfn.NORM.INV(RAND(),ASSUMPTIONS!$C$43,ASSUMPTIONS!$C$71)</f>
        <v/>
      </c>
      <c r="L1284" s="84">
        <f>(((ASSUMPTIONS!$C$18*J1284*(1-ASSUMPTIONS!$C$20)+ASSUMPTIONS!$C$18*ASSUMPTIONS!$C$21-ASSUMPTIONS!$C$18*ASSUMPTIONS!$C$22)*(1+H1284)*(1-((1+H1284)/(1+I1284))^5)/(I1284-H1284))+((ASSUMPTIONS!$C$18*J1284*(1-ASSUMPTIONS!$C$20)+ASSUMPTIONS!$C$18*ASSUMPTIONS!$C$21-ASSUMPTIONS!$C$18*ASSUMPTIONS!$C$22)*(1+H1284)^5*(1+K1284)/(I1284-K1284)/(1+I1284)^5)-DCF!$C$12)/ASSUMPTIONS!$C$7</f>
        <v/>
      </c>
    </row>
    <row r="1285">
      <c r="H1285" s="83">
        <f>_xlfn.NORM.INV(RAND(),AVERAGE(ASSUMPTIONS!$C$38,ASSUMPTIONS!$C$39,ASSUMPTIONS!$C$40,ASSUMPTIONS!$C$41,ASSUMPTIONS!$C$42),ASSUMPTIONS!$C$68)</f>
        <v/>
      </c>
      <c r="I1285" s="83">
        <f>MAX(_xlfn.NORM.INV(RAND(),DCF!$C$11,ASSUMPTIONS!$C$69),K1285+0.005)</f>
        <v/>
      </c>
      <c r="J1285" s="83">
        <f>_xlfn.NORM.INV(RAND(),ASSUMPTIONS!$C$19,ASSUMPTIONS!$C$70)</f>
        <v/>
      </c>
      <c r="K1285" s="83">
        <f>_xlfn.NORM.INV(RAND(),ASSUMPTIONS!$C$43,ASSUMPTIONS!$C$71)</f>
        <v/>
      </c>
      <c r="L1285" s="84">
        <f>(((ASSUMPTIONS!$C$18*J1285*(1-ASSUMPTIONS!$C$20)+ASSUMPTIONS!$C$18*ASSUMPTIONS!$C$21-ASSUMPTIONS!$C$18*ASSUMPTIONS!$C$22)*(1+H1285)*(1-((1+H1285)/(1+I1285))^5)/(I1285-H1285))+((ASSUMPTIONS!$C$18*J1285*(1-ASSUMPTIONS!$C$20)+ASSUMPTIONS!$C$18*ASSUMPTIONS!$C$21-ASSUMPTIONS!$C$18*ASSUMPTIONS!$C$22)*(1+H1285)^5*(1+K1285)/(I1285-K1285)/(1+I1285)^5)-DCF!$C$12)/ASSUMPTIONS!$C$7</f>
        <v/>
      </c>
    </row>
    <row r="1286">
      <c r="H1286" s="83">
        <f>_xlfn.NORM.INV(RAND(),AVERAGE(ASSUMPTIONS!$C$38,ASSUMPTIONS!$C$39,ASSUMPTIONS!$C$40,ASSUMPTIONS!$C$41,ASSUMPTIONS!$C$42),ASSUMPTIONS!$C$68)</f>
        <v/>
      </c>
      <c r="I1286" s="83">
        <f>MAX(_xlfn.NORM.INV(RAND(),DCF!$C$11,ASSUMPTIONS!$C$69),K1286+0.005)</f>
        <v/>
      </c>
      <c r="J1286" s="83">
        <f>_xlfn.NORM.INV(RAND(),ASSUMPTIONS!$C$19,ASSUMPTIONS!$C$70)</f>
        <v/>
      </c>
      <c r="K1286" s="83">
        <f>_xlfn.NORM.INV(RAND(),ASSUMPTIONS!$C$43,ASSUMPTIONS!$C$71)</f>
        <v/>
      </c>
      <c r="L1286" s="84">
        <f>(((ASSUMPTIONS!$C$18*J1286*(1-ASSUMPTIONS!$C$20)+ASSUMPTIONS!$C$18*ASSUMPTIONS!$C$21-ASSUMPTIONS!$C$18*ASSUMPTIONS!$C$22)*(1+H1286)*(1-((1+H1286)/(1+I1286))^5)/(I1286-H1286))+((ASSUMPTIONS!$C$18*J1286*(1-ASSUMPTIONS!$C$20)+ASSUMPTIONS!$C$18*ASSUMPTIONS!$C$21-ASSUMPTIONS!$C$18*ASSUMPTIONS!$C$22)*(1+H1286)^5*(1+K1286)/(I1286-K1286)/(1+I1286)^5)-DCF!$C$12)/ASSUMPTIONS!$C$7</f>
        <v/>
      </c>
    </row>
    <row r="1287">
      <c r="H1287" s="83">
        <f>_xlfn.NORM.INV(RAND(),AVERAGE(ASSUMPTIONS!$C$38,ASSUMPTIONS!$C$39,ASSUMPTIONS!$C$40,ASSUMPTIONS!$C$41,ASSUMPTIONS!$C$42),ASSUMPTIONS!$C$68)</f>
        <v/>
      </c>
      <c r="I1287" s="83">
        <f>MAX(_xlfn.NORM.INV(RAND(),DCF!$C$11,ASSUMPTIONS!$C$69),K1287+0.005)</f>
        <v/>
      </c>
      <c r="J1287" s="83">
        <f>_xlfn.NORM.INV(RAND(),ASSUMPTIONS!$C$19,ASSUMPTIONS!$C$70)</f>
        <v/>
      </c>
      <c r="K1287" s="83">
        <f>_xlfn.NORM.INV(RAND(),ASSUMPTIONS!$C$43,ASSUMPTIONS!$C$71)</f>
        <v/>
      </c>
      <c r="L1287" s="84">
        <f>(((ASSUMPTIONS!$C$18*J1287*(1-ASSUMPTIONS!$C$20)+ASSUMPTIONS!$C$18*ASSUMPTIONS!$C$21-ASSUMPTIONS!$C$18*ASSUMPTIONS!$C$22)*(1+H1287)*(1-((1+H1287)/(1+I1287))^5)/(I1287-H1287))+((ASSUMPTIONS!$C$18*J1287*(1-ASSUMPTIONS!$C$20)+ASSUMPTIONS!$C$18*ASSUMPTIONS!$C$21-ASSUMPTIONS!$C$18*ASSUMPTIONS!$C$22)*(1+H1287)^5*(1+K1287)/(I1287-K1287)/(1+I1287)^5)-DCF!$C$12)/ASSUMPTIONS!$C$7</f>
        <v/>
      </c>
    </row>
    <row r="1288">
      <c r="H1288" s="83">
        <f>_xlfn.NORM.INV(RAND(),AVERAGE(ASSUMPTIONS!$C$38,ASSUMPTIONS!$C$39,ASSUMPTIONS!$C$40,ASSUMPTIONS!$C$41,ASSUMPTIONS!$C$42),ASSUMPTIONS!$C$68)</f>
        <v/>
      </c>
      <c r="I1288" s="83">
        <f>MAX(_xlfn.NORM.INV(RAND(),DCF!$C$11,ASSUMPTIONS!$C$69),K1288+0.005)</f>
        <v/>
      </c>
      <c r="J1288" s="83">
        <f>_xlfn.NORM.INV(RAND(),ASSUMPTIONS!$C$19,ASSUMPTIONS!$C$70)</f>
        <v/>
      </c>
      <c r="K1288" s="83">
        <f>_xlfn.NORM.INV(RAND(),ASSUMPTIONS!$C$43,ASSUMPTIONS!$C$71)</f>
        <v/>
      </c>
      <c r="L1288" s="84">
        <f>(((ASSUMPTIONS!$C$18*J1288*(1-ASSUMPTIONS!$C$20)+ASSUMPTIONS!$C$18*ASSUMPTIONS!$C$21-ASSUMPTIONS!$C$18*ASSUMPTIONS!$C$22)*(1+H1288)*(1-((1+H1288)/(1+I1288))^5)/(I1288-H1288))+((ASSUMPTIONS!$C$18*J1288*(1-ASSUMPTIONS!$C$20)+ASSUMPTIONS!$C$18*ASSUMPTIONS!$C$21-ASSUMPTIONS!$C$18*ASSUMPTIONS!$C$22)*(1+H1288)^5*(1+K1288)/(I1288-K1288)/(1+I1288)^5)-DCF!$C$12)/ASSUMPTIONS!$C$7</f>
        <v/>
      </c>
    </row>
    <row r="1289">
      <c r="H1289" s="83">
        <f>_xlfn.NORM.INV(RAND(),AVERAGE(ASSUMPTIONS!$C$38,ASSUMPTIONS!$C$39,ASSUMPTIONS!$C$40,ASSUMPTIONS!$C$41,ASSUMPTIONS!$C$42),ASSUMPTIONS!$C$68)</f>
        <v/>
      </c>
      <c r="I1289" s="83">
        <f>MAX(_xlfn.NORM.INV(RAND(),DCF!$C$11,ASSUMPTIONS!$C$69),K1289+0.005)</f>
        <v/>
      </c>
      <c r="J1289" s="83">
        <f>_xlfn.NORM.INV(RAND(),ASSUMPTIONS!$C$19,ASSUMPTIONS!$C$70)</f>
        <v/>
      </c>
      <c r="K1289" s="83">
        <f>_xlfn.NORM.INV(RAND(),ASSUMPTIONS!$C$43,ASSUMPTIONS!$C$71)</f>
        <v/>
      </c>
      <c r="L1289" s="84">
        <f>(((ASSUMPTIONS!$C$18*J1289*(1-ASSUMPTIONS!$C$20)+ASSUMPTIONS!$C$18*ASSUMPTIONS!$C$21-ASSUMPTIONS!$C$18*ASSUMPTIONS!$C$22)*(1+H1289)*(1-((1+H1289)/(1+I1289))^5)/(I1289-H1289))+((ASSUMPTIONS!$C$18*J1289*(1-ASSUMPTIONS!$C$20)+ASSUMPTIONS!$C$18*ASSUMPTIONS!$C$21-ASSUMPTIONS!$C$18*ASSUMPTIONS!$C$22)*(1+H1289)^5*(1+K1289)/(I1289-K1289)/(1+I1289)^5)-DCF!$C$12)/ASSUMPTIONS!$C$7</f>
        <v/>
      </c>
    </row>
    <row r="1290">
      <c r="H1290" s="83">
        <f>_xlfn.NORM.INV(RAND(),AVERAGE(ASSUMPTIONS!$C$38,ASSUMPTIONS!$C$39,ASSUMPTIONS!$C$40,ASSUMPTIONS!$C$41,ASSUMPTIONS!$C$42),ASSUMPTIONS!$C$68)</f>
        <v/>
      </c>
      <c r="I1290" s="83">
        <f>MAX(_xlfn.NORM.INV(RAND(),DCF!$C$11,ASSUMPTIONS!$C$69),K1290+0.005)</f>
        <v/>
      </c>
      <c r="J1290" s="83">
        <f>_xlfn.NORM.INV(RAND(),ASSUMPTIONS!$C$19,ASSUMPTIONS!$C$70)</f>
        <v/>
      </c>
      <c r="K1290" s="83">
        <f>_xlfn.NORM.INV(RAND(),ASSUMPTIONS!$C$43,ASSUMPTIONS!$C$71)</f>
        <v/>
      </c>
      <c r="L1290" s="84">
        <f>(((ASSUMPTIONS!$C$18*J1290*(1-ASSUMPTIONS!$C$20)+ASSUMPTIONS!$C$18*ASSUMPTIONS!$C$21-ASSUMPTIONS!$C$18*ASSUMPTIONS!$C$22)*(1+H1290)*(1-((1+H1290)/(1+I1290))^5)/(I1290-H1290))+((ASSUMPTIONS!$C$18*J1290*(1-ASSUMPTIONS!$C$20)+ASSUMPTIONS!$C$18*ASSUMPTIONS!$C$21-ASSUMPTIONS!$C$18*ASSUMPTIONS!$C$22)*(1+H1290)^5*(1+K1290)/(I1290-K1290)/(1+I1290)^5)-DCF!$C$12)/ASSUMPTIONS!$C$7</f>
        <v/>
      </c>
    </row>
    <row r="1291">
      <c r="H1291" s="83">
        <f>_xlfn.NORM.INV(RAND(),AVERAGE(ASSUMPTIONS!$C$38,ASSUMPTIONS!$C$39,ASSUMPTIONS!$C$40,ASSUMPTIONS!$C$41,ASSUMPTIONS!$C$42),ASSUMPTIONS!$C$68)</f>
        <v/>
      </c>
      <c r="I1291" s="83">
        <f>MAX(_xlfn.NORM.INV(RAND(),DCF!$C$11,ASSUMPTIONS!$C$69),K1291+0.005)</f>
        <v/>
      </c>
      <c r="J1291" s="83">
        <f>_xlfn.NORM.INV(RAND(),ASSUMPTIONS!$C$19,ASSUMPTIONS!$C$70)</f>
        <v/>
      </c>
      <c r="K1291" s="83">
        <f>_xlfn.NORM.INV(RAND(),ASSUMPTIONS!$C$43,ASSUMPTIONS!$C$71)</f>
        <v/>
      </c>
      <c r="L1291" s="84">
        <f>(((ASSUMPTIONS!$C$18*J1291*(1-ASSUMPTIONS!$C$20)+ASSUMPTIONS!$C$18*ASSUMPTIONS!$C$21-ASSUMPTIONS!$C$18*ASSUMPTIONS!$C$22)*(1+H1291)*(1-((1+H1291)/(1+I1291))^5)/(I1291-H1291))+((ASSUMPTIONS!$C$18*J1291*(1-ASSUMPTIONS!$C$20)+ASSUMPTIONS!$C$18*ASSUMPTIONS!$C$21-ASSUMPTIONS!$C$18*ASSUMPTIONS!$C$22)*(1+H1291)^5*(1+K1291)/(I1291-K1291)/(1+I1291)^5)-DCF!$C$12)/ASSUMPTIONS!$C$7</f>
        <v/>
      </c>
    </row>
    <row r="1292">
      <c r="H1292" s="83">
        <f>_xlfn.NORM.INV(RAND(),AVERAGE(ASSUMPTIONS!$C$38,ASSUMPTIONS!$C$39,ASSUMPTIONS!$C$40,ASSUMPTIONS!$C$41,ASSUMPTIONS!$C$42),ASSUMPTIONS!$C$68)</f>
        <v/>
      </c>
      <c r="I1292" s="83">
        <f>MAX(_xlfn.NORM.INV(RAND(),DCF!$C$11,ASSUMPTIONS!$C$69),K1292+0.005)</f>
        <v/>
      </c>
      <c r="J1292" s="83">
        <f>_xlfn.NORM.INV(RAND(),ASSUMPTIONS!$C$19,ASSUMPTIONS!$C$70)</f>
        <v/>
      </c>
      <c r="K1292" s="83">
        <f>_xlfn.NORM.INV(RAND(),ASSUMPTIONS!$C$43,ASSUMPTIONS!$C$71)</f>
        <v/>
      </c>
      <c r="L1292" s="84">
        <f>(((ASSUMPTIONS!$C$18*J1292*(1-ASSUMPTIONS!$C$20)+ASSUMPTIONS!$C$18*ASSUMPTIONS!$C$21-ASSUMPTIONS!$C$18*ASSUMPTIONS!$C$22)*(1+H1292)*(1-((1+H1292)/(1+I1292))^5)/(I1292-H1292))+((ASSUMPTIONS!$C$18*J1292*(1-ASSUMPTIONS!$C$20)+ASSUMPTIONS!$C$18*ASSUMPTIONS!$C$21-ASSUMPTIONS!$C$18*ASSUMPTIONS!$C$22)*(1+H1292)^5*(1+K1292)/(I1292-K1292)/(1+I1292)^5)-DCF!$C$12)/ASSUMPTIONS!$C$7</f>
        <v/>
      </c>
    </row>
    <row r="1293">
      <c r="H1293" s="83">
        <f>_xlfn.NORM.INV(RAND(),AVERAGE(ASSUMPTIONS!$C$38,ASSUMPTIONS!$C$39,ASSUMPTIONS!$C$40,ASSUMPTIONS!$C$41,ASSUMPTIONS!$C$42),ASSUMPTIONS!$C$68)</f>
        <v/>
      </c>
      <c r="I1293" s="83">
        <f>MAX(_xlfn.NORM.INV(RAND(),DCF!$C$11,ASSUMPTIONS!$C$69),K1293+0.005)</f>
        <v/>
      </c>
      <c r="J1293" s="83">
        <f>_xlfn.NORM.INV(RAND(),ASSUMPTIONS!$C$19,ASSUMPTIONS!$C$70)</f>
        <v/>
      </c>
      <c r="K1293" s="83">
        <f>_xlfn.NORM.INV(RAND(),ASSUMPTIONS!$C$43,ASSUMPTIONS!$C$71)</f>
        <v/>
      </c>
      <c r="L1293" s="84">
        <f>(((ASSUMPTIONS!$C$18*J1293*(1-ASSUMPTIONS!$C$20)+ASSUMPTIONS!$C$18*ASSUMPTIONS!$C$21-ASSUMPTIONS!$C$18*ASSUMPTIONS!$C$22)*(1+H1293)*(1-((1+H1293)/(1+I1293))^5)/(I1293-H1293))+((ASSUMPTIONS!$C$18*J1293*(1-ASSUMPTIONS!$C$20)+ASSUMPTIONS!$C$18*ASSUMPTIONS!$C$21-ASSUMPTIONS!$C$18*ASSUMPTIONS!$C$22)*(1+H1293)^5*(1+K1293)/(I1293-K1293)/(1+I1293)^5)-DCF!$C$12)/ASSUMPTIONS!$C$7</f>
        <v/>
      </c>
    </row>
    <row r="1294">
      <c r="H1294" s="83">
        <f>_xlfn.NORM.INV(RAND(),AVERAGE(ASSUMPTIONS!$C$38,ASSUMPTIONS!$C$39,ASSUMPTIONS!$C$40,ASSUMPTIONS!$C$41,ASSUMPTIONS!$C$42),ASSUMPTIONS!$C$68)</f>
        <v/>
      </c>
      <c r="I1294" s="83">
        <f>MAX(_xlfn.NORM.INV(RAND(),DCF!$C$11,ASSUMPTIONS!$C$69),K1294+0.005)</f>
        <v/>
      </c>
      <c r="J1294" s="83">
        <f>_xlfn.NORM.INV(RAND(),ASSUMPTIONS!$C$19,ASSUMPTIONS!$C$70)</f>
        <v/>
      </c>
      <c r="K1294" s="83">
        <f>_xlfn.NORM.INV(RAND(),ASSUMPTIONS!$C$43,ASSUMPTIONS!$C$71)</f>
        <v/>
      </c>
      <c r="L1294" s="84">
        <f>(((ASSUMPTIONS!$C$18*J1294*(1-ASSUMPTIONS!$C$20)+ASSUMPTIONS!$C$18*ASSUMPTIONS!$C$21-ASSUMPTIONS!$C$18*ASSUMPTIONS!$C$22)*(1+H1294)*(1-((1+H1294)/(1+I1294))^5)/(I1294-H1294))+((ASSUMPTIONS!$C$18*J1294*(1-ASSUMPTIONS!$C$20)+ASSUMPTIONS!$C$18*ASSUMPTIONS!$C$21-ASSUMPTIONS!$C$18*ASSUMPTIONS!$C$22)*(1+H1294)^5*(1+K1294)/(I1294-K1294)/(1+I1294)^5)-DCF!$C$12)/ASSUMPTIONS!$C$7</f>
        <v/>
      </c>
    </row>
    <row r="1295">
      <c r="H1295" s="83">
        <f>_xlfn.NORM.INV(RAND(),AVERAGE(ASSUMPTIONS!$C$38,ASSUMPTIONS!$C$39,ASSUMPTIONS!$C$40,ASSUMPTIONS!$C$41,ASSUMPTIONS!$C$42),ASSUMPTIONS!$C$68)</f>
        <v/>
      </c>
      <c r="I1295" s="83">
        <f>MAX(_xlfn.NORM.INV(RAND(),DCF!$C$11,ASSUMPTIONS!$C$69),K1295+0.005)</f>
        <v/>
      </c>
      <c r="J1295" s="83">
        <f>_xlfn.NORM.INV(RAND(),ASSUMPTIONS!$C$19,ASSUMPTIONS!$C$70)</f>
        <v/>
      </c>
      <c r="K1295" s="83">
        <f>_xlfn.NORM.INV(RAND(),ASSUMPTIONS!$C$43,ASSUMPTIONS!$C$71)</f>
        <v/>
      </c>
      <c r="L1295" s="84">
        <f>(((ASSUMPTIONS!$C$18*J1295*(1-ASSUMPTIONS!$C$20)+ASSUMPTIONS!$C$18*ASSUMPTIONS!$C$21-ASSUMPTIONS!$C$18*ASSUMPTIONS!$C$22)*(1+H1295)*(1-((1+H1295)/(1+I1295))^5)/(I1295-H1295))+((ASSUMPTIONS!$C$18*J1295*(1-ASSUMPTIONS!$C$20)+ASSUMPTIONS!$C$18*ASSUMPTIONS!$C$21-ASSUMPTIONS!$C$18*ASSUMPTIONS!$C$22)*(1+H1295)^5*(1+K1295)/(I1295-K1295)/(1+I1295)^5)-DCF!$C$12)/ASSUMPTIONS!$C$7</f>
        <v/>
      </c>
    </row>
    <row r="1296">
      <c r="H1296" s="83">
        <f>_xlfn.NORM.INV(RAND(),AVERAGE(ASSUMPTIONS!$C$38,ASSUMPTIONS!$C$39,ASSUMPTIONS!$C$40,ASSUMPTIONS!$C$41,ASSUMPTIONS!$C$42),ASSUMPTIONS!$C$68)</f>
        <v/>
      </c>
      <c r="I1296" s="83">
        <f>MAX(_xlfn.NORM.INV(RAND(),DCF!$C$11,ASSUMPTIONS!$C$69),K1296+0.005)</f>
        <v/>
      </c>
      <c r="J1296" s="83">
        <f>_xlfn.NORM.INV(RAND(),ASSUMPTIONS!$C$19,ASSUMPTIONS!$C$70)</f>
        <v/>
      </c>
      <c r="K1296" s="83">
        <f>_xlfn.NORM.INV(RAND(),ASSUMPTIONS!$C$43,ASSUMPTIONS!$C$71)</f>
        <v/>
      </c>
      <c r="L1296" s="84">
        <f>(((ASSUMPTIONS!$C$18*J1296*(1-ASSUMPTIONS!$C$20)+ASSUMPTIONS!$C$18*ASSUMPTIONS!$C$21-ASSUMPTIONS!$C$18*ASSUMPTIONS!$C$22)*(1+H1296)*(1-((1+H1296)/(1+I1296))^5)/(I1296-H1296))+((ASSUMPTIONS!$C$18*J1296*(1-ASSUMPTIONS!$C$20)+ASSUMPTIONS!$C$18*ASSUMPTIONS!$C$21-ASSUMPTIONS!$C$18*ASSUMPTIONS!$C$22)*(1+H1296)^5*(1+K1296)/(I1296-K1296)/(1+I1296)^5)-DCF!$C$12)/ASSUMPTIONS!$C$7</f>
        <v/>
      </c>
    </row>
    <row r="1297">
      <c r="H1297" s="83">
        <f>_xlfn.NORM.INV(RAND(),AVERAGE(ASSUMPTIONS!$C$38,ASSUMPTIONS!$C$39,ASSUMPTIONS!$C$40,ASSUMPTIONS!$C$41,ASSUMPTIONS!$C$42),ASSUMPTIONS!$C$68)</f>
        <v/>
      </c>
      <c r="I1297" s="83">
        <f>MAX(_xlfn.NORM.INV(RAND(),DCF!$C$11,ASSUMPTIONS!$C$69),K1297+0.005)</f>
        <v/>
      </c>
      <c r="J1297" s="83">
        <f>_xlfn.NORM.INV(RAND(),ASSUMPTIONS!$C$19,ASSUMPTIONS!$C$70)</f>
        <v/>
      </c>
      <c r="K1297" s="83">
        <f>_xlfn.NORM.INV(RAND(),ASSUMPTIONS!$C$43,ASSUMPTIONS!$C$71)</f>
        <v/>
      </c>
      <c r="L1297" s="84">
        <f>(((ASSUMPTIONS!$C$18*J1297*(1-ASSUMPTIONS!$C$20)+ASSUMPTIONS!$C$18*ASSUMPTIONS!$C$21-ASSUMPTIONS!$C$18*ASSUMPTIONS!$C$22)*(1+H1297)*(1-((1+H1297)/(1+I1297))^5)/(I1297-H1297))+((ASSUMPTIONS!$C$18*J1297*(1-ASSUMPTIONS!$C$20)+ASSUMPTIONS!$C$18*ASSUMPTIONS!$C$21-ASSUMPTIONS!$C$18*ASSUMPTIONS!$C$22)*(1+H1297)^5*(1+K1297)/(I1297-K1297)/(1+I1297)^5)-DCF!$C$12)/ASSUMPTIONS!$C$7</f>
        <v/>
      </c>
    </row>
    <row r="1298">
      <c r="H1298" s="83">
        <f>_xlfn.NORM.INV(RAND(),AVERAGE(ASSUMPTIONS!$C$38,ASSUMPTIONS!$C$39,ASSUMPTIONS!$C$40,ASSUMPTIONS!$C$41,ASSUMPTIONS!$C$42),ASSUMPTIONS!$C$68)</f>
        <v/>
      </c>
      <c r="I1298" s="83">
        <f>MAX(_xlfn.NORM.INV(RAND(),DCF!$C$11,ASSUMPTIONS!$C$69),K1298+0.005)</f>
        <v/>
      </c>
      <c r="J1298" s="83">
        <f>_xlfn.NORM.INV(RAND(),ASSUMPTIONS!$C$19,ASSUMPTIONS!$C$70)</f>
        <v/>
      </c>
      <c r="K1298" s="83">
        <f>_xlfn.NORM.INV(RAND(),ASSUMPTIONS!$C$43,ASSUMPTIONS!$C$71)</f>
        <v/>
      </c>
      <c r="L1298" s="84">
        <f>(((ASSUMPTIONS!$C$18*J1298*(1-ASSUMPTIONS!$C$20)+ASSUMPTIONS!$C$18*ASSUMPTIONS!$C$21-ASSUMPTIONS!$C$18*ASSUMPTIONS!$C$22)*(1+H1298)*(1-((1+H1298)/(1+I1298))^5)/(I1298-H1298))+((ASSUMPTIONS!$C$18*J1298*(1-ASSUMPTIONS!$C$20)+ASSUMPTIONS!$C$18*ASSUMPTIONS!$C$21-ASSUMPTIONS!$C$18*ASSUMPTIONS!$C$22)*(1+H1298)^5*(1+K1298)/(I1298-K1298)/(1+I1298)^5)-DCF!$C$12)/ASSUMPTIONS!$C$7</f>
        <v/>
      </c>
    </row>
    <row r="1299">
      <c r="H1299" s="83">
        <f>_xlfn.NORM.INV(RAND(),AVERAGE(ASSUMPTIONS!$C$38,ASSUMPTIONS!$C$39,ASSUMPTIONS!$C$40,ASSUMPTIONS!$C$41,ASSUMPTIONS!$C$42),ASSUMPTIONS!$C$68)</f>
        <v/>
      </c>
      <c r="I1299" s="83">
        <f>MAX(_xlfn.NORM.INV(RAND(),DCF!$C$11,ASSUMPTIONS!$C$69),K1299+0.005)</f>
        <v/>
      </c>
      <c r="J1299" s="83">
        <f>_xlfn.NORM.INV(RAND(),ASSUMPTIONS!$C$19,ASSUMPTIONS!$C$70)</f>
        <v/>
      </c>
      <c r="K1299" s="83">
        <f>_xlfn.NORM.INV(RAND(),ASSUMPTIONS!$C$43,ASSUMPTIONS!$C$71)</f>
        <v/>
      </c>
      <c r="L1299" s="84">
        <f>(((ASSUMPTIONS!$C$18*J1299*(1-ASSUMPTIONS!$C$20)+ASSUMPTIONS!$C$18*ASSUMPTIONS!$C$21-ASSUMPTIONS!$C$18*ASSUMPTIONS!$C$22)*(1+H1299)*(1-((1+H1299)/(1+I1299))^5)/(I1299-H1299))+((ASSUMPTIONS!$C$18*J1299*(1-ASSUMPTIONS!$C$20)+ASSUMPTIONS!$C$18*ASSUMPTIONS!$C$21-ASSUMPTIONS!$C$18*ASSUMPTIONS!$C$22)*(1+H1299)^5*(1+K1299)/(I1299-K1299)/(1+I1299)^5)-DCF!$C$12)/ASSUMPTIONS!$C$7</f>
        <v/>
      </c>
    </row>
    <row r="1300">
      <c r="H1300" s="83">
        <f>_xlfn.NORM.INV(RAND(),AVERAGE(ASSUMPTIONS!$C$38,ASSUMPTIONS!$C$39,ASSUMPTIONS!$C$40,ASSUMPTIONS!$C$41,ASSUMPTIONS!$C$42),ASSUMPTIONS!$C$68)</f>
        <v/>
      </c>
      <c r="I1300" s="83">
        <f>MAX(_xlfn.NORM.INV(RAND(),DCF!$C$11,ASSUMPTIONS!$C$69),K1300+0.005)</f>
        <v/>
      </c>
      <c r="J1300" s="83">
        <f>_xlfn.NORM.INV(RAND(),ASSUMPTIONS!$C$19,ASSUMPTIONS!$C$70)</f>
        <v/>
      </c>
      <c r="K1300" s="83">
        <f>_xlfn.NORM.INV(RAND(),ASSUMPTIONS!$C$43,ASSUMPTIONS!$C$71)</f>
        <v/>
      </c>
      <c r="L1300" s="84">
        <f>(((ASSUMPTIONS!$C$18*J1300*(1-ASSUMPTIONS!$C$20)+ASSUMPTIONS!$C$18*ASSUMPTIONS!$C$21-ASSUMPTIONS!$C$18*ASSUMPTIONS!$C$22)*(1+H1300)*(1-((1+H1300)/(1+I1300))^5)/(I1300-H1300))+((ASSUMPTIONS!$C$18*J1300*(1-ASSUMPTIONS!$C$20)+ASSUMPTIONS!$C$18*ASSUMPTIONS!$C$21-ASSUMPTIONS!$C$18*ASSUMPTIONS!$C$22)*(1+H1300)^5*(1+K1300)/(I1300-K1300)/(1+I1300)^5)-DCF!$C$12)/ASSUMPTIONS!$C$7</f>
        <v/>
      </c>
    </row>
    <row r="1301">
      <c r="H1301" s="83">
        <f>_xlfn.NORM.INV(RAND(),AVERAGE(ASSUMPTIONS!$C$38,ASSUMPTIONS!$C$39,ASSUMPTIONS!$C$40,ASSUMPTIONS!$C$41,ASSUMPTIONS!$C$42),ASSUMPTIONS!$C$68)</f>
        <v/>
      </c>
      <c r="I1301" s="83">
        <f>MAX(_xlfn.NORM.INV(RAND(),DCF!$C$11,ASSUMPTIONS!$C$69),K1301+0.005)</f>
        <v/>
      </c>
      <c r="J1301" s="83">
        <f>_xlfn.NORM.INV(RAND(),ASSUMPTIONS!$C$19,ASSUMPTIONS!$C$70)</f>
        <v/>
      </c>
      <c r="K1301" s="83">
        <f>_xlfn.NORM.INV(RAND(),ASSUMPTIONS!$C$43,ASSUMPTIONS!$C$71)</f>
        <v/>
      </c>
      <c r="L1301" s="84">
        <f>(((ASSUMPTIONS!$C$18*J1301*(1-ASSUMPTIONS!$C$20)+ASSUMPTIONS!$C$18*ASSUMPTIONS!$C$21-ASSUMPTIONS!$C$18*ASSUMPTIONS!$C$22)*(1+H1301)*(1-((1+H1301)/(1+I1301))^5)/(I1301-H1301))+((ASSUMPTIONS!$C$18*J1301*(1-ASSUMPTIONS!$C$20)+ASSUMPTIONS!$C$18*ASSUMPTIONS!$C$21-ASSUMPTIONS!$C$18*ASSUMPTIONS!$C$22)*(1+H1301)^5*(1+K1301)/(I1301-K1301)/(1+I1301)^5)-DCF!$C$12)/ASSUMPTIONS!$C$7</f>
        <v/>
      </c>
    </row>
    <row r="1302">
      <c r="H1302" s="83">
        <f>_xlfn.NORM.INV(RAND(),AVERAGE(ASSUMPTIONS!$C$38,ASSUMPTIONS!$C$39,ASSUMPTIONS!$C$40,ASSUMPTIONS!$C$41,ASSUMPTIONS!$C$42),ASSUMPTIONS!$C$68)</f>
        <v/>
      </c>
      <c r="I1302" s="83">
        <f>MAX(_xlfn.NORM.INV(RAND(),DCF!$C$11,ASSUMPTIONS!$C$69),K1302+0.005)</f>
        <v/>
      </c>
      <c r="J1302" s="83">
        <f>_xlfn.NORM.INV(RAND(),ASSUMPTIONS!$C$19,ASSUMPTIONS!$C$70)</f>
        <v/>
      </c>
      <c r="K1302" s="83">
        <f>_xlfn.NORM.INV(RAND(),ASSUMPTIONS!$C$43,ASSUMPTIONS!$C$71)</f>
        <v/>
      </c>
      <c r="L1302" s="84">
        <f>(((ASSUMPTIONS!$C$18*J1302*(1-ASSUMPTIONS!$C$20)+ASSUMPTIONS!$C$18*ASSUMPTIONS!$C$21-ASSUMPTIONS!$C$18*ASSUMPTIONS!$C$22)*(1+H1302)*(1-((1+H1302)/(1+I1302))^5)/(I1302-H1302))+((ASSUMPTIONS!$C$18*J1302*(1-ASSUMPTIONS!$C$20)+ASSUMPTIONS!$C$18*ASSUMPTIONS!$C$21-ASSUMPTIONS!$C$18*ASSUMPTIONS!$C$22)*(1+H1302)^5*(1+K1302)/(I1302-K1302)/(1+I1302)^5)-DCF!$C$12)/ASSUMPTIONS!$C$7</f>
        <v/>
      </c>
    </row>
    <row r="1303">
      <c r="H1303" s="83">
        <f>_xlfn.NORM.INV(RAND(),AVERAGE(ASSUMPTIONS!$C$38,ASSUMPTIONS!$C$39,ASSUMPTIONS!$C$40,ASSUMPTIONS!$C$41,ASSUMPTIONS!$C$42),ASSUMPTIONS!$C$68)</f>
        <v/>
      </c>
      <c r="I1303" s="83">
        <f>MAX(_xlfn.NORM.INV(RAND(),DCF!$C$11,ASSUMPTIONS!$C$69),K1303+0.005)</f>
        <v/>
      </c>
      <c r="J1303" s="83">
        <f>_xlfn.NORM.INV(RAND(),ASSUMPTIONS!$C$19,ASSUMPTIONS!$C$70)</f>
        <v/>
      </c>
      <c r="K1303" s="83">
        <f>_xlfn.NORM.INV(RAND(),ASSUMPTIONS!$C$43,ASSUMPTIONS!$C$71)</f>
        <v/>
      </c>
      <c r="L1303" s="84">
        <f>(((ASSUMPTIONS!$C$18*J1303*(1-ASSUMPTIONS!$C$20)+ASSUMPTIONS!$C$18*ASSUMPTIONS!$C$21-ASSUMPTIONS!$C$18*ASSUMPTIONS!$C$22)*(1+H1303)*(1-((1+H1303)/(1+I1303))^5)/(I1303-H1303))+((ASSUMPTIONS!$C$18*J1303*(1-ASSUMPTIONS!$C$20)+ASSUMPTIONS!$C$18*ASSUMPTIONS!$C$21-ASSUMPTIONS!$C$18*ASSUMPTIONS!$C$22)*(1+H1303)^5*(1+K1303)/(I1303-K1303)/(1+I1303)^5)-DCF!$C$12)/ASSUMPTIONS!$C$7</f>
        <v/>
      </c>
    </row>
    <row r="1304">
      <c r="H1304" s="83">
        <f>_xlfn.NORM.INV(RAND(),AVERAGE(ASSUMPTIONS!$C$38,ASSUMPTIONS!$C$39,ASSUMPTIONS!$C$40,ASSUMPTIONS!$C$41,ASSUMPTIONS!$C$42),ASSUMPTIONS!$C$68)</f>
        <v/>
      </c>
      <c r="I1304" s="83">
        <f>MAX(_xlfn.NORM.INV(RAND(),DCF!$C$11,ASSUMPTIONS!$C$69),K1304+0.005)</f>
        <v/>
      </c>
      <c r="J1304" s="83">
        <f>_xlfn.NORM.INV(RAND(),ASSUMPTIONS!$C$19,ASSUMPTIONS!$C$70)</f>
        <v/>
      </c>
      <c r="K1304" s="83">
        <f>_xlfn.NORM.INV(RAND(),ASSUMPTIONS!$C$43,ASSUMPTIONS!$C$71)</f>
        <v/>
      </c>
      <c r="L1304" s="84">
        <f>(((ASSUMPTIONS!$C$18*J1304*(1-ASSUMPTIONS!$C$20)+ASSUMPTIONS!$C$18*ASSUMPTIONS!$C$21-ASSUMPTIONS!$C$18*ASSUMPTIONS!$C$22)*(1+H1304)*(1-((1+H1304)/(1+I1304))^5)/(I1304-H1304))+((ASSUMPTIONS!$C$18*J1304*(1-ASSUMPTIONS!$C$20)+ASSUMPTIONS!$C$18*ASSUMPTIONS!$C$21-ASSUMPTIONS!$C$18*ASSUMPTIONS!$C$22)*(1+H1304)^5*(1+K1304)/(I1304-K1304)/(1+I1304)^5)-DCF!$C$12)/ASSUMPTIONS!$C$7</f>
        <v/>
      </c>
    </row>
    <row r="1305">
      <c r="H1305" s="83">
        <f>_xlfn.NORM.INV(RAND(),AVERAGE(ASSUMPTIONS!$C$38,ASSUMPTIONS!$C$39,ASSUMPTIONS!$C$40,ASSUMPTIONS!$C$41,ASSUMPTIONS!$C$42),ASSUMPTIONS!$C$68)</f>
        <v/>
      </c>
      <c r="I1305" s="83">
        <f>MAX(_xlfn.NORM.INV(RAND(),DCF!$C$11,ASSUMPTIONS!$C$69),K1305+0.005)</f>
        <v/>
      </c>
      <c r="J1305" s="83">
        <f>_xlfn.NORM.INV(RAND(),ASSUMPTIONS!$C$19,ASSUMPTIONS!$C$70)</f>
        <v/>
      </c>
      <c r="K1305" s="83">
        <f>_xlfn.NORM.INV(RAND(),ASSUMPTIONS!$C$43,ASSUMPTIONS!$C$71)</f>
        <v/>
      </c>
      <c r="L1305" s="84">
        <f>(((ASSUMPTIONS!$C$18*J1305*(1-ASSUMPTIONS!$C$20)+ASSUMPTIONS!$C$18*ASSUMPTIONS!$C$21-ASSUMPTIONS!$C$18*ASSUMPTIONS!$C$22)*(1+H1305)*(1-((1+H1305)/(1+I1305))^5)/(I1305-H1305))+((ASSUMPTIONS!$C$18*J1305*(1-ASSUMPTIONS!$C$20)+ASSUMPTIONS!$C$18*ASSUMPTIONS!$C$21-ASSUMPTIONS!$C$18*ASSUMPTIONS!$C$22)*(1+H1305)^5*(1+K1305)/(I1305-K1305)/(1+I1305)^5)-DCF!$C$12)/ASSUMPTIONS!$C$7</f>
        <v/>
      </c>
    </row>
    <row r="1306">
      <c r="H1306" s="83">
        <f>_xlfn.NORM.INV(RAND(),AVERAGE(ASSUMPTIONS!$C$38,ASSUMPTIONS!$C$39,ASSUMPTIONS!$C$40,ASSUMPTIONS!$C$41,ASSUMPTIONS!$C$42),ASSUMPTIONS!$C$68)</f>
        <v/>
      </c>
      <c r="I1306" s="83">
        <f>MAX(_xlfn.NORM.INV(RAND(),DCF!$C$11,ASSUMPTIONS!$C$69),K1306+0.005)</f>
        <v/>
      </c>
      <c r="J1306" s="83">
        <f>_xlfn.NORM.INV(RAND(),ASSUMPTIONS!$C$19,ASSUMPTIONS!$C$70)</f>
        <v/>
      </c>
      <c r="K1306" s="83">
        <f>_xlfn.NORM.INV(RAND(),ASSUMPTIONS!$C$43,ASSUMPTIONS!$C$71)</f>
        <v/>
      </c>
      <c r="L1306" s="84">
        <f>(((ASSUMPTIONS!$C$18*J1306*(1-ASSUMPTIONS!$C$20)+ASSUMPTIONS!$C$18*ASSUMPTIONS!$C$21-ASSUMPTIONS!$C$18*ASSUMPTIONS!$C$22)*(1+H1306)*(1-((1+H1306)/(1+I1306))^5)/(I1306-H1306))+((ASSUMPTIONS!$C$18*J1306*(1-ASSUMPTIONS!$C$20)+ASSUMPTIONS!$C$18*ASSUMPTIONS!$C$21-ASSUMPTIONS!$C$18*ASSUMPTIONS!$C$22)*(1+H1306)^5*(1+K1306)/(I1306-K1306)/(1+I1306)^5)-DCF!$C$12)/ASSUMPTIONS!$C$7</f>
        <v/>
      </c>
    </row>
    <row r="1307">
      <c r="H1307" s="83">
        <f>_xlfn.NORM.INV(RAND(),AVERAGE(ASSUMPTIONS!$C$38,ASSUMPTIONS!$C$39,ASSUMPTIONS!$C$40,ASSUMPTIONS!$C$41,ASSUMPTIONS!$C$42),ASSUMPTIONS!$C$68)</f>
        <v/>
      </c>
      <c r="I1307" s="83">
        <f>MAX(_xlfn.NORM.INV(RAND(),DCF!$C$11,ASSUMPTIONS!$C$69),K1307+0.005)</f>
        <v/>
      </c>
      <c r="J1307" s="83">
        <f>_xlfn.NORM.INV(RAND(),ASSUMPTIONS!$C$19,ASSUMPTIONS!$C$70)</f>
        <v/>
      </c>
      <c r="K1307" s="83">
        <f>_xlfn.NORM.INV(RAND(),ASSUMPTIONS!$C$43,ASSUMPTIONS!$C$71)</f>
        <v/>
      </c>
      <c r="L1307" s="84">
        <f>(((ASSUMPTIONS!$C$18*J1307*(1-ASSUMPTIONS!$C$20)+ASSUMPTIONS!$C$18*ASSUMPTIONS!$C$21-ASSUMPTIONS!$C$18*ASSUMPTIONS!$C$22)*(1+H1307)*(1-((1+H1307)/(1+I1307))^5)/(I1307-H1307))+((ASSUMPTIONS!$C$18*J1307*(1-ASSUMPTIONS!$C$20)+ASSUMPTIONS!$C$18*ASSUMPTIONS!$C$21-ASSUMPTIONS!$C$18*ASSUMPTIONS!$C$22)*(1+H1307)^5*(1+K1307)/(I1307-K1307)/(1+I1307)^5)-DCF!$C$12)/ASSUMPTIONS!$C$7</f>
        <v/>
      </c>
    </row>
    <row r="1308">
      <c r="H1308" s="83">
        <f>_xlfn.NORM.INV(RAND(),AVERAGE(ASSUMPTIONS!$C$38,ASSUMPTIONS!$C$39,ASSUMPTIONS!$C$40,ASSUMPTIONS!$C$41,ASSUMPTIONS!$C$42),ASSUMPTIONS!$C$68)</f>
        <v/>
      </c>
      <c r="I1308" s="83">
        <f>MAX(_xlfn.NORM.INV(RAND(),DCF!$C$11,ASSUMPTIONS!$C$69),K1308+0.005)</f>
        <v/>
      </c>
      <c r="J1308" s="83">
        <f>_xlfn.NORM.INV(RAND(),ASSUMPTIONS!$C$19,ASSUMPTIONS!$C$70)</f>
        <v/>
      </c>
      <c r="K1308" s="83">
        <f>_xlfn.NORM.INV(RAND(),ASSUMPTIONS!$C$43,ASSUMPTIONS!$C$71)</f>
        <v/>
      </c>
      <c r="L1308" s="84">
        <f>(((ASSUMPTIONS!$C$18*J1308*(1-ASSUMPTIONS!$C$20)+ASSUMPTIONS!$C$18*ASSUMPTIONS!$C$21-ASSUMPTIONS!$C$18*ASSUMPTIONS!$C$22)*(1+H1308)*(1-((1+H1308)/(1+I1308))^5)/(I1308-H1308))+((ASSUMPTIONS!$C$18*J1308*(1-ASSUMPTIONS!$C$20)+ASSUMPTIONS!$C$18*ASSUMPTIONS!$C$21-ASSUMPTIONS!$C$18*ASSUMPTIONS!$C$22)*(1+H1308)^5*(1+K1308)/(I1308-K1308)/(1+I1308)^5)-DCF!$C$12)/ASSUMPTIONS!$C$7</f>
        <v/>
      </c>
    </row>
    <row r="1309">
      <c r="H1309" s="83">
        <f>_xlfn.NORM.INV(RAND(),AVERAGE(ASSUMPTIONS!$C$38,ASSUMPTIONS!$C$39,ASSUMPTIONS!$C$40,ASSUMPTIONS!$C$41,ASSUMPTIONS!$C$42),ASSUMPTIONS!$C$68)</f>
        <v/>
      </c>
      <c r="I1309" s="83">
        <f>MAX(_xlfn.NORM.INV(RAND(),DCF!$C$11,ASSUMPTIONS!$C$69),K1309+0.005)</f>
        <v/>
      </c>
      <c r="J1309" s="83">
        <f>_xlfn.NORM.INV(RAND(),ASSUMPTIONS!$C$19,ASSUMPTIONS!$C$70)</f>
        <v/>
      </c>
      <c r="K1309" s="83">
        <f>_xlfn.NORM.INV(RAND(),ASSUMPTIONS!$C$43,ASSUMPTIONS!$C$71)</f>
        <v/>
      </c>
      <c r="L1309" s="84">
        <f>(((ASSUMPTIONS!$C$18*J1309*(1-ASSUMPTIONS!$C$20)+ASSUMPTIONS!$C$18*ASSUMPTIONS!$C$21-ASSUMPTIONS!$C$18*ASSUMPTIONS!$C$22)*(1+H1309)*(1-((1+H1309)/(1+I1309))^5)/(I1309-H1309))+((ASSUMPTIONS!$C$18*J1309*(1-ASSUMPTIONS!$C$20)+ASSUMPTIONS!$C$18*ASSUMPTIONS!$C$21-ASSUMPTIONS!$C$18*ASSUMPTIONS!$C$22)*(1+H1309)^5*(1+K1309)/(I1309-K1309)/(1+I1309)^5)-DCF!$C$12)/ASSUMPTIONS!$C$7</f>
        <v/>
      </c>
    </row>
    <row r="1310">
      <c r="H1310" s="83">
        <f>_xlfn.NORM.INV(RAND(),AVERAGE(ASSUMPTIONS!$C$38,ASSUMPTIONS!$C$39,ASSUMPTIONS!$C$40,ASSUMPTIONS!$C$41,ASSUMPTIONS!$C$42),ASSUMPTIONS!$C$68)</f>
        <v/>
      </c>
      <c r="I1310" s="83">
        <f>MAX(_xlfn.NORM.INV(RAND(),DCF!$C$11,ASSUMPTIONS!$C$69),K1310+0.005)</f>
        <v/>
      </c>
      <c r="J1310" s="83">
        <f>_xlfn.NORM.INV(RAND(),ASSUMPTIONS!$C$19,ASSUMPTIONS!$C$70)</f>
        <v/>
      </c>
      <c r="K1310" s="83">
        <f>_xlfn.NORM.INV(RAND(),ASSUMPTIONS!$C$43,ASSUMPTIONS!$C$71)</f>
        <v/>
      </c>
      <c r="L1310" s="84">
        <f>(((ASSUMPTIONS!$C$18*J1310*(1-ASSUMPTIONS!$C$20)+ASSUMPTIONS!$C$18*ASSUMPTIONS!$C$21-ASSUMPTIONS!$C$18*ASSUMPTIONS!$C$22)*(1+H1310)*(1-((1+H1310)/(1+I1310))^5)/(I1310-H1310))+((ASSUMPTIONS!$C$18*J1310*(1-ASSUMPTIONS!$C$20)+ASSUMPTIONS!$C$18*ASSUMPTIONS!$C$21-ASSUMPTIONS!$C$18*ASSUMPTIONS!$C$22)*(1+H1310)^5*(1+K1310)/(I1310-K1310)/(1+I1310)^5)-DCF!$C$12)/ASSUMPTIONS!$C$7</f>
        <v/>
      </c>
    </row>
    <row r="1311">
      <c r="H1311" s="83">
        <f>_xlfn.NORM.INV(RAND(),AVERAGE(ASSUMPTIONS!$C$38,ASSUMPTIONS!$C$39,ASSUMPTIONS!$C$40,ASSUMPTIONS!$C$41,ASSUMPTIONS!$C$42),ASSUMPTIONS!$C$68)</f>
        <v/>
      </c>
      <c r="I1311" s="83">
        <f>MAX(_xlfn.NORM.INV(RAND(),DCF!$C$11,ASSUMPTIONS!$C$69),K1311+0.005)</f>
        <v/>
      </c>
      <c r="J1311" s="83">
        <f>_xlfn.NORM.INV(RAND(),ASSUMPTIONS!$C$19,ASSUMPTIONS!$C$70)</f>
        <v/>
      </c>
      <c r="K1311" s="83">
        <f>_xlfn.NORM.INV(RAND(),ASSUMPTIONS!$C$43,ASSUMPTIONS!$C$71)</f>
        <v/>
      </c>
      <c r="L1311" s="84">
        <f>(((ASSUMPTIONS!$C$18*J1311*(1-ASSUMPTIONS!$C$20)+ASSUMPTIONS!$C$18*ASSUMPTIONS!$C$21-ASSUMPTIONS!$C$18*ASSUMPTIONS!$C$22)*(1+H1311)*(1-((1+H1311)/(1+I1311))^5)/(I1311-H1311))+((ASSUMPTIONS!$C$18*J1311*(1-ASSUMPTIONS!$C$20)+ASSUMPTIONS!$C$18*ASSUMPTIONS!$C$21-ASSUMPTIONS!$C$18*ASSUMPTIONS!$C$22)*(1+H1311)^5*(1+K1311)/(I1311-K1311)/(1+I1311)^5)-DCF!$C$12)/ASSUMPTIONS!$C$7</f>
        <v/>
      </c>
    </row>
    <row r="1312">
      <c r="H1312" s="83">
        <f>_xlfn.NORM.INV(RAND(),AVERAGE(ASSUMPTIONS!$C$38,ASSUMPTIONS!$C$39,ASSUMPTIONS!$C$40,ASSUMPTIONS!$C$41,ASSUMPTIONS!$C$42),ASSUMPTIONS!$C$68)</f>
        <v/>
      </c>
      <c r="I1312" s="83">
        <f>MAX(_xlfn.NORM.INV(RAND(),DCF!$C$11,ASSUMPTIONS!$C$69),K1312+0.005)</f>
        <v/>
      </c>
      <c r="J1312" s="83">
        <f>_xlfn.NORM.INV(RAND(),ASSUMPTIONS!$C$19,ASSUMPTIONS!$C$70)</f>
        <v/>
      </c>
      <c r="K1312" s="83">
        <f>_xlfn.NORM.INV(RAND(),ASSUMPTIONS!$C$43,ASSUMPTIONS!$C$71)</f>
        <v/>
      </c>
      <c r="L1312" s="84">
        <f>(((ASSUMPTIONS!$C$18*J1312*(1-ASSUMPTIONS!$C$20)+ASSUMPTIONS!$C$18*ASSUMPTIONS!$C$21-ASSUMPTIONS!$C$18*ASSUMPTIONS!$C$22)*(1+H1312)*(1-((1+H1312)/(1+I1312))^5)/(I1312-H1312))+((ASSUMPTIONS!$C$18*J1312*(1-ASSUMPTIONS!$C$20)+ASSUMPTIONS!$C$18*ASSUMPTIONS!$C$21-ASSUMPTIONS!$C$18*ASSUMPTIONS!$C$22)*(1+H1312)^5*(1+K1312)/(I1312-K1312)/(1+I1312)^5)-DCF!$C$12)/ASSUMPTIONS!$C$7</f>
        <v/>
      </c>
    </row>
    <row r="1313">
      <c r="H1313" s="83">
        <f>_xlfn.NORM.INV(RAND(),AVERAGE(ASSUMPTIONS!$C$38,ASSUMPTIONS!$C$39,ASSUMPTIONS!$C$40,ASSUMPTIONS!$C$41,ASSUMPTIONS!$C$42),ASSUMPTIONS!$C$68)</f>
        <v/>
      </c>
      <c r="I1313" s="83">
        <f>MAX(_xlfn.NORM.INV(RAND(),DCF!$C$11,ASSUMPTIONS!$C$69),K1313+0.005)</f>
        <v/>
      </c>
      <c r="J1313" s="83">
        <f>_xlfn.NORM.INV(RAND(),ASSUMPTIONS!$C$19,ASSUMPTIONS!$C$70)</f>
        <v/>
      </c>
      <c r="K1313" s="83">
        <f>_xlfn.NORM.INV(RAND(),ASSUMPTIONS!$C$43,ASSUMPTIONS!$C$71)</f>
        <v/>
      </c>
      <c r="L1313" s="84">
        <f>(((ASSUMPTIONS!$C$18*J1313*(1-ASSUMPTIONS!$C$20)+ASSUMPTIONS!$C$18*ASSUMPTIONS!$C$21-ASSUMPTIONS!$C$18*ASSUMPTIONS!$C$22)*(1+H1313)*(1-((1+H1313)/(1+I1313))^5)/(I1313-H1313))+((ASSUMPTIONS!$C$18*J1313*(1-ASSUMPTIONS!$C$20)+ASSUMPTIONS!$C$18*ASSUMPTIONS!$C$21-ASSUMPTIONS!$C$18*ASSUMPTIONS!$C$22)*(1+H1313)^5*(1+K1313)/(I1313-K1313)/(1+I1313)^5)-DCF!$C$12)/ASSUMPTIONS!$C$7</f>
        <v/>
      </c>
    </row>
    <row r="1314">
      <c r="H1314" s="83">
        <f>_xlfn.NORM.INV(RAND(),AVERAGE(ASSUMPTIONS!$C$38,ASSUMPTIONS!$C$39,ASSUMPTIONS!$C$40,ASSUMPTIONS!$C$41,ASSUMPTIONS!$C$42),ASSUMPTIONS!$C$68)</f>
        <v/>
      </c>
      <c r="I1314" s="83">
        <f>MAX(_xlfn.NORM.INV(RAND(),DCF!$C$11,ASSUMPTIONS!$C$69),K1314+0.005)</f>
        <v/>
      </c>
      <c r="J1314" s="83">
        <f>_xlfn.NORM.INV(RAND(),ASSUMPTIONS!$C$19,ASSUMPTIONS!$C$70)</f>
        <v/>
      </c>
      <c r="K1314" s="83">
        <f>_xlfn.NORM.INV(RAND(),ASSUMPTIONS!$C$43,ASSUMPTIONS!$C$71)</f>
        <v/>
      </c>
      <c r="L1314" s="84">
        <f>(((ASSUMPTIONS!$C$18*J1314*(1-ASSUMPTIONS!$C$20)+ASSUMPTIONS!$C$18*ASSUMPTIONS!$C$21-ASSUMPTIONS!$C$18*ASSUMPTIONS!$C$22)*(1+H1314)*(1-((1+H1314)/(1+I1314))^5)/(I1314-H1314))+((ASSUMPTIONS!$C$18*J1314*(1-ASSUMPTIONS!$C$20)+ASSUMPTIONS!$C$18*ASSUMPTIONS!$C$21-ASSUMPTIONS!$C$18*ASSUMPTIONS!$C$22)*(1+H1314)^5*(1+K1314)/(I1314-K1314)/(1+I1314)^5)-DCF!$C$12)/ASSUMPTIONS!$C$7</f>
        <v/>
      </c>
    </row>
    <row r="1315">
      <c r="H1315" s="83">
        <f>_xlfn.NORM.INV(RAND(),AVERAGE(ASSUMPTIONS!$C$38,ASSUMPTIONS!$C$39,ASSUMPTIONS!$C$40,ASSUMPTIONS!$C$41,ASSUMPTIONS!$C$42),ASSUMPTIONS!$C$68)</f>
        <v/>
      </c>
      <c r="I1315" s="83">
        <f>MAX(_xlfn.NORM.INV(RAND(),DCF!$C$11,ASSUMPTIONS!$C$69),K1315+0.005)</f>
        <v/>
      </c>
      <c r="J1315" s="83">
        <f>_xlfn.NORM.INV(RAND(),ASSUMPTIONS!$C$19,ASSUMPTIONS!$C$70)</f>
        <v/>
      </c>
      <c r="K1315" s="83">
        <f>_xlfn.NORM.INV(RAND(),ASSUMPTIONS!$C$43,ASSUMPTIONS!$C$71)</f>
        <v/>
      </c>
      <c r="L1315" s="84">
        <f>(((ASSUMPTIONS!$C$18*J1315*(1-ASSUMPTIONS!$C$20)+ASSUMPTIONS!$C$18*ASSUMPTIONS!$C$21-ASSUMPTIONS!$C$18*ASSUMPTIONS!$C$22)*(1+H1315)*(1-((1+H1315)/(1+I1315))^5)/(I1315-H1315))+((ASSUMPTIONS!$C$18*J1315*(1-ASSUMPTIONS!$C$20)+ASSUMPTIONS!$C$18*ASSUMPTIONS!$C$21-ASSUMPTIONS!$C$18*ASSUMPTIONS!$C$22)*(1+H1315)^5*(1+K1315)/(I1315-K1315)/(1+I1315)^5)-DCF!$C$12)/ASSUMPTIONS!$C$7</f>
        <v/>
      </c>
    </row>
    <row r="1316">
      <c r="H1316" s="83">
        <f>_xlfn.NORM.INV(RAND(),AVERAGE(ASSUMPTIONS!$C$38,ASSUMPTIONS!$C$39,ASSUMPTIONS!$C$40,ASSUMPTIONS!$C$41,ASSUMPTIONS!$C$42),ASSUMPTIONS!$C$68)</f>
        <v/>
      </c>
      <c r="I1316" s="83">
        <f>MAX(_xlfn.NORM.INV(RAND(),DCF!$C$11,ASSUMPTIONS!$C$69),K1316+0.005)</f>
        <v/>
      </c>
      <c r="J1316" s="83">
        <f>_xlfn.NORM.INV(RAND(),ASSUMPTIONS!$C$19,ASSUMPTIONS!$C$70)</f>
        <v/>
      </c>
      <c r="K1316" s="83">
        <f>_xlfn.NORM.INV(RAND(),ASSUMPTIONS!$C$43,ASSUMPTIONS!$C$71)</f>
        <v/>
      </c>
      <c r="L1316" s="84">
        <f>(((ASSUMPTIONS!$C$18*J1316*(1-ASSUMPTIONS!$C$20)+ASSUMPTIONS!$C$18*ASSUMPTIONS!$C$21-ASSUMPTIONS!$C$18*ASSUMPTIONS!$C$22)*(1+H1316)*(1-((1+H1316)/(1+I1316))^5)/(I1316-H1316))+((ASSUMPTIONS!$C$18*J1316*(1-ASSUMPTIONS!$C$20)+ASSUMPTIONS!$C$18*ASSUMPTIONS!$C$21-ASSUMPTIONS!$C$18*ASSUMPTIONS!$C$22)*(1+H1316)^5*(1+K1316)/(I1316-K1316)/(1+I1316)^5)-DCF!$C$12)/ASSUMPTIONS!$C$7</f>
        <v/>
      </c>
    </row>
    <row r="1317">
      <c r="H1317" s="83">
        <f>_xlfn.NORM.INV(RAND(),AVERAGE(ASSUMPTIONS!$C$38,ASSUMPTIONS!$C$39,ASSUMPTIONS!$C$40,ASSUMPTIONS!$C$41,ASSUMPTIONS!$C$42),ASSUMPTIONS!$C$68)</f>
        <v/>
      </c>
      <c r="I1317" s="83">
        <f>MAX(_xlfn.NORM.INV(RAND(),DCF!$C$11,ASSUMPTIONS!$C$69),K1317+0.005)</f>
        <v/>
      </c>
      <c r="J1317" s="83">
        <f>_xlfn.NORM.INV(RAND(),ASSUMPTIONS!$C$19,ASSUMPTIONS!$C$70)</f>
        <v/>
      </c>
      <c r="K1317" s="83">
        <f>_xlfn.NORM.INV(RAND(),ASSUMPTIONS!$C$43,ASSUMPTIONS!$C$71)</f>
        <v/>
      </c>
      <c r="L1317" s="84">
        <f>(((ASSUMPTIONS!$C$18*J1317*(1-ASSUMPTIONS!$C$20)+ASSUMPTIONS!$C$18*ASSUMPTIONS!$C$21-ASSUMPTIONS!$C$18*ASSUMPTIONS!$C$22)*(1+H1317)*(1-((1+H1317)/(1+I1317))^5)/(I1317-H1317))+((ASSUMPTIONS!$C$18*J1317*(1-ASSUMPTIONS!$C$20)+ASSUMPTIONS!$C$18*ASSUMPTIONS!$C$21-ASSUMPTIONS!$C$18*ASSUMPTIONS!$C$22)*(1+H1317)^5*(1+K1317)/(I1317-K1317)/(1+I1317)^5)-DCF!$C$12)/ASSUMPTIONS!$C$7</f>
        <v/>
      </c>
    </row>
    <row r="1318">
      <c r="H1318" s="83">
        <f>_xlfn.NORM.INV(RAND(),AVERAGE(ASSUMPTIONS!$C$38,ASSUMPTIONS!$C$39,ASSUMPTIONS!$C$40,ASSUMPTIONS!$C$41,ASSUMPTIONS!$C$42),ASSUMPTIONS!$C$68)</f>
        <v/>
      </c>
      <c r="I1318" s="83">
        <f>MAX(_xlfn.NORM.INV(RAND(),DCF!$C$11,ASSUMPTIONS!$C$69),K1318+0.005)</f>
        <v/>
      </c>
      <c r="J1318" s="83">
        <f>_xlfn.NORM.INV(RAND(),ASSUMPTIONS!$C$19,ASSUMPTIONS!$C$70)</f>
        <v/>
      </c>
      <c r="K1318" s="83">
        <f>_xlfn.NORM.INV(RAND(),ASSUMPTIONS!$C$43,ASSUMPTIONS!$C$71)</f>
        <v/>
      </c>
      <c r="L1318" s="84">
        <f>(((ASSUMPTIONS!$C$18*J1318*(1-ASSUMPTIONS!$C$20)+ASSUMPTIONS!$C$18*ASSUMPTIONS!$C$21-ASSUMPTIONS!$C$18*ASSUMPTIONS!$C$22)*(1+H1318)*(1-((1+H1318)/(1+I1318))^5)/(I1318-H1318))+((ASSUMPTIONS!$C$18*J1318*(1-ASSUMPTIONS!$C$20)+ASSUMPTIONS!$C$18*ASSUMPTIONS!$C$21-ASSUMPTIONS!$C$18*ASSUMPTIONS!$C$22)*(1+H1318)^5*(1+K1318)/(I1318-K1318)/(1+I1318)^5)-DCF!$C$12)/ASSUMPTIONS!$C$7</f>
        <v/>
      </c>
    </row>
    <row r="1319">
      <c r="H1319" s="83">
        <f>_xlfn.NORM.INV(RAND(),AVERAGE(ASSUMPTIONS!$C$38,ASSUMPTIONS!$C$39,ASSUMPTIONS!$C$40,ASSUMPTIONS!$C$41,ASSUMPTIONS!$C$42),ASSUMPTIONS!$C$68)</f>
        <v/>
      </c>
      <c r="I1319" s="83">
        <f>MAX(_xlfn.NORM.INV(RAND(),DCF!$C$11,ASSUMPTIONS!$C$69),K1319+0.005)</f>
        <v/>
      </c>
      <c r="J1319" s="83">
        <f>_xlfn.NORM.INV(RAND(),ASSUMPTIONS!$C$19,ASSUMPTIONS!$C$70)</f>
        <v/>
      </c>
      <c r="K1319" s="83">
        <f>_xlfn.NORM.INV(RAND(),ASSUMPTIONS!$C$43,ASSUMPTIONS!$C$71)</f>
        <v/>
      </c>
      <c r="L1319" s="84">
        <f>(((ASSUMPTIONS!$C$18*J1319*(1-ASSUMPTIONS!$C$20)+ASSUMPTIONS!$C$18*ASSUMPTIONS!$C$21-ASSUMPTIONS!$C$18*ASSUMPTIONS!$C$22)*(1+H1319)*(1-((1+H1319)/(1+I1319))^5)/(I1319-H1319))+((ASSUMPTIONS!$C$18*J1319*(1-ASSUMPTIONS!$C$20)+ASSUMPTIONS!$C$18*ASSUMPTIONS!$C$21-ASSUMPTIONS!$C$18*ASSUMPTIONS!$C$22)*(1+H1319)^5*(1+K1319)/(I1319-K1319)/(1+I1319)^5)-DCF!$C$12)/ASSUMPTIONS!$C$7</f>
        <v/>
      </c>
    </row>
    <row r="1320">
      <c r="H1320" s="83">
        <f>_xlfn.NORM.INV(RAND(),AVERAGE(ASSUMPTIONS!$C$38,ASSUMPTIONS!$C$39,ASSUMPTIONS!$C$40,ASSUMPTIONS!$C$41,ASSUMPTIONS!$C$42),ASSUMPTIONS!$C$68)</f>
        <v/>
      </c>
      <c r="I1320" s="83">
        <f>MAX(_xlfn.NORM.INV(RAND(),DCF!$C$11,ASSUMPTIONS!$C$69),K1320+0.005)</f>
        <v/>
      </c>
      <c r="J1320" s="83">
        <f>_xlfn.NORM.INV(RAND(),ASSUMPTIONS!$C$19,ASSUMPTIONS!$C$70)</f>
        <v/>
      </c>
      <c r="K1320" s="83">
        <f>_xlfn.NORM.INV(RAND(),ASSUMPTIONS!$C$43,ASSUMPTIONS!$C$71)</f>
        <v/>
      </c>
      <c r="L1320" s="84">
        <f>(((ASSUMPTIONS!$C$18*J1320*(1-ASSUMPTIONS!$C$20)+ASSUMPTIONS!$C$18*ASSUMPTIONS!$C$21-ASSUMPTIONS!$C$18*ASSUMPTIONS!$C$22)*(1+H1320)*(1-((1+H1320)/(1+I1320))^5)/(I1320-H1320))+((ASSUMPTIONS!$C$18*J1320*(1-ASSUMPTIONS!$C$20)+ASSUMPTIONS!$C$18*ASSUMPTIONS!$C$21-ASSUMPTIONS!$C$18*ASSUMPTIONS!$C$22)*(1+H1320)^5*(1+K1320)/(I1320-K1320)/(1+I1320)^5)-DCF!$C$12)/ASSUMPTIONS!$C$7</f>
        <v/>
      </c>
    </row>
    <row r="1321">
      <c r="H1321" s="83">
        <f>_xlfn.NORM.INV(RAND(),AVERAGE(ASSUMPTIONS!$C$38,ASSUMPTIONS!$C$39,ASSUMPTIONS!$C$40,ASSUMPTIONS!$C$41,ASSUMPTIONS!$C$42),ASSUMPTIONS!$C$68)</f>
        <v/>
      </c>
      <c r="I1321" s="83">
        <f>MAX(_xlfn.NORM.INV(RAND(),DCF!$C$11,ASSUMPTIONS!$C$69),K1321+0.005)</f>
        <v/>
      </c>
      <c r="J1321" s="83">
        <f>_xlfn.NORM.INV(RAND(),ASSUMPTIONS!$C$19,ASSUMPTIONS!$C$70)</f>
        <v/>
      </c>
      <c r="K1321" s="83">
        <f>_xlfn.NORM.INV(RAND(),ASSUMPTIONS!$C$43,ASSUMPTIONS!$C$71)</f>
        <v/>
      </c>
      <c r="L1321" s="84">
        <f>(((ASSUMPTIONS!$C$18*J1321*(1-ASSUMPTIONS!$C$20)+ASSUMPTIONS!$C$18*ASSUMPTIONS!$C$21-ASSUMPTIONS!$C$18*ASSUMPTIONS!$C$22)*(1+H1321)*(1-((1+H1321)/(1+I1321))^5)/(I1321-H1321))+((ASSUMPTIONS!$C$18*J1321*(1-ASSUMPTIONS!$C$20)+ASSUMPTIONS!$C$18*ASSUMPTIONS!$C$21-ASSUMPTIONS!$C$18*ASSUMPTIONS!$C$22)*(1+H1321)^5*(1+K1321)/(I1321-K1321)/(1+I1321)^5)-DCF!$C$12)/ASSUMPTIONS!$C$7</f>
        <v/>
      </c>
    </row>
    <row r="1322">
      <c r="H1322" s="83">
        <f>_xlfn.NORM.INV(RAND(),AVERAGE(ASSUMPTIONS!$C$38,ASSUMPTIONS!$C$39,ASSUMPTIONS!$C$40,ASSUMPTIONS!$C$41,ASSUMPTIONS!$C$42),ASSUMPTIONS!$C$68)</f>
        <v/>
      </c>
      <c r="I1322" s="83">
        <f>MAX(_xlfn.NORM.INV(RAND(),DCF!$C$11,ASSUMPTIONS!$C$69),K1322+0.005)</f>
        <v/>
      </c>
      <c r="J1322" s="83">
        <f>_xlfn.NORM.INV(RAND(),ASSUMPTIONS!$C$19,ASSUMPTIONS!$C$70)</f>
        <v/>
      </c>
      <c r="K1322" s="83">
        <f>_xlfn.NORM.INV(RAND(),ASSUMPTIONS!$C$43,ASSUMPTIONS!$C$71)</f>
        <v/>
      </c>
      <c r="L1322" s="84">
        <f>(((ASSUMPTIONS!$C$18*J1322*(1-ASSUMPTIONS!$C$20)+ASSUMPTIONS!$C$18*ASSUMPTIONS!$C$21-ASSUMPTIONS!$C$18*ASSUMPTIONS!$C$22)*(1+H1322)*(1-((1+H1322)/(1+I1322))^5)/(I1322-H1322))+((ASSUMPTIONS!$C$18*J1322*(1-ASSUMPTIONS!$C$20)+ASSUMPTIONS!$C$18*ASSUMPTIONS!$C$21-ASSUMPTIONS!$C$18*ASSUMPTIONS!$C$22)*(1+H1322)^5*(1+K1322)/(I1322-K1322)/(1+I1322)^5)-DCF!$C$12)/ASSUMPTIONS!$C$7</f>
        <v/>
      </c>
    </row>
    <row r="1323">
      <c r="H1323" s="83">
        <f>_xlfn.NORM.INV(RAND(),AVERAGE(ASSUMPTIONS!$C$38,ASSUMPTIONS!$C$39,ASSUMPTIONS!$C$40,ASSUMPTIONS!$C$41,ASSUMPTIONS!$C$42),ASSUMPTIONS!$C$68)</f>
        <v/>
      </c>
      <c r="I1323" s="83">
        <f>MAX(_xlfn.NORM.INV(RAND(),DCF!$C$11,ASSUMPTIONS!$C$69),K1323+0.005)</f>
        <v/>
      </c>
      <c r="J1323" s="83">
        <f>_xlfn.NORM.INV(RAND(),ASSUMPTIONS!$C$19,ASSUMPTIONS!$C$70)</f>
        <v/>
      </c>
      <c r="K1323" s="83">
        <f>_xlfn.NORM.INV(RAND(),ASSUMPTIONS!$C$43,ASSUMPTIONS!$C$71)</f>
        <v/>
      </c>
      <c r="L1323" s="84">
        <f>(((ASSUMPTIONS!$C$18*J1323*(1-ASSUMPTIONS!$C$20)+ASSUMPTIONS!$C$18*ASSUMPTIONS!$C$21-ASSUMPTIONS!$C$18*ASSUMPTIONS!$C$22)*(1+H1323)*(1-((1+H1323)/(1+I1323))^5)/(I1323-H1323))+((ASSUMPTIONS!$C$18*J1323*(1-ASSUMPTIONS!$C$20)+ASSUMPTIONS!$C$18*ASSUMPTIONS!$C$21-ASSUMPTIONS!$C$18*ASSUMPTIONS!$C$22)*(1+H1323)^5*(1+K1323)/(I1323-K1323)/(1+I1323)^5)-DCF!$C$12)/ASSUMPTIONS!$C$7</f>
        <v/>
      </c>
    </row>
    <row r="1324">
      <c r="H1324" s="83">
        <f>_xlfn.NORM.INV(RAND(),AVERAGE(ASSUMPTIONS!$C$38,ASSUMPTIONS!$C$39,ASSUMPTIONS!$C$40,ASSUMPTIONS!$C$41,ASSUMPTIONS!$C$42),ASSUMPTIONS!$C$68)</f>
        <v/>
      </c>
      <c r="I1324" s="83">
        <f>MAX(_xlfn.NORM.INV(RAND(),DCF!$C$11,ASSUMPTIONS!$C$69),K1324+0.005)</f>
        <v/>
      </c>
      <c r="J1324" s="83">
        <f>_xlfn.NORM.INV(RAND(),ASSUMPTIONS!$C$19,ASSUMPTIONS!$C$70)</f>
        <v/>
      </c>
      <c r="K1324" s="83">
        <f>_xlfn.NORM.INV(RAND(),ASSUMPTIONS!$C$43,ASSUMPTIONS!$C$71)</f>
        <v/>
      </c>
      <c r="L1324" s="84">
        <f>(((ASSUMPTIONS!$C$18*J1324*(1-ASSUMPTIONS!$C$20)+ASSUMPTIONS!$C$18*ASSUMPTIONS!$C$21-ASSUMPTIONS!$C$18*ASSUMPTIONS!$C$22)*(1+H1324)*(1-((1+H1324)/(1+I1324))^5)/(I1324-H1324))+((ASSUMPTIONS!$C$18*J1324*(1-ASSUMPTIONS!$C$20)+ASSUMPTIONS!$C$18*ASSUMPTIONS!$C$21-ASSUMPTIONS!$C$18*ASSUMPTIONS!$C$22)*(1+H1324)^5*(1+K1324)/(I1324-K1324)/(1+I1324)^5)-DCF!$C$12)/ASSUMPTIONS!$C$7</f>
        <v/>
      </c>
    </row>
    <row r="1325">
      <c r="H1325" s="83">
        <f>_xlfn.NORM.INV(RAND(),AVERAGE(ASSUMPTIONS!$C$38,ASSUMPTIONS!$C$39,ASSUMPTIONS!$C$40,ASSUMPTIONS!$C$41,ASSUMPTIONS!$C$42),ASSUMPTIONS!$C$68)</f>
        <v/>
      </c>
      <c r="I1325" s="83">
        <f>MAX(_xlfn.NORM.INV(RAND(),DCF!$C$11,ASSUMPTIONS!$C$69),K1325+0.005)</f>
        <v/>
      </c>
      <c r="J1325" s="83">
        <f>_xlfn.NORM.INV(RAND(),ASSUMPTIONS!$C$19,ASSUMPTIONS!$C$70)</f>
        <v/>
      </c>
      <c r="K1325" s="83">
        <f>_xlfn.NORM.INV(RAND(),ASSUMPTIONS!$C$43,ASSUMPTIONS!$C$71)</f>
        <v/>
      </c>
      <c r="L1325" s="84">
        <f>(((ASSUMPTIONS!$C$18*J1325*(1-ASSUMPTIONS!$C$20)+ASSUMPTIONS!$C$18*ASSUMPTIONS!$C$21-ASSUMPTIONS!$C$18*ASSUMPTIONS!$C$22)*(1+H1325)*(1-((1+H1325)/(1+I1325))^5)/(I1325-H1325))+((ASSUMPTIONS!$C$18*J1325*(1-ASSUMPTIONS!$C$20)+ASSUMPTIONS!$C$18*ASSUMPTIONS!$C$21-ASSUMPTIONS!$C$18*ASSUMPTIONS!$C$22)*(1+H1325)^5*(1+K1325)/(I1325-K1325)/(1+I1325)^5)-DCF!$C$12)/ASSUMPTIONS!$C$7</f>
        <v/>
      </c>
    </row>
    <row r="1326">
      <c r="H1326" s="83">
        <f>_xlfn.NORM.INV(RAND(),AVERAGE(ASSUMPTIONS!$C$38,ASSUMPTIONS!$C$39,ASSUMPTIONS!$C$40,ASSUMPTIONS!$C$41,ASSUMPTIONS!$C$42),ASSUMPTIONS!$C$68)</f>
        <v/>
      </c>
      <c r="I1326" s="83">
        <f>MAX(_xlfn.NORM.INV(RAND(),DCF!$C$11,ASSUMPTIONS!$C$69),K1326+0.005)</f>
        <v/>
      </c>
      <c r="J1326" s="83">
        <f>_xlfn.NORM.INV(RAND(),ASSUMPTIONS!$C$19,ASSUMPTIONS!$C$70)</f>
        <v/>
      </c>
      <c r="K1326" s="83">
        <f>_xlfn.NORM.INV(RAND(),ASSUMPTIONS!$C$43,ASSUMPTIONS!$C$71)</f>
        <v/>
      </c>
      <c r="L1326" s="84">
        <f>(((ASSUMPTIONS!$C$18*J1326*(1-ASSUMPTIONS!$C$20)+ASSUMPTIONS!$C$18*ASSUMPTIONS!$C$21-ASSUMPTIONS!$C$18*ASSUMPTIONS!$C$22)*(1+H1326)*(1-((1+H1326)/(1+I1326))^5)/(I1326-H1326))+((ASSUMPTIONS!$C$18*J1326*(1-ASSUMPTIONS!$C$20)+ASSUMPTIONS!$C$18*ASSUMPTIONS!$C$21-ASSUMPTIONS!$C$18*ASSUMPTIONS!$C$22)*(1+H1326)^5*(1+K1326)/(I1326-K1326)/(1+I1326)^5)-DCF!$C$12)/ASSUMPTIONS!$C$7</f>
        <v/>
      </c>
    </row>
    <row r="1327">
      <c r="H1327" s="83">
        <f>_xlfn.NORM.INV(RAND(),AVERAGE(ASSUMPTIONS!$C$38,ASSUMPTIONS!$C$39,ASSUMPTIONS!$C$40,ASSUMPTIONS!$C$41,ASSUMPTIONS!$C$42),ASSUMPTIONS!$C$68)</f>
        <v/>
      </c>
      <c r="I1327" s="83">
        <f>MAX(_xlfn.NORM.INV(RAND(),DCF!$C$11,ASSUMPTIONS!$C$69),K1327+0.005)</f>
        <v/>
      </c>
      <c r="J1327" s="83">
        <f>_xlfn.NORM.INV(RAND(),ASSUMPTIONS!$C$19,ASSUMPTIONS!$C$70)</f>
        <v/>
      </c>
      <c r="K1327" s="83">
        <f>_xlfn.NORM.INV(RAND(),ASSUMPTIONS!$C$43,ASSUMPTIONS!$C$71)</f>
        <v/>
      </c>
      <c r="L1327" s="84">
        <f>(((ASSUMPTIONS!$C$18*J1327*(1-ASSUMPTIONS!$C$20)+ASSUMPTIONS!$C$18*ASSUMPTIONS!$C$21-ASSUMPTIONS!$C$18*ASSUMPTIONS!$C$22)*(1+H1327)*(1-((1+H1327)/(1+I1327))^5)/(I1327-H1327))+((ASSUMPTIONS!$C$18*J1327*(1-ASSUMPTIONS!$C$20)+ASSUMPTIONS!$C$18*ASSUMPTIONS!$C$21-ASSUMPTIONS!$C$18*ASSUMPTIONS!$C$22)*(1+H1327)^5*(1+K1327)/(I1327-K1327)/(1+I1327)^5)-DCF!$C$12)/ASSUMPTIONS!$C$7</f>
        <v/>
      </c>
    </row>
    <row r="1328">
      <c r="H1328" s="83">
        <f>_xlfn.NORM.INV(RAND(),AVERAGE(ASSUMPTIONS!$C$38,ASSUMPTIONS!$C$39,ASSUMPTIONS!$C$40,ASSUMPTIONS!$C$41,ASSUMPTIONS!$C$42),ASSUMPTIONS!$C$68)</f>
        <v/>
      </c>
      <c r="I1328" s="83">
        <f>MAX(_xlfn.NORM.INV(RAND(),DCF!$C$11,ASSUMPTIONS!$C$69),K1328+0.005)</f>
        <v/>
      </c>
      <c r="J1328" s="83">
        <f>_xlfn.NORM.INV(RAND(),ASSUMPTIONS!$C$19,ASSUMPTIONS!$C$70)</f>
        <v/>
      </c>
      <c r="K1328" s="83">
        <f>_xlfn.NORM.INV(RAND(),ASSUMPTIONS!$C$43,ASSUMPTIONS!$C$71)</f>
        <v/>
      </c>
      <c r="L1328" s="84">
        <f>(((ASSUMPTIONS!$C$18*J1328*(1-ASSUMPTIONS!$C$20)+ASSUMPTIONS!$C$18*ASSUMPTIONS!$C$21-ASSUMPTIONS!$C$18*ASSUMPTIONS!$C$22)*(1+H1328)*(1-((1+H1328)/(1+I1328))^5)/(I1328-H1328))+((ASSUMPTIONS!$C$18*J1328*(1-ASSUMPTIONS!$C$20)+ASSUMPTIONS!$C$18*ASSUMPTIONS!$C$21-ASSUMPTIONS!$C$18*ASSUMPTIONS!$C$22)*(1+H1328)^5*(1+K1328)/(I1328-K1328)/(1+I1328)^5)-DCF!$C$12)/ASSUMPTIONS!$C$7</f>
        <v/>
      </c>
    </row>
    <row r="1329">
      <c r="H1329" s="83">
        <f>_xlfn.NORM.INV(RAND(),AVERAGE(ASSUMPTIONS!$C$38,ASSUMPTIONS!$C$39,ASSUMPTIONS!$C$40,ASSUMPTIONS!$C$41,ASSUMPTIONS!$C$42),ASSUMPTIONS!$C$68)</f>
        <v/>
      </c>
      <c r="I1329" s="83">
        <f>MAX(_xlfn.NORM.INV(RAND(),DCF!$C$11,ASSUMPTIONS!$C$69),K1329+0.005)</f>
        <v/>
      </c>
      <c r="J1329" s="83">
        <f>_xlfn.NORM.INV(RAND(),ASSUMPTIONS!$C$19,ASSUMPTIONS!$C$70)</f>
        <v/>
      </c>
      <c r="K1329" s="83">
        <f>_xlfn.NORM.INV(RAND(),ASSUMPTIONS!$C$43,ASSUMPTIONS!$C$71)</f>
        <v/>
      </c>
      <c r="L1329" s="84">
        <f>(((ASSUMPTIONS!$C$18*J1329*(1-ASSUMPTIONS!$C$20)+ASSUMPTIONS!$C$18*ASSUMPTIONS!$C$21-ASSUMPTIONS!$C$18*ASSUMPTIONS!$C$22)*(1+H1329)*(1-((1+H1329)/(1+I1329))^5)/(I1329-H1329))+((ASSUMPTIONS!$C$18*J1329*(1-ASSUMPTIONS!$C$20)+ASSUMPTIONS!$C$18*ASSUMPTIONS!$C$21-ASSUMPTIONS!$C$18*ASSUMPTIONS!$C$22)*(1+H1329)^5*(1+K1329)/(I1329-K1329)/(1+I1329)^5)-DCF!$C$12)/ASSUMPTIONS!$C$7</f>
        <v/>
      </c>
    </row>
    <row r="1330">
      <c r="H1330" s="83">
        <f>_xlfn.NORM.INV(RAND(),AVERAGE(ASSUMPTIONS!$C$38,ASSUMPTIONS!$C$39,ASSUMPTIONS!$C$40,ASSUMPTIONS!$C$41,ASSUMPTIONS!$C$42),ASSUMPTIONS!$C$68)</f>
        <v/>
      </c>
      <c r="I1330" s="83">
        <f>MAX(_xlfn.NORM.INV(RAND(),DCF!$C$11,ASSUMPTIONS!$C$69),K1330+0.005)</f>
        <v/>
      </c>
      <c r="J1330" s="83">
        <f>_xlfn.NORM.INV(RAND(),ASSUMPTIONS!$C$19,ASSUMPTIONS!$C$70)</f>
        <v/>
      </c>
      <c r="K1330" s="83">
        <f>_xlfn.NORM.INV(RAND(),ASSUMPTIONS!$C$43,ASSUMPTIONS!$C$71)</f>
        <v/>
      </c>
      <c r="L1330" s="84">
        <f>(((ASSUMPTIONS!$C$18*J1330*(1-ASSUMPTIONS!$C$20)+ASSUMPTIONS!$C$18*ASSUMPTIONS!$C$21-ASSUMPTIONS!$C$18*ASSUMPTIONS!$C$22)*(1+H1330)*(1-((1+H1330)/(1+I1330))^5)/(I1330-H1330))+((ASSUMPTIONS!$C$18*J1330*(1-ASSUMPTIONS!$C$20)+ASSUMPTIONS!$C$18*ASSUMPTIONS!$C$21-ASSUMPTIONS!$C$18*ASSUMPTIONS!$C$22)*(1+H1330)^5*(1+K1330)/(I1330-K1330)/(1+I1330)^5)-DCF!$C$12)/ASSUMPTIONS!$C$7</f>
        <v/>
      </c>
    </row>
    <row r="1331">
      <c r="H1331" s="83">
        <f>_xlfn.NORM.INV(RAND(),AVERAGE(ASSUMPTIONS!$C$38,ASSUMPTIONS!$C$39,ASSUMPTIONS!$C$40,ASSUMPTIONS!$C$41,ASSUMPTIONS!$C$42),ASSUMPTIONS!$C$68)</f>
        <v/>
      </c>
      <c r="I1331" s="83">
        <f>MAX(_xlfn.NORM.INV(RAND(),DCF!$C$11,ASSUMPTIONS!$C$69),K1331+0.005)</f>
        <v/>
      </c>
      <c r="J1331" s="83">
        <f>_xlfn.NORM.INV(RAND(),ASSUMPTIONS!$C$19,ASSUMPTIONS!$C$70)</f>
        <v/>
      </c>
      <c r="K1331" s="83">
        <f>_xlfn.NORM.INV(RAND(),ASSUMPTIONS!$C$43,ASSUMPTIONS!$C$71)</f>
        <v/>
      </c>
      <c r="L1331" s="84">
        <f>(((ASSUMPTIONS!$C$18*J1331*(1-ASSUMPTIONS!$C$20)+ASSUMPTIONS!$C$18*ASSUMPTIONS!$C$21-ASSUMPTIONS!$C$18*ASSUMPTIONS!$C$22)*(1+H1331)*(1-((1+H1331)/(1+I1331))^5)/(I1331-H1331))+((ASSUMPTIONS!$C$18*J1331*(1-ASSUMPTIONS!$C$20)+ASSUMPTIONS!$C$18*ASSUMPTIONS!$C$21-ASSUMPTIONS!$C$18*ASSUMPTIONS!$C$22)*(1+H1331)^5*(1+K1331)/(I1331-K1331)/(1+I1331)^5)-DCF!$C$12)/ASSUMPTIONS!$C$7</f>
        <v/>
      </c>
    </row>
    <row r="1332">
      <c r="H1332" s="83">
        <f>_xlfn.NORM.INV(RAND(),AVERAGE(ASSUMPTIONS!$C$38,ASSUMPTIONS!$C$39,ASSUMPTIONS!$C$40,ASSUMPTIONS!$C$41,ASSUMPTIONS!$C$42),ASSUMPTIONS!$C$68)</f>
        <v/>
      </c>
      <c r="I1332" s="83">
        <f>MAX(_xlfn.NORM.INV(RAND(),DCF!$C$11,ASSUMPTIONS!$C$69),K1332+0.005)</f>
        <v/>
      </c>
      <c r="J1332" s="83">
        <f>_xlfn.NORM.INV(RAND(),ASSUMPTIONS!$C$19,ASSUMPTIONS!$C$70)</f>
        <v/>
      </c>
      <c r="K1332" s="83">
        <f>_xlfn.NORM.INV(RAND(),ASSUMPTIONS!$C$43,ASSUMPTIONS!$C$71)</f>
        <v/>
      </c>
      <c r="L1332" s="84">
        <f>(((ASSUMPTIONS!$C$18*J1332*(1-ASSUMPTIONS!$C$20)+ASSUMPTIONS!$C$18*ASSUMPTIONS!$C$21-ASSUMPTIONS!$C$18*ASSUMPTIONS!$C$22)*(1+H1332)*(1-((1+H1332)/(1+I1332))^5)/(I1332-H1332))+((ASSUMPTIONS!$C$18*J1332*(1-ASSUMPTIONS!$C$20)+ASSUMPTIONS!$C$18*ASSUMPTIONS!$C$21-ASSUMPTIONS!$C$18*ASSUMPTIONS!$C$22)*(1+H1332)^5*(1+K1332)/(I1332-K1332)/(1+I1332)^5)-DCF!$C$12)/ASSUMPTIONS!$C$7</f>
        <v/>
      </c>
    </row>
    <row r="1333">
      <c r="H1333" s="83">
        <f>_xlfn.NORM.INV(RAND(),AVERAGE(ASSUMPTIONS!$C$38,ASSUMPTIONS!$C$39,ASSUMPTIONS!$C$40,ASSUMPTIONS!$C$41,ASSUMPTIONS!$C$42),ASSUMPTIONS!$C$68)</f>
        <v/>
      </c>
      <c r="I1333" s="83">
        <f>MAX(_xlfn.NORM.INV(RAND(),DCF!$C$11,ASSUMPTIONS!$C$69),K1333+0.005)</f>
        <v/>
      </c>
      <c r="J1333" s="83">
        <f>_xlfn.NORM.INV(RAND(),ASSUMPTIONS!$C$19,ASSUMPTIONS!$C$70)</f>
        <v/>
      </c>
      <c r="K1333" s="83">
        <f>_xlfn.NORM.INV(RAND(),ASSUMPTIONS!$C$43,ASSUMPTIONS!$C$71)</f>
        <v/>
      </c>
      <c r="L1333" s="84">
        <f>(((ASSUMPTIONS!$C$18*J1333*(1-ASSUMPTIONS!$C$20)+ASSUMPTIONS!$C$18*ASSUMPTIONS!$C$21-ASSUMPTIONS!$C$18*ASSUMPTIONS!$C$22)*(1+H1333)*(1-((1+H1333)/(1+I1333))^5)/(I1333-H1333))+((ASSUMPTIONS!$C$18*J1333*(1-ASSUMPTIONS!$C$20)+ASSUMPTIONS!$C$18*ASSUMPTIONS!$C$21-ASSUMPTIONS!$C$18*ASSUMPTIONS!$C$22)*(1+H1333)^5*(1+K1333)/(I1333-K1333)/(1+I1333)^5)-DCF!$C$12)/ASSUMPTIONS!$C$7</f>
        <v/>
      </c>
    </row>
    <row r="1334">
      <c r="H1334" s="83">
        <f>_xlfn.NORM.INV(RAND(),AVERAGE(ASSUMPTIONS!$C$38,ASSUMPTIONS!$C$39,ASSUMPTIONS!$C$40,ASSUMPTIONS!$C$41,ASSUMPTIONS!$C$42),ASSUMPTIONS!$C$68)</f>
        <v/>
      </c>
      <c r="I1334" s="83">
        <f>MAX(_xlfn.NORM.INV(RAND(),DCF!$C$11,ASSUMPTIONS!$C$69),K1334+0.005)</f>
        <v/>
      </c>
      <c r="J1334" s="83">
        <f>_xlfn.NORM.INV(RAND(),ASSUMPTIONS!$C$19,ASSUMPTIONS!$C$70)</f>
        <v/>
      </c>
      <c r="K1334" s="83">
        <f>_xlfn.NORM.INV(RAND(),ASSUMPTIONS!$C$43,ASSUMPTIONS!$C$71)</f>
        <v/>
      </c>
      <c r="L1334" s="84">
        <f>(((ASSUMPTIONS!$C$18*J1334*(1-ASSUMPTIONS!$C$20)+ASSUMPTIONS!$C$18*ASSUMPTIONS!$C$21-ASSUMPTIONS!$C$18*ASSUMPTIONS!$C$22)*(1+H1334)*(1-((1+H1334)/(1+I1334))^5)/(I1334-H1334))+((ASSUMPTIONS!$C$18*J1334*(1-ASSUMPTIONS!$C$20)+ASSUMPTIONS!$C$18*ASSUMPTIONS!$C$21-ASSUMPTIONS!$C$18*ASSUMPTIONS!$C$22)*(1+H1334)^5*(1+K1334)/(I1334-K1334)/(1+I1334)^5)-DCF!$C$12)/ASSUMPTIONS!$C$7</f>
        <v/>
      </c>
    </row>
    <row r="1335">
      <c r="H1335" s="83">
        <f>_xlfn.NORM.INV(RAND(),AVERAGE(ASSUMPTIONS!$C$38,ASSUMPTIONS!$C$39,ASSUMPTIONS!$C$40,ASSUMPTIONS!$C$41,ASSUMPTIONS!$C$42),ASSUMPTIONS!$C$68)</f>
        <v/>
      </c>
      <c r="I1335" s="83">
        <f>MAX(_xlfn.NORM.INV(RAND(),DCF!$C$11,ASSUMPTIONS!$C$69),K1335+0.005)</f>
        <v/>
      </c>
      <c r="J1335" s="83">
        <f>_xlfn.NORM.INV(RAND(),ASSUMPTIONS!$C$19,ASSUMPTIONS!$C$70)</f>
        <v/>
      </c>
      <c r="K1335" s="83">
        <f>_xlfn.NORM.INV(RAND(),ASSUMPTIONS!$C$43,ASSUMPTIONS!$C$71)</f>
        <v/>
      </c>
      <c r="L1335" s="84">
        <f>(((ASSUMPTIONS!$C$18*J1335*(1-ASSUMPTIONS!$C$20)+ASSUMPTIONS!$C$18*ASSUMPTIONS!$C$21-ASSUMPTIONS!$C$18*ASSUMPTIONS!$C$22)*(1+H1335)*(1-((1+H1335)/(1+I1335))^5)/(I1335-H1335))+((ASSUMPTIONS!$C$18*J1335*(1-ASSUMPTIONS!$C$20)+ASSUMPTIONS!$C$18*ASSUMPTIONS!$C$21-ASSUMPTIONS!$C$18*ASSUMPTIONS!$C$22)*(1+H1335)^5*(1+K1335)/(I1335-K1335)/(1+I1335)^5)-DCF!$C$12)/ASSUMPTIONS!$C$7</f>
        <v/>
      </c>
    </row>
    <row r="1336">
      <c r="H1336" s="83">
        <f>_xlfn.NORM.INV(RAND(),AVERAGE(ASSUMPTIONS!$C$38,ASSUMPTIONS!$C$39,ASSUMPTIONS!$C$40,ASSUMPTIONS!$C$41,ASSUMPTIONS!$C$42),ASSUMPTIONS!$C$68)</f>
        <v/>
      </c>
      <c r="I1336" s="83">
        <f>MAX(_xlfn.NORM.INV(RAND(),DCF!$C$11,ASSUMPTIONS!$C$69),K1336+0.005)</f>
        <v/>
      </c>
      <c r="J1336" s="83">
        <f>_xlfn.NORM.INV(RAND(),ASSUMPTIONS!$C$19,ASSUMPTIONS!$C$70)</f>
        <v/>
      </c>
      <c r="K1336" s="83">
        <f>_xlfn.NORM.INV(RAND(),ASSUMPTIONS!$C$43,ASSUMPTIONS!$C$71)</f>
        <v/>
      </c>
      <c r="L1336" s="84">
        <f>(((ASSUMPTIONS!$C$18*J1336*(1-ASSUMPTIONS!$C$20)+ASSUMPTIONS!$C$18*ASSUMPTIONS!$C$21-ASSUMPTIONS!$C$18*ASSUMPTIONS!$C$22)*(1+H1336)*(1-((1+H1336)/(1+I1336))^5)/(I1336-H1336))+((ASSUMPTIONS!$C$18*J1336*(1-ASSUMPTIONS!$C$20)+ASSUMPTIONS!$C$18*ASSUMPTIONS!$C$21-ASSUMPTIONS!$C$18*ASSUMPTIONS!$C$22)*(1+H1336)^5*(1+K1336)/(I1336-K1336)/(1+I1336)^5)-DCF!$C$12)/ASSUMPTIONS!$C$7</f>
        <v/>
      </c>
    </row>
    <row r="1337">
      <c r="H1337" s="83">
        <f>_xlfn.NORM.INV(RAND(),AVERAGE(ASSUMPTIONS!$C$38,ASSUMPTIONS!$C$39,ASSUMPTIONS!$C$40,ASSUMPTIONS!$C$41,ASSUMPTIONS!$C$42),ASSUMPTIONS!$C$68)</f>
        <v/>
      </c>
      <c r="I1337" s="83">
        <f>MAX(_xlfn.NORM.INV(RAND(),DCF!$C$11,ASSUMPTIONS!$C$69),K1337+0.005)</f>
        <v/>
      </c>
      <c r="J1337" s="83">
        <f>_xlfn.NORM.INV(RAND(),ASSUMPTIONS!$C$19,ASSUMPTIONS!$C$70)</f>
        <v/>
      </c>
      <c r="K1337" s="83">
        <f>_xlfn.NORM.INV(RAND(),ASSUMPTIONS!$C$43,ASSUMPTIONS!$C$71)</f>
        <v/>
      </c>
      <c r="L1337" s="84">
        <f>(((ASSUMPTIONS!$C$18*J1337*(1-ASSUMPTIONS!$C$20)+ASSUMPTIONS!$C$18*ASSUMPTIONS!$C$21-ASSUMPTIONS!$C$18*ASSUMPTIONS!$C$22)*(1+H1337)*(1-((1+H1337)/(1+I1337))^5)/(I1337-H1337))+((ASSUMPTIONS!$C$18*J1337*(1-ASSUMPTIONS!$C$20)+ASSUMPTIONS!$C$18*ASSUMPTIONS!$C$21-ASSUMPTIONS!$C$18*ASSUMPTIONS!$C$22)*(1+H1337)^5*(1+K1337)/(I1337-K1337)/(1+I1337)^5)-DCF!$C$12)/ASSUMPTIONS!$C$7</f>
        <v/>
      </c>
    </row>
    <row r="1338">
      <c r="H1338" s="83">
        <f>_xlfn.NORM.INV(RAND(),AVERAGE(ASSUMPTIONS!$C$38,ASSUMPTIONS!$C$39,ASSUMPTIONS!$C$40,ASSUMPTIONS!$C$41,ASSUMPTIONS!$C$42),ASSUMPTIONS!$C$68)</f>
        <v/>
      </c>
      <c r="I1338" s="83">
        <f>MAX(_xlfn.NORM.INV(RAND(),DCF!$C$11,ASSUMPTIONS!$C$69),K1338+0.005)</f>
        <v/>
      </c>
      <c r="J1338" s="83">
        <f>_xlfn.NORM.INV(RAND(),ASSUMPTIONS!$C$19,ASSUMPTIONS!$C$70)</f>
        <v/>
      </c>
      <c r="K1338" s="83">
        <f>_xlfn.NORM.INV(RAND(),ASSUMPTIONS!$C$43,ASSUMPTIONS!$C$71)</f>
        <v/>
      </c>
      <c r="L1338" s="84">
        <f>(((ASSUMPTIONS!$C$18*J1338*(1-ASSUMPTIONS!$C$20)+ASSUMPTIONS!$C$18*ASSUMPTIONS!$C$21-ASSUMPTIONS!$C$18*ASSUMPTIONS!$C$22)*(1+H1338)*(1-((1+H1338)/(1+I1338))^5)/(I1338-H1338))+((ASSUMPTIONS!$C$18*J1338*(1-ASSUMPTIONS!$C$20)+ASSUMPTIONS!$C$18*ASSUMPTIONS!$C$21-ASSUMPTIONS!$C$18*ASSUMPTIONS!$C$22)*(1+H1338)^5*(1+K1338)/(I1338-K1338)/(1+I1338)^5)-DCF!$C$12)/ASSUMPTIONS!$C$7</f>
        <v/>
      </c>
    </row>
    <row r="1339">
      <c r="H1339" s="83">
        <f>_xlfn.NORM.INV(RAND(),AVERAGE(ASSUMPTIONS!$C$38,ASSUMPTIONS!$C$39,ASSUMPTIONS!$C$40,ASSUMPTIONS!$C$41,ASSUMPTIONS!$C$42),ASSUMPTIONS!$C$68)</f>
        <v/>
      </c>
      <c r="I1339" s="83">
        <f>MAX(_xlfn.NORM.INV(RAND(),DCF!$C$11,ASSUMPTIONS!$C$69),K1339+0.005)</f>
        <v/>
      </c>
      <c r="J1339" s="83">
        <f>_xlfn.NORM.INV(RAND(),ASSUMPTIONS!$C$19,ASSUMPTIONS!$C$70)</f>
        <v/>
      </c>
      <c r="K1339" s="83">
        <f>_xlfn.NORM.INV(RAND(),ASSUMPTIONS!$C$43,ASSUMPTIONS!$C$71)</f>
        <v/>
      </c>
      <c r="L1339" s="84">
        <f>(((ASSUMPTIONS!$C$18*J1339*(1-ASSUMPTIONS!$C$20)+ASSUMPTIONS!$C$18*ASSUMPTIONS!$C$21-ASSUMPTIONS!$C$18*ASSUMPTIONS!$C$22)*(1+H1339)*(1-((1+H1339)/(1+I1339))^5)/(I1339-H1339))+((ASSUMPTIONS!$C$18*J1339*(1-ASSUMPTIONS!$C$20)+ASSUMPTIONS!$C$18*ASSUMPTIONS!$C$21-ASSUMPTIONS!$C$18*ASSUMPTIONS!$C$22)*(1+H1339)^5*(1+K1339)/(I1339-K1339)/(1+I1339)^5)-DCF!$C$12)/ASSUMPTIONS!$C$7</f>
        <v/>
      </c>
    </row>
    <row r="1340">
      <c r="H1340" s="83">
        <f>_xlfn.NORM.INV(RAND(),AVERAGE(ASSUMPTIONS!$C$38,ASSUMPTIONS!$C$39,ASSUMPTIONS!$C$40,ASSUMPTIONS!$C$41,ASSUMPTIONS!$C$42),ASSUMPTIONS!$C$68)</f>
        <v/>
      </c>
      <c r="I1340" s="83">
        <f>MAX(_xlfn.NORM.INV(RAND(),DCF!$C$11,ASSUMPTIONS!$C$69),K1340+0.005)</f>
        <v/>
      </c>
      <c r="J1340" s="83">
        <f>_xlfn.NORM.INV(RAND(),ASSUMPTIONS!$C$19,ASSUMPTIONS!$C$70)</f>
        <v/>
      </c>
      <c r="K1340" s="83">
        <f>_xlfn.NORM.INV(RAND(),ASSUMPTIONS!$C$43,ASSUMPTIONS!$C$71)</f>
        <v/>
      </c>
      <c r="L1340" s="84">
        <f>(((ASSUMPTIONS!$C$18*J1340*(1-ASSUMPTIONS!$C$20)+ASSUMPTIONS!$C$18*ASSUMPTIONS!$C$21-ASSUMPTIONS!$C$18*ASSUMPTIONS!$C$22)*(1+H1340)*(1-((1+H1340)/(1+I1340))^5)/(I1340-H1340))+((ASSUMPTIONS!$C$18*J1340*(1-ASSUMPTIONS!$C$20)+ASSUMPTIONS!$C$18*ASSUMPTIONS!$C$21-ASSUMPTIONS!$C$18*ASSUMPTIONS!$C$22)*(1+H1340)^5*(1+K1340)/(I1340-K1340)/(1+I1340)^5)-DCF!$C$12)/ASSUMPTIONS!$C$7</f>
        <v/>
      </c>
    </row>
    <row r="1341">
      <c r="H1341" s="83">
        <f>_xlfn.NORM.INV(RAND(),AVERAGE(ASSUMPTIONS!$C$38,ASSUMPTIONS!$C$39,ASSUMPTIONS!$C$40,ASSUMPTIONS!$C$41,ASSUMPTIONS!$C$42),ASSUMPTIONS!$C$68)</f>
        <v/>
      </c>
      <c r="I1341" s="83">
        <f>MAX(_xlfn.NORM.INV(RAND(),DCF!$C$11,ASSUMPTIONS!$C$69),K1341+0.005)</f>
        <v/>
      </c>
      <c r="J1341" s="83">
        <f>_xlfn.NORM.INV(RAND(),ASSUMPTIONS!$C$19,ASSUMPTIONS!$C$70)</f>
        <v/>
      </c>
      <c r="K1341" s="83">
        <f>_xlfn.NORM.INV(RAND(),ASSUMPTIONS!$C$43,ASSUMPTIONS!$C$71)</f>
        <v/>
      </c>
      <c r="L1341" s="84">
        <f>(((ASSUMPTIONS!$C$18*J1341*(1-ASSUMPTIONS!$C$20)+ASSUMPTIONS!$C$18*ASSUMPTIONS!$C$21-ASSUMPTIONS!$C$18*ASSUMPTIONS!$C$22)*(1+H1341)*(1-((1+H1341)/(1+I1341))^5)/(I1341-H1341))+((ASSUMPTIONS!$C$18*J1341*(1-ASSUMPTIONS!$C$20)+ASSUMPTIONS!$C$18*ASSUMPTIONS!$C$21-ASSUMPTIONS!$C$18*ASSUMPTIONS!$C$22)*(1+H1341)^5*(1+K1341)/(I1341-K1341)/(1+I1341)^5)-DCF!$C$12)/ASSUMPTIONS!$C$7</f>
        <v/>
      </c>
    </row>
    <row r="1342">
      <c r="H1342" s="83">
        <f>_xlfn.NORM.INV(RAND(),AVERAGE(ASSUMPTIONS!$C$38,ASSUMPTIONS!$C$39,ASSUMPTIONS!$C$40,ASSUMPTIONS!$C$41,ASSUMPTIONS!$C$42),ASSUMPTIONS!$C$68)</f>
        <v/>
      </c>
      <c r="I1342" s="83">
        <f>MAX(_xlfn.NORM.INV(RAND(),DCF!$C$11,ASSUMPTIONS!$C$69),K1342+0.005)</f>
        <v/>
      </c>
      <c r="J1342" s="83">
        <f>_xlfn.NORM.INV(RAND(),ASSUMPTIONS!$C$19,ASSUMPTIONS!$C$70)</f>
        <v/>
      </c>
      <c r="K1342" s="83">
        <f>_xlfn.NORM.INV(RAND(),ASSUMPTIONS!$C$43,ASSUMPTIONS!$C$71)</f>
        <v/>
      </c>
      <c r="L1342" s="84">
        <f>(((ASSUMPTIONS!$C$18*J1342*(1-ASSUMPTIONS!$C$20)+ASSUMPTIONS!$C$18*ASSUMPTIONS!$C$21-ASSUMPTIONS!$C$18*ASSUMPTIONS!$C$22)*(1+H1342)*(1-((1+H1342)/(1+I1342))^5)/(I1342-H1342))+((ASSUMPTIONS!$C$18*J1342*(1-ASSUMPTIONS!$C$20)+ASSUMPTIONS!$C$18*ASSUMPTIONS!$C$21-ASSUMPTIONS!$C$18*ASSUMPTIONS!$C$22)*(1+H1342)^5*(1+K1342)/(I1342-K1342)/(1+I1342)^5)-DCF!$C$12)/ASSUMPTIONS!$C$7</f>
        <v/>
      </c>
    </row>
    <row r="1343">
      <c r="H1343" s="83">
        <f>_xlfn.NORM.INV(RAND(),AVERAGE(ASSUMPTIONS!$C$38,ASSUMPTIONS!$C$39,ASSUMPTIONS!$C$40,ASSUMPTIONS!$C$41,ASSUMPTIONS!$C$42),ASSUMPTIONS!$C$68)</f>
        <v/>
      </c>
      <c r="I1343" s="83">
        <f>MAX(_xlfn.NORM.INV(RAND(),DCF!$C$11,ASSUMPTIONS!$C$69),K1343+0.005)</f>
        <v/>
      </c>
      <c r="J1343" s="83">
        <f>_xlfn.NORM.INV(RAND(),ASSUMPTIONS!$C$19,ASSUMPTIONS!$C$70)</f>
        <v/>
      </c>
      <c r="K1343" s="83">
        <f>_xlfn.NORM.INV(RAND(),ASSUMPTIONS!$C$43,ASSUMPTIONS!$C$71)</f>
        <v/>
      </c>
      <c r="L1343" s="84">
        <f>(((ASSUMPTIONS!$C$18*J1343*(1-ASSUMPTIONS!$C$20)+ASSUMPTIONS!$C$18*ASSUMPTIONS!$C$21-ASSUMPTIONS!$C$18*ASSUMPTIONS!$C$22)*(1+H1343)*(1-((1+H1343)/(1+I1343))^5)/(I1343-H1343))+((ASSUMPTIONS!$C$18*J1343*(1-ASSUMPTIONS!$C$20)+ASSUMPTIONS!$C$18*ASSUMPTIONS!$C$21-ASSUMPTIONS!$C$18*ASSUMPTIONS!$C$22)*(1+H1343)^5*(1+K1343)/(I1343-K1343)/(1+I1343)^5)-DCF!$C$12)/ASSUMPTIONS!$C$7</f>
        <v/>
      </c>
    </row>
    <row r="1344">
      <c r="H1344" s="83">
        <f>_xlfn.NORM.INV(RAND(),AVERAGE(ASSUMPTIONS!$C$38,ASSUMPTIONS!$C$39,ASSUMPTIONS!$C$40,ASSUMPTIONS!$C$41,ASSUMPTIONS!$C$42),ASSUMPTIONS!$C$68)</f>
        <v/>
      </c>
      <c r="I1344" s="83">
        <f>MAX(_xlfn.NORM.INV(RAND(),DCF!$C$11,ASSUMPTIONS!$C$69),K1344+0.005)</f>
        <v/>
      </c>
      <c r="J1344" s="83">
        <f>_xlfn.NORM.INV(RAND(),ASSUMPTIONS!$C$19,ASSUMPTIONS!$C$70)</f>
        <v/>
      </c>
      <c r="K1344" s="83">
        <f>_xlfn.NORM.INV(RAND(),ASSUMPTIONS!$C$43,ASSUMPTIONS!$C$71)</f>
        <v/>
      </c>
      <c r="L1344" s="84">
        <f>(((ASSUMPTIONS!$C$18*J1344*(1-ASSUMPTIONS!$C$20)+ASSUMPTIONS!$C$18*ASSUMPTIONS!$C$21-ASSUMPTIONS!$C$18*ASSUMPTIONS!$C$22)*(1+H1344)*(1-((1+H1344)/(1+I1344))^5)/(I1344-H1344))+((ASSUMPTIONS!$C$18*J1344*(1-ASSUMPTIONS!$C$20)+ASSUMPTIONS!$C$18*ASSUMPTIONS!$C$21-ASSUMPTIONS!$C$18*ASSUMPTIONS!$C$22)*(1+H1344)^5*(1+K1344)/(I1344-K1344)/(1+I1344)^5)-DCF!$C$12)/ASSUMPTIONS!$C$7</f>
        <v/>
      </c>
    </row>
    <row r="1345">
      <c r="H1345" s="83">
        <f>_xlfn.NORM.INV(RAND(),AVERAGE(ASSUMPTIONS!$C$38,ASSUMPTIONS!$C$39,ASSUMPTIONS!$C$40,ASSUMPTIONS!$C$41,ASSUMPTIONS!$C$42),ASSUMPTIONS!$C$68)</f>
        <v/>
      </c>
      <c r="I1345" s="83">
        <f>MAX(_xlfn.NORM.INV(RAND(),DCF!$C$11,ASSUMPTIONS!$C$69),K1345+0.005)</f>
        <v/>
      </c>
      <c r="J1345" s="83">
        <f>_xlfn.NORM.INV(RAND(),ASSUMPTIONS!$C$19,ASSUMPTIONS!$C$70)</f>
        <v/>
      </c>
      <c r="K1345" s="83">
        <f>_xlfn.NORM.INV(RAND(),ASSUMPTIONS!$C$43,ASSUMPTIONS!$C$71)</f>
        <v/>
      </c>
      <c r="L1345" s="84">
        <f>(((ASSUMPTIONS!$C$18*J1345*(1-ASSUMPTIONS!$C$20)+ASSUMPTIONS!$C$18*ASSUMPTIONS!$C$21-ASSUMPTIONS!$C$18*ASSUMPTIONS!$C$22)*(1+H1345)*(1-((1+H1345)/(1+I1345))^5)/(I1345-H1345))+((ASSUMPTIONS!$C$18*J1345*(1-ASSUMPTIONS!$C$20)+ASSUMPTIONS!$C$18*ASSUMPTIONS!$C$21-ASSUMPTIONS!$C$18*ASSUMPTIONS!$C$22)*(1+H1345)^5*(1+K1345)/(I1345-K1345)/(1+I1345)^5)-DCF!$C$12)/ASSUMPTIONS!$C$7</f>
        <v/>
      </c>
    </row>
    <row r="1346">
      <c r="H1346" s="83">
        <f>_xlfn.NORM.INV(RAND(),AVERAGE(ASSUMPTIONS!$C$38,ASSUMPTIONS!$C$39,ASSUMPTIONS!$C$40,ASSUMPTIONS!$C$41,ASSUMPTIONS!$C$42),ASSUMPTIONS!$C$68)</f>
        <v/>
      </c>
      <c r="I1346" s="83">
        <f>MAX(_xlfn.NORM.INV(RAND(),DCF!$C$11,ASSUMPTIONS!$C$69),K1346+0.005)</f>
        <v/>
      </c>
      <c r="J1346" s="83">
        <f>_xlfn.NORM.INV(RAND(),ASSUMPTIONS!$C$19,ASSUMPTIONS!$C$70)</f>
        <v/>
      </c>
      <c r="K1346" s="83">
        <f>_xlfn.NORM.INV(RAND(),ASSUMPTIONS!$C$43,ASSUMPTIONS!$C$71)</f>
        <v/>
      </c>
      <c r="L1346" s="84">
        <f>(((ASSUMPTIONS!$C$18*J1346*(1-ASSUMPTIONS!$C$20)+ASSUMPTIONS!$C$18*ASSUMPTIONS!$C$21-ASSUMPTIONS!$C$18*ASSUMPTIONS!$C$22)*(1+H1346)*(1-((1+H1346)/(1+I1346))^5)/(I1346-H1346))+((ASSUMPTIONS!$C$18*J1346*(1-ASSUMPTIONS!$C$20)+ASSUMPTIONS!$C$18*ASSUMPTIONS!$C$21-ASSUMPTIONS!$C$18*ASSUMPTIONS!$C$22)*(1+H1346)^5*(1+K1346)/(I1346-K1346)/(1+I1346)^5)-DCF!$C$12)/ASSUMPTIONS!$C$7</f>
        <v/>
      </c>
    </row>
    <row r="1347">
      <c r="H1347" s="83">
        <f>_xlfn.NORM.INV(RAND(),AVERAGE(ASSUMPTIONS!$C$38,ASSUMPTIONS!$C$39,ASSUMPTIONS!$C$40,ASSUMPTIONS!$C$41,ASSUMPTIONS!$C$42),ASSUMPTIONS!$C$68)</f>
        <v/>
      </c>
      <c r="I1347" s="83">
        <f>MAX(_xlfn.NORM.INV(RAND(),DCF!$C$11,ASSUMPTIONS!$C$69),K1347+0.005)</f>
        <v/>
      </c>
      <c r="J1347" s="83">
        <f>_xlfn.NORM.INV(RAND(),ASSUMPTIONS!$C$19,ASSUMPTIONS!$C$70)</f>
        <v/>
      </c>
      <c r="K1347" s="83">
        <f>_xlfn.NORM.INV(RAND(),ASSUMPTIONS!$C$43,ASSUMPTIONS!$C$71)</f>
        <v/>
      </c>
      <c r="L1347" s="84">
        <f>(((ASSUMPTIONS!$C$18*J1347*(1-ASSUMPTIONS!$C$20)+ASSUMPTIONS!$C$18*ASSUMPTIONS!$C$21-ASSUMPTIONS!$C$18*ASSUMPTIONS!$C$22)*(1+H1347)*(1-((1+H1347)/(1+I1347))^5)/(I1347-H1347))+((ASSUMPTIONS!$C$18*J1347*(1-ASSUMPTIONS!$C$20)+ASSUMPTIONS!$C$18*ASSUMPTIONS!$C$21-ASSUMPTIONS!$C$18*ASSUMPTIONS!$C$22)*(1+H1347)^5*(1+K1347)/(I1347-K1347)/(1+I1347)^5)-DCF!$C$12)/ASSUMPTIONS!$C$7</f>
        <v/>
      </c>
    </row>
    <row r="1348">
      <c r="H1348" s="83">
        <f>_xlfn.NORM.INV(RAND(),AVERAGE(ASSUMPTIONS!$C$38,ASSUMPTIONS!$C$39,ASSUMPTIONS!$C$40,ASSUMPTIONS!$C$41,ASSUMPTIONS!$C$42),ASSUMPTIONS!$C$68)</f>
        <v/>
      </c>
      <c r="I1348" s="83">
        <f>MAX(_xlfn.NORM.INV(RAND(),DCF!$C$11,ASSUMPTIONS!$C$69),K1348+0.005)</f>
        <v/>
      </c>
      <c r="J1348" s="83">
        <f>_xlfn.NORM.INV(RAND(),ASSUMPTIONS!$C$19,ASSUMPTIONS!$C$70)</f>
        <v/>
      </c>
      <c r="K1348" s="83">
        <f>_xlfn.NORM.INV(RAND(),ASSUMPTIONS!$C$43,ASSUMPTIONS!$C$71)</f>
        <v/>
      </c>
      <c r="L1348" s="84">
        <f>(((ASSUMPTIONS!$C$18*J1348*(1-ASSUMPTIONS!$C$20)+ASSUMPTIONS!$C$18*ASSUMPTIONS!$C$21-ASSUMPTIONS!$C$18*ASSUMPTIONS!$C$22)*(1+H1348)*(1-((1+H1348)/(1+I1348))^5)/(I1348-H1348))+((ASSUMPTIONS!$C$18*J1348*(1-ASSUMPTIONS!$C$20)+ASSUMPTIONS!$C$18*ASSUMPTIONS!$C$21-ASSUMPTIONS!$C$18*ASSUMPTIONS!$C$22)*(1+H1348)^5*(1+K1348)/(I1348-K1348)/(1+I1348)^5)-DCF!$C$12)/ASSUMPTIONS!$C$7</f>
        <v/>
      </c>
    </row>
    <row r="1349">
      <c r="H1349" s="83">
        <f>_xlfn.NORM.INV(RAND(),AVERAGE(ASSUMPTIONS!$C$38,ASSUMPTIONS!$C$39,ASSUMPTIONS!$C$40,ASSUMPTIONS!$C$41,ASSUMPTIONS!$C$42),ASSUMPTIONS!$C$68)</f>
        <v/>
      </c>
      <c r="I1349" s="83">
        <f>MAX(_xlfn.NORM.INV(RAND(),DCF!$C$11,ASSUMPTIONS!$C$69),K1349+0.005)</f>
        <v/>
      </c>
      <c r="J1349" s="83">
        <f>_xlfn.NORM.INV(RAND(),ASSUMPTIONS!$C$19,ASSUMPTIONS!$C$70)</f>
        <v/>
      </c>
      <c r="K1349" s="83">
        <f>_xlfn.NORM.INV(RAND(),ASSUMPTIONS!$C$43,ASSUMPTIONS!$C$71)</f>
        <v/>
      </c>
      <c r="L1349" s="84">
        <f>(((ASSUMPTIONS!$C$18*J1349*(1-ASSUMPTIONS!$C$20)+ASSUMPTIONS!$C$18*ASSUMPTIONS!$C$21-ASSUMPTIONS!$C$18*ASSUMPTIONS!$C$22)*(1+H1349)*(1-((1+H1349)/(1+I1349))^5)/(I1349-H1349))+((ASSUMPTIONS!$C$18*J1349*(1-ASSUMPTIONS!$C$20)+ASSUMPTIONS!$C$18*ASSUMPTIONS!$C$21-ASSUMPTIONS!$C$18*ASSUMPTIONS!$C$22)*(1+H1349)^5*(1+K1349)/(I1349-K1349)/(1+I1349)^5)-DCF!$C$12)/ASSUMPTIONS!$C$7</f>
        <v/>
      </c>
    </row>
    <row r="1350">
      <c r="H1350" s="83">
        <f>_xlfn.NORM.INV(RAND(),AVERAGE(ASSUMPTIONS!$C$38,ASSUMPTIONS!$C$39,ASSUMPTIONS!$C$40,ASSUMPTIONS!$C$41,ASSUMPTIONS!$C$42),ASSUMPTIONS!$C$68)</f>
        <v/>
      </c>
      <c r="I1350" s="83">
        <f>MAX(_xlfn.NORM.INV(RAND(),DCF!$C$11,ASSUMPTIONS!$C$69),K1350+0.005)</f>
        <v/>
      </c>
      <c r="J1350" s="83">
        <f>_xlfn.NORM.INV(RAND(),ASSUMPTIONS!$C$19,ASSUMPTIONS!$C$70)</f>
        <v/>
      </c>
      <c r="K1350" s="83">
        <f>_xlfn.NORM.INV(RAND(),ASSUMPTIONS!$C$43,ASSUMPTIONS!$C$71)</f>
        <v/>
      </c>
      <c r="L1350" s="84">
        <f>(((ASSUMPTIONS!$C$18*J1350*(1-ASSUMPTIONS!$C$20)+ASSUMPTIONS!$C$18*ASSUMPTIONS!$C$21-ASSUMPTIONS!$C$18*ASSUMPTIONS!$C$22)*(1+H1350)*(1-((1+H1350)/(1+I1350))^5)/(I1350-H1350))+((ASSUMPTIONS!$C$18*J1350*(1-ASSUMPTIONS!$C$20)+ASSUMPTIONS!$C$18*ASSUMPTIONS!$C$21-ASSUMPTIONS!$C$18*ASSUMPTIONS!$C$22)*(1+H1350)^5*(1+K1350)/(I1350-K1350)/(1+I1350)^5)-DCF!$C$12)/ASSUMPTIONS!$C$7</f>
        <v/>
      </c>
    </row>
    <row r="1351">
      <c r="H1351" s="83">
        <f>_xlfn.NORM.INV(RAND(),AVERAGE(ASSUMPTIONS!$C$38,ASSUMPTIONS!$C$39,ASSUMPTIONS!$C$40,ASSUMPTIONS!$C$41,ASSUMPTIONS!$C$42),ASSUMPTIONS!$C$68)</f>
        <v/>
      </c>
      <c r="I1351" s="83">
        <f>MAX(_xlfn.NORM.INV(RAND(),DCF!$C$11,ASSUMPTIONS!$C$69),K1351+0.005)</f>
        <v/>
      </c>
      <c r="J1351" s="83">
        <f>_xlfn.NORM.INV(RAND(),ASSUMPTIONS!$C$19,ASSUMPTIONS!$C$70)</f>
        <v/>
      </c>
      <c r="K1351" s="83">
        <f>_xlfn.NORM.INV(RAND(),ASSUMPTIONS!$C$43,ASSUMPTIONS!$C$71)</f>
        <v/>
      </c>
      <c r="L1351" s="84">
        <f>(((ASSUMPTIONS!$C$18*J1351*(1-ASSUMPTIONS!$C$20)+ASSUMPTIONS!$C$18*ASSUMPTIONS!$C$21-ASSUMPTIONS!$C$18*ASSUMPTIONS!$C$22)*(1+H1351)*(1-((1+H1351)/(1+I1351))^5)/(I1351-H1351))+((ASSUMPTIONS!$C$18*J1351*(1-ASSUMPTIONS!$C$20)+ASSUMPTIONS!$C$18*ASSUMPTIONS!$C$21-ASSUMPTIONS!$C$18*ASSUMPTIONS!$C$22)*(1+H1351)^5*(1+K1351)/(I1351-K1351)/(1+I1351)^5)-DCF!$C$12)/ASSUMPTIONS!$C$7</f>
        <v/>
      </c>
    </row>
    <row r="1352">
      <c r="H1352" s="83">
        <f>_xlfn.NORM.INV(RAND(),AVERAGE(ASSUMPTIONS!$C$38,ASSUMPTIONS!$C$39,ASSUMPTIONS!$C$40,ASSUMPTIONS!$C$41,ASSUMPTIONS!$C$42),ASSUMPTIONS!$C$68)</f>
        <v/>
      </c>
      <c r="I1352" s="83">
        <f>MAX(_xlfn.NORM.INV(RAND(),DCF!$C$11,ASSUMPTIONS!$C$69),K1352+0.005)</f>
        <v/>
      </c>
      <c r="J1352" s="83">
        <f>_xlfn.NORM.INV(RAND(),ASSUMPTIONS!$C$19,ASSUMPTIONS!$C$70)</f>
        <v/>
      </c>
      <c r="K1352" s="83">
        <f>_xlfn.NORM.INV(RAND(),ASSUMPTIONS!$C$43,ASSUMPTIONS!$C$71)</f>
        <v/>
      </c>
      <c r="L1352" s="84">
        <f>(((ASSUMPTIONS!$C$18*J1352*(1-ASSUMPTIONS!$C$20)+ASSUMPTIONS!$C$18*ASSUMPTIONS!$C$21-ASSUMPTIONS!$C$18*ASSUMPTIONS!$C$22)*(1+H1352)*(1-((1+H1352)/(1+I1352))^5)/(I1352-H1352))+((ASSUMPTIONS!$C$18*J1352*(1-ASSUMPTIONS!$C$20)+ASSUMPTIONS!$C$18*ASSUMPTIONS!$C$21-ASSUMPTIONS!$C$18*ASSUMPTIONS!$C$22)*(1+H1352)^5*(1+K1352)/(I1352-K1352)/(1+I1352)^5)-DCF!$C$12)/ASSUMPTIONS!$C$7</f>
        <v/>
      </c>
    </row>
    <row r="1353">
      <c r="H1353" s="83">
        <f>_xlfn.NORM.INV(RAND(),AVERAGE(ASSUMPTIONS!$C$38,ASSUMPTIONS!$C$39,ASSUMPTIONS!$C$40,ASSUMPTIONS!$C$41,ASSUMPTIONS!$C$42),ASSUMPTIONS!$C$68)</f>
        <v/>
      </c>
      <c r="I1353" s="83">
        <f>MAX(_xlfn.NORM.INV(RAND(),DCF!$C$11,ASSUMPTIONS!$C$69),K1353+0.005)</f>
        <v/>
      </c>
      <c r="J1353" s="83">
        <f>_xlfn.NORM.INV(RAND(),ASSUMPTIONS!$C$19,ASSUMPTIONS!$C$70)</f>
        <v/>
      </c>
      <c r="K1353" s="83">
        <f>_xlfn.NORM.INV(RAND(),ASSUMPTIONS!$C$43,ASSUMPTIONS!$C$71)</f>
        <v/>
      </c>
      <c r="L1353" s="84">
        <f>(((ASSUMPTIONS!$C$18*J1353*(1-ASSUMPTIONS!$C$20)+ASSUMPTIONS!$C$18*ASSUMPTIONS!$C$21-ASSUMPTIONS!$C$18*ASSUMPTIONS!$C$22)*(1+H1353)*(1-((1+H1353)/(1+I1353))^5)/(I1353-H1353))+((ASSUMPTIONS!$C$18*J1353*(1-ASSUMPTIONS!$C$20)+ASSUMPTIONS!$C$18*ASSUMPTIONS!$C$21-ASSUMPTIONS!$C$18*ASSUMPTIONS!$C$22)*(1+H1353)^5*(1+K1353)/(I1353-K1353)/(1+I1353)^5)-DCF!$C$12)/ASSUMPTIONS!$C$7</f>
        <v/>
      </c>
    </row>
    <row r="1354">
      <c r="H1354" s="83">
        <f>_xlfn.NORM.INV(RAND(),AVERAGE(ASSUMPTIONS!$C$38,ASSUMPTIONS!$C$39,ASSUMPTIONS!$C$40,ASSUMPTIONS!$C$41,ASSUMPTIONS!$C$42),ASSUMPTIONS!$C$68)</f>
        <v/>
      </c>
      <c r="I1354" s="83">
        <f>MAX(_xlfn.NORM.INV(RAND(),DCF!$C$11,ASSUMPTIONS!$C$69),K1354+0.005)</f>
        <v/>
      </c>
      <c r="J1354" s="83">
        <f>_xlfn.NORM.INV(RAND(),ASSUMPTIONS!$C$19,ASSUMPTIONS!$C$70)</f>
        <v/>
      </c>
      <c r="K1354" s="83">
        <f>_xlfn.NORM.INV(RAND(),ASSUMPTIONS!$C$43,ASSUMPTIONS!$C$71)</f>
        <v/>
      </c>
      <c r="L1354" s="84">
        <f>(((ASSUMPTIONS!$C$18*J1354*(1-ASSUMPTIONS!$C$20)+ASSUMPTIONS!$C$18*ASSUMPTIONS!$C$21-ASSUMPTIONS!$C$18*ASSUMPTIONS!$C$22)*(1+H1354)*(1-((1+H1354)/(1+I1354))^5)/(I1354-H1354))+((ASSUMPTIONS!$C$18*J1354*(1-ASSUMPTIONS!$C$20)+ASSUMPTIONS!$C$18*ASSUMPTIONS!$C$21-ASSUMPTIONS!$C$18*ASSUMPTIONS!$C$22)*(1+H1354)^5*(1+K1354)/(I1354-K1354)/(1+I1354)^5)-DCF!$C$12)/ASSUMPTIONS!$C$7</f>
        <v/>
      </c>
    </row>
    <row r="1355">
      <c r="H1355" s="83">
        <f>_xlfn.NORM.INV(RAND(),AVERAGE(ASSUMPTIONS!$C$38,ASSUMPTIONS!$C$39,ASSUMPTIONS!$C$40,ASSUMPTIONS!$C$41,ASSUMPTIONS!$C$42),ASSUMPTIONS!$C$68)</f>
        <v/>
      </c>
      <c r="I1355" s="83">
        <f>MAX(_xlfn.NORM.INV(RAND(),DCF!$C$11,ASSUMPTIONS!$C$69),K1355+0.005)</f>
        <v/>
      </c>
      <c r="J1355" s="83">
        <f>_xlfn.NORM.INV(RAND(),ASSUMPTIONS!$C$19,ASSUMPTIONS!$C$70)</f>
        <v/>
      </c>
      <c r="K1355" s="83">
        <f>_xlfn.NORM.INV(RAND(),ASSUMPTIONS!$C$43,ASSUMPTIONS!$C$71)</f>
        <v/>
      </c>
      <c r="L1355" s="84">
        <f>(((ASSUMPTIONS!$C$18*J1355*(1-ASSUMPTIONS!$C$20)+ASSUMPTIONS!$C$18*ASSUMPTIONS!$C$21-ASSUMPTIONS!$C$18*ASSUMPTIONS!$C$22)*(1+H1355)*(1-((1+H1355)/(1+I1355))^5)/(I1355-H1355))+((ASSUMPTIONS!$C$18*J1355*(1-ASSUMPTIONS!$C$20)+ASSUMPTIONS!$C$18*ASSUMPTIONS!$C$21-ASSUMPTIONS!$C$18*ASSUMPTIONS!$C$22)*(1+H1355)^5*(1+K1355)/(I1355-K1355)/(1+I1355)^5)-DCF!$C$12)/ASSUMPTIONS!$C$7</f>
        <v/>
      </c>
    </row>
    <row r="1356">
      <c r="H1356" s="83">
        <f>_xlfn.NORM.INV(RAND(),AVERAGE(ASSUMPTIONS!$C$38,ASSUMPTIONS!$C$39,ASSUMPTIONS!$C$40,ASSUMPTIONS!$C$41,ASSUMPTIONS!$C$42),ASSUMPTIONS!$C$68)</f>
        <v/>
      </c>
      <c r="I1356" s="83">
        <f>MAX(_xlfn.NORM.INV(RAND(),DCF!$C$11,ASSUMPTIONS!$C$69),K1356+0.005)</f>
        <v/>
      </c>
      <c r="J1356" s="83">
        <f>_xlfn.NORM.INV(RAND(),ASSUMPTIONS!$C$19,ASSUMPTIONS!$C$70)</f>
        <v/>
      </c>
      <c r="K1356" s="83">
        <f>_xlfn.NORM.INV(RAND(),ASSUMPTIONS!$C$43,ASSUMPTIONS!$C$71)</f>
        <v/>
      </c>
      <c r="L1356" s="84">
        <f>(((ASSUMPTIONS!$C$18*J1356*(1-ASSUMPTIONS!$C$20)+ASSUMPTIONS!$C$18*ASSUMPTIONS!$C$21-ASSUMPTIONS!$C$18*ASSUMPTIONS!$C$22)*(1+H1356)*(1-((1+H1356)/(1+I1356))^5)/(I1356-H1356))+((ASSUMPTIONS!$C$18*J1356*(1-ASSUMPTIONS!$C$20)+ASSUMPTIONS!$C$18*ASSUMPTIONS!$C$21-ASSUMPTIONS!$C$18*ASSUMPTIONS!$C$22)*(1+H1356)^5*(1+K1356)/(I1356-K1356)/(1+I1356)^5)-DCF!$C$12)/ASSUMPTIONS!$C$7</f>
        <v/>
      </c>
    </row>
    <row r="1357">
      <c r="H1357" s="83">
        <f>_xlfn.NORM.INV(RAND(),AVERAGE(ASSUMPTIONS!$C$38,ASSUMPTIONS!$C$39,ASSUMPTIONS!$C$40,ASSUMPTIONS!$C$41,ASSUMPTIONS!$C$42),ASSUMPTIONS!$C$68)</f>
        <v/>
      </c>
      <c r="I1357" s="83">
        <f>MAX(_xlfn.NORM.INV(RAND(),DCF!$C$11,ASSUMPTIONS!$C$69),K1357+0.005)</f>
        <v/>
      </c>
      <c r="J1357" s="83">
        <f>_xlfn.NORM.INV(RAND(),ASSUMPTIONS!$C$19,ASSUMPTIONS!$C$70)</f>
        <v/>
      </c>
      <c r="K1357" s="83">
        <f>_xlfn.NORM.INV(RAND(),ASSUMPTIONS!$C$43,ASSUMPTIONS!$C$71)</f>
        <v/>
      </c>
      <c r="L1357" s="84">
        <f>(((ASSUMPTIONS!$C$18*J1357*(1-ASSUMPTIONS!$C$20)+ASSUMPTIONS!$C$18*ASSUMPTIONS!$C$21-ASSUMPTIONS!$C$18*ASSUMPTIONS!$C$22)*(1+H1357)*(1-((1+H1357)/(1+I1357))^5)/(I1357-H1357))+((ASSUMPTIONS!$C$18*J1357*(1-ASSUMPTIONS!$C$20)+ASSUMPTIONS!$C$18*ASSUMPTIONS!$C$21-ASSUMPTIONS!$C$18*ASSUMPTIONS!$C$22)*(1+H1357)^5*(1+K1357)/(I1357-K1357)/(1+I1357)^5)-DCF!$C$12)/ASSUMPTIONS!$C$7</f>
        <v/>
      </c>
    </row>
    <row r="1358">
      <c r="H1358" s="83">
        <f>_xlfn.NORM.INV(RAND(),AVERAGE(ASSUMPTIONS!$C$38,ASSUMPTIONS!$C$39,ASSUMPTIONS!$C$40,ASSUMPTIONS!$C$41,ASSUMPTIONS!$C$42),ASSUMPTIONS!$C$68)</f>
        <v/>
      </c>
      <c r="I1358" s="83">
        <f>MAX(_xlfn.NORM.INV(RAND(),DCF!$C$11,ASSUMPTIONS!$C$69),K1358+0.005)</f>
        <v/>
      </c>
      <c r="J1358" s="83">
        <f>_xlfn.NORM.INV(RAND(),ASSUMPTIONS!$C$19,ASSUMPTIONS!$C$70)</f>
        <v/>
      </c>
      <c r="K1358" s="83">
        <f>_xlfn.NORM.INV(RAND(),ASSUMPTIONS!$C$43,ASSUMPTIONS!$C$71)</f>
        <v/>
      </c>
      <c r="L1358" s="84">
        <f>(((ASSUMPTIONS!$C$18*J1358*(1-ASSUMPTIONS!$C$20)+ASSUMPTIONS!$C$18*ASSUMPTIONS!$C$21-ASSUMPTIONS!$C$18*ASSUMPTIONS!$C$22)*(1+H1358)*(1-((1+H1358)/(1+I1358))^5)/(I1358-H1358))+((ASSUMPTIONS!$C$18*J1358*(1-ASSUMPTIONS!$C$20)+ASSUMPTIONS!$C$18*ASSUMPTIONS!$C$21-ASSUMPTIONS!$C$18*ASSUMPTIONS!$C$22)*(1+H1358)^5*(1+K1358)/(I1358-K1358)/(1+I1358)^5)-DCF!$C$12)/ASSUMPTIONS!$C$7</f>
        <v/>
      </c>
    </row>
    <row r="1359">
      <c r="H1359" s="83">
        <f>_xlfn.NORM.INV(RAND(),AVERAGE(ASSUMPTIONS!$C$38,ASSUMPTIONS!$C$39,ASSUMPTIONS!$C$40,ASSUMPTIONS!$C$41,ASSUMPTIONS!$C$42),ASSUMPTIONS!$C$68)</f>
        <v/>
      </c>
      <c r="I1359" s="83">
        <f>MAX(_xlfn.NORM.INV(RAND(),DCF!$C$11,ASSUMPTIONS!$C$69),K1359+0.005)</f>
        <v/>
      </c>
      <c r="J1359" s="83">
        <f>_xlfn.NORM.INV(RAND(),ASSUMPTIONS!$C$19,ASSUMPTIONS!$C$70)</f>
        <v/>
      </c>
      <c r="K1359" s="83">
        <f>_xlfn.NORM.INV(RAND(),ASSUMPTIONS!$C$43,ASSUMPTIONS!$C$71)</f>
        <v/>
      </c>
      <c r="L1359" s="84">
        <f>(((ASSUMPTIONS!$C$18*J1359*(1-ASSUMPTIONS!$C$20)+ASSUMPTIONS!$C$18*ASSUMPTIONS!$C$21-ASSUMPTIONS!$C$18*ASSUMPTIONS!$C$22)*(1+H1359)*(1-((1+H1359)/(1+I1359))^5)/(I1359-H1359))+((ASSUMPTIONS!$C$18*J1359*(1-ASSUMPTIONS!$C$20)+ASSUMPTIONS!$C$18*ASSUMPTIONS!$C$21-ASSUMPTIONS!$C$18*ASSUMPTIONS!$C$22)*(1+H1359)^5*(1+K1359)/(I1359-K1359)/(1+I1359)^5)-DCF!$C$12)/ASSUMPTIONS!$C$7</f>
        <v/>
      </c>
    </row>
    <row r="1360">
      <c r="H1360" s="83">
        <f>_xlfn.NORM.INV(RAND(),AVERAGE(ASSUMPTIONS!$C$38,ASSUMPTIONS!$C$39,ASSUMPTIONS!$C$40,ASSUMPTIONS!$C$41,ASSUMPTIONS!$C$42),ASSUMPTIONS!$C$68)</f>
        <v/>
      </c>
      <c r="I1360" s="83">
        <f>MAX(_xlfn.NORM.INV(RAND(),DCF!$C$11,ASSUMPTIONS!$C$69),K1360+0.005)</f>
        <v/>
      </c>
      <c r="J1360" s="83">
        <f>_xlfn.NORM.INV(RAND(),ASSUMPTIONS!$C$19,ASSUMPTIONS!$C$70)</f>
        <v/>
      </c>
      <c r="K1360" s="83">
        <f>_xlfn.NORM.INV(RAND(),ASSUMPTIONS!$C$43,ASSUMPTIONS!$C$71)</f>
        <v/>
      </c>
      <c r="L1360" s="84">
        <f>(((ASSUMPTIONS!$C$18*J1360*(1-ASSUMPTIONS!$C$20)+ASSUMPTIONS!$C$18*ASSUMPTIONS!$C$21-ASSUMPTIONS!$C$18*ASSUMPTIONS!$C$22)*(1+H1360)*(1-((1+H1360)/(1+I1360))^5)/(I1360-H1360))+((ASSUMPTIONS!$C$18*J1360*(1-ASSUMPTIONS!$C$20)+ASSUMPTIONS!$C$18*ASSUMPTIONS!$C$21-ASSUMPTIONS!$C$18*ASSUMPTIONS!$C$22)*(1+H1360)^5*(1+K1360)/(I1360-K1360)/(1+I1360)^5)-DCF!$C$12)/ASSUMPTIONS!$C$7</f>
        <v/>
      </c>
    </row>
    <row r="1361">
      <c r="H1361" s="83">
        <f>_xlfn.NORM.INV(RAND(),AVERAGE(ASSUMPTIONS!$C$38,ASSUMPTIONS!$C$39,ASSUMPTIONS!$C$40,ASSUMPTIONS!$C$41,ASSUMPTIONS!$C$42),ASSUMPTIONS!$C$68)</f>
        <v/>
      </c>
      <c r="I1361" s="83">
        <f>MAX(_xlfn.NORM.INV(RAND(),DCF!$C$11,ASSUMPTIONS!$C$69),K1361+0.005)</f>
        <v/>
      </c>
      <c r="J1361" s="83">
        <f>_xlfn.NORM.INV(RAND(),ASSUMPTIONS!$C$19,ASSUMPTIONS!$C$70)</f>
        <v/>
      </c>
      <c r="K1361" s="83">
        <f>_xlfn.NORM.INV(RAND(),ASSUMPTIONS!$C$43,ASSUMPTIONS!$C$71)</f>
        <v/>
      </c>
      <c r="L1361" s="84">
        <f>(((ASSUMPTIONS!$C$18*J1361*(1-ASSUMPTIONS!$C$20)+ASSUMPTIONS!$C$18*ASSUMPTIONS!$C$21-ASSUMPTIONS!$C$18*ASSUMPTIONS!$C$22)*(1+H1361)*(1-((1+H1361)/(1+I1361))^5)/(I1361-H1361))+((ASSUMPTIONS!$C$18*J1361*(1-ASSUMPTIONS!$C$20)+ASSUMPTIONS!$C$18*ASSUMPTIONS!$C$21-ASSUMPTIONS!$C$18*ASSUMPTIONS!$C$22)*(1+H1361)^5*(1+K1361)/(I1361-K1361)/(1+I1361)^5)-DCF!$C$12)/ASSUMPTIONS!$C$7</f>
        <v/>
      </c>
    </row>
    <row r="1362">
      <c r="H1362" s="83">
        <f>_xlfn.NORM.INV(RAND(),AVERAGE(ASSUMPTIONS!$C$38,ASSUMPTIONS!$C$39,ASSUMPTIONS!$C$40,ASSUMPTIONS!$C$41,ASSUMPTIONS!$C$42),ASSUMPTIONS!$C$68)</f>
        <v/>
      </c>
      <c r="I1362" s="83">
        <f>MAX(_xlfn.NORM.INV(RAND(),DCF!$C$11,ASSUMPTIONS!$C$69),K1362+0.005)</f>
        <v/>
      </c>
      <c r="J1362" s="83">
        <f>_xlfn.NORM.INV(RAND(),ASSUMPTIONS!$C$19,ASSUMPTIONS!$C$70)</f>
        <v/>
      </c>
      <c r="K1362" s="83">
        <f>_xlfn.NORM.INV(RAND(),ASSUMPTIONS!$C$43,ASSUMPTIONS!$C$71)</f>
        <v/>
      </c>
      <c r="L1362" s="84">
        <f>(((ASSUMPTIONS!$C$18*J1362*(1-ASSUMPTIONS!$C$20)+ASSUMPTIONS!$C$18*ASSUMPTIONS!$C$21-ASSUMPTIONS!$C$18*ASSUMPTIONS!$C$22)*(1+H1362)*(1-((1+H1362)/(1+I1362))^5)/(I1362-H1362))+((ASSUMPTIONS!$C$18*J1362*(1-ASSUMPTIONS!$C$20)+ASSUMPTIONS!$C$18*ASSUMPTIONS!$C$21-ASSUMPTIONS!$C$18*ASSUMPTIONS!$C$22)*(1+H1362)^5*(1+K1362)/(I1362-K1362)/(1+I1362)^5)-DCF!$C$12)/ASSUMPTIONS!$C$7</f>
        <v/>
      </c>
    </row>
    <row r="1363">
      <c r="H1363" s="83">
        <f>_xlfn.NORM.INV(RAND(),AVERAGE(ASSUMPTIONS!$C$38,ASSUMPTIONS!$C$39,ASSUMPTIONS!$C$40,ASSUMPTIONS!$C$41,ASSUMPTIONS!$C$42),ASSUMPTIONS!$C$68)</f>
        <v/>
      </c>
      <c r="I1363" s="83">
        <f>MAX(_xlfn.NORM.INV(RAND(),DCF!$C$11,ASSUMPTIONS!$C$69),K1363+0.005)</f>
        <v/>
      </c>
      <c r="J1363" s="83">
        <f>_xlfn.NORM.INV(RAND(),ASSUMPTIONS!$C$19,ASSUMPTIONS!$C$70)</f>
        <v/>
      </c>
      <c r="K1363" s="83">
        <f>_xlfn.NORM.INV(RAND(),ASSUMPTIONS!$C$43,ASSUMPTIONS!$C$71)</f>
        <v/>
      </c>
      <c r="L1363" s="84">
        <f>(((ASSUMPTIONS!$C$18*J1363*(1-ASSUMPTIONS!$C$20)+ASSUMPTIONS!$C$18*ASSUMPTIONS!$C$21-ASSUMPTIONS!$C$18*ASSUMPTIONS!$C$22)*(1+H1363)*(1-((1+H1363)/(1+I1363))^5)/(I1363-H1363))+((ASSUMPTIONS!$C$18*J1363*(1-ASSUMPTIONS!$C$20)+ASSUMPTIONS!$C$18*ASSUMPTIONS!$C$21-ASSUMPTIONS!$C$18*ASSUMPTIONS!$C$22)*(1+H1363)^5*(1+K1363)/(I1363-K1363)/(1+I1363)^5)-DCF!$C$12)/ASSUMPTIONS!$C$7</f>
        <v/>
      </c>
    </row>
    <row r="1364">
      <c r="H1364" s="83">
        <f>_xlfn.NORM.INV(RAND(),AVERAGE(ASSUMPTIONS!$C$38,ASSUMPTIONS!$C$39,ASSUMPTIONS!$C$40,ASSUMPTIONS!$C$41,ASSUMPTIONS!$C$42),ASSUMPTIONS!$C$68)</f>
        <v/>
      </c>
      <c r="I1364" s="83">
        <f>MAX(_xlfn.NORM.INV(RAND(),DCF!$C$11,ASSUMPTIONS!$C$69),K1364+0.005)</f>
        <v/>
      </c>
      <c r="J1364" s="83">
        <f>_xlfn.NORM.INV(RAND(),ASSUMPTIONS!$C$19,ASSUMPTIONS!$C$70)</f>
        <v/>
      </c>
      <c r="K1364" s="83">
        <f>_xlfn.NORM.INV(RAND(),ASSUMPTIONS!$C$43,ASSUMPTIONS!$C$71)</f>
        <v/>
      </c>
      <c r="L1364" s="84">
        <f>(((ASSUMPTIONS!$C$18*J1364*(1-ASSUMPTIONS!$C$20)+ASSUMPTIONS!$C$18*ASSUMPTIONS!$C$21-ASSUMPTIONS!$C$18*ASSUMPTIONS!$C$22)*(1+H1364)*(1-((1+H1364)/(1+I1364))^5)/(I1364-H1364))+((ASSUMPTIONS!$C$18*J1364*(1-ASSUMPTIONS!$C$20)+ASSUMPTIONS!$C$18*ASSUMPTIONS!$C$21-ASSUMPTIONS!$C$18*ASSUMPTIONS!$C$22)*(1+H1364)^5*(1+K1364)/(I1364-K1364)/(1+I1364)^5)-DCF!$C$12)/ASSUMPTIONS!$C$7</f>
        <v/>
      </c>
    </row>
    <row r="1365">
      <c r="H1365" s="83">
        <f>_xlfn.NORM.INV(RAND(),AVERAGE(ASSUMPTIONS!$C$38,ASSUMPTIONS!$C$39,ASSUMPTIONS!$C$40,ASSUMPTIONS!$C$41,ASSUMPTIONS!$C$42),ASSUMPTIONS!$C$68)</f>
        <v/>
      </c>
      <c r="I1365" s="83">
        <f>MAX(_xlfn.NORM.INV(RAND(),DCF!$C$11,ASSUMPTIONS!$C$69),K1365+0.005)</f>
        <v/>
      </c>
      <c r="J1365" s="83">
        <f>_xlfn.NORM.INV(RAND(),ASSUMPTIONS!$C$19,ASSUMPTIONS!$C$70)</f>
        <v/>
      </c>
      <c r="K1365" s="83">
        <f>_xlfn.NORM.INV(RAND(),ASSUMPTIONS!$C$43,ASSUMPTIONS!$C$71)</f>
        <v/>
      </c>
      <c r="L1365" s="84">
        <f>(((ASSUMPTIONS!$C$18*J1365*(1-ASSUMPTIONS!$C$20)+ASSUMPTIONS!$C$18*ASSUMPTIONS!$C$21-ASSUMPTIONS!$C$18*ASSUMPTIONS!$C$22)*(1+H1365)*(1-((1+H1365)/(1+I1365))^5)/(I1365-H1365))+((ASSUMPTIONS!$C$18*J1365*(1-ASSUMPTIONS!$C$20)+ASSUMPTIONS!$C$18*ASSUMPTIONS!$C$21-ASSUMPTIONS!$C$18*ASSUMPTIONS!$C$22)*(1+H1365)^5*(1+K1365)/(I1365-K1365)/(1+I1365)^5)-DCF!$C$12)/ASSUMPTIONS!$C$7</f>
        <v/>
      </c>
    </row>
    <row r="1366">
      <c r="H1366" s="83">
        <f>_xlfn.NORM.INV(RAND(),AVERAGE(ASSUMPTIONS!$C$38,ASSUMPTIONS!$C$39,ASSUMPTIONS!$C$40,ASSUMPTIONS!$C$41,ASSUMPTIONS!$C$42),ASSUMPTIONS!$C$68)</f>
        <v/>
      </c>
      <c r="I1366" s="83">
        <f>MAX(_xlfn.NORM.INV(RAND(),DCF!$C$11,ASSUMPTIONS!$C$69),K1366+0.005)</f>
        <v/>
      </c>
      <c r="J1366" s="83">
        <f>_xlfn.NORM.INV(RAND(),ASSUMPTIONS!$C$19,ASSUMPTIONS!$C$70)</f>
        <v/>
      </c>
      <c r="K1366" s="83">
        <f>_xlfn.NORM.INV(RAND(),ASSUMPTIONS!$C$43,ASSUMPTIONS!$C$71)</f>
        <v/>
      </c>
      <c r="L1366" s="84">
        <f>(((ASSUMPTIONS!$C$18*J1366*(1-ASSUMPTIONS!$C$20)+ASSUMPTIONS!$C$18*ASSUMPTIONS!$C$21-ASSUMPTIONS!$C$18*ASSUMPTIONS!$C$22)*(1+H1366)*(1-((1+H1366)/(1+I1366))^5)/(I1366-H1366))+((ASSUMPTIONS!$C$18*J1366*(1-ASSUMPTIONS!$C$20)+ASSUMPTIONS!$C$18*ASSUMPTIONS!$C$21-ASSUMPTIONS!$C$18*ASSUMPTIONS!$C$22)*(1+H1366)^5*(1+K1366)/(I1366-K1366)/(1+I1366)^5)-DCF!$C$12)/ASSUMPTIONS!$C$7</f>
        <v/>
      </c>
    </row>
    <row r="1367">
      <c r="H1367" s="83">
        <f>_xlfn.NORM.INV(RAND(),AVERAGE(ASSUMPTIONS!$C$38,ASSUMPTIONS!$C$39,ASSUMPTIONS!$C$40,ASSUMPTIONS!$C$41,ASSUMPTIONS!$C$42),ASSUMPTIONS!$C$68)</f>
        <v/>
      </c>
      <c r="I1367" s="83">
        <f>MAX(_xlfn.NORM.INV(RAND(),DCF!$C$11,ASSUMPTIONS!$C$69),K1367+0.005)</f>
        <v/>
      </c>
      <c r="J1367" s="83">
        <f>_xlfn.NORM.INV(RAND(),ASSUMPTIONS!$C$19,ASSUMPTIONS!$C$70)</f>
        <v/>
      </c>
      <c r="K1367" s="83">
        <f>_xlfn.NORM.INV(RAND(),ASSUMPTIONS!$C$43,ASSUMPTIONS!$C$71)</f>
        <v/>
      </c>
      <c r="L1367" s="84">
        <f>(((ASSUMPTIONS!$C$18*J1367*(1-ASSUMPTIONS!$C$20)+ASSUMPTIONS!$C$18*ASSUMPTIONS!$C$21-ASSUMPTIONS!$C$18*ASSUMPTIONS!$C$22)*(1+H1367)*(1-((1+H1367)/(1+I1367))^5)/(I1367-H1367))+((ASSUMPTIONS!$C$18*J1367*(1-ASSUMPTIONS!$C$20)+ASSUMPTIONS!$C$18*ASSUMPTIONS!$C$21-ASSUMPTIONS!$C$18*ASSUMPTIONS!$C$22)*(1+H1367)^5*(1+K1367)/(I1367-K1367)/(1+I1367)^5)-DCF!$C$12)/ASSUMPTIONS!$C$7</f>
        <v/>
      </c>
    </row>
    <row r="1368">
      <c r="H1368" s="83">
        <f>_xlfn.NORM.INV(RAND(),AVERAGE(ASSUMPTIONS!$C$38,ASSUMPTIONS!$C$39,ASSUMPTIONS!$C$40,ASSUMPTIONS!$C$41,ASSUMPTIONS!$C$42),ASSUMPTIONS!$C$68)</f>
        <v/>
      </c>
      <c r="I1368" s="83">
        <f>MAX(_xlfn.NORM.INV(RAND(),DCF!$C$11,ASSUMPTIONS!$C$69),K1368+0.005)</f>
        <v/>
      </c>
      <c r="J1368" s="83">
        <f>_xlfn.NORM.INV(RAND(),ASSUMPTIONS!$C$19,ASSUMPTIONS!$C$70)</f>
        <v/>
      </c>
      <c r="K1368" s="83">
        <f>_xlfn.NORM.INV(RAND(),ASSUMPTIONS!$C$43,ASSUMPTIONS!$C$71)</f>
        <v/>
      </c>
      <c r="L1368" s="84">
        <f>(((ASSUMPTIONS!$C$18*J1368*(1-ASSUMPTIONS!$C$20)+ASSUMPTIONS!$C$18*ASSUMPTIONS!$C$21-ASSUMPTIONS!$C$18*ASSUMPTIONS!$C$22)*(1+H1368)*(1-((1+H1368)/(1+I1368))^5)/(I1368-H1368))+((ASSUMPTIONS!$C$18*J1368*(1-ASSUMPTIONS!$C$20)+ASSUMPTIONS!$C$18*ASSUMPTIONS!$C$21-ASSUMPTIONS!$C$18*ASSUMPTIONS!$C$22)*(1+H1368)^5*(1+K1368)/(I1368-K1368)/(1+I1368)^5)-DCF!$C$12)/ASSUMPTIONS!$C$7</f>
        <v/>
      </c>
    </row>
    <row r="1369">
      <c r="H1369" s="83">
        <f>_xlfn.NORM.INV(RAND(),AVERAGE(ASSUMPTIONS!$C$38,ASSUMPTIONS!$C$39,ASSUMPTIONS!$C$40,ASSUMPTIONS!$C$41,ASSUMPTIONS!$C$42),ASSUMPTIONS!$C$68)</f>
        <v/>
      </c>
      <c r="I1369" s="83">
        <f>MAX(_xlfn.NORM.INV(RAND(),DCF!$C$11,ASSUMPTIONS!$C$69),K1369+0.005)</f>
        <v/>
      </c>
      <c r="J1369" s="83">
        <f>_xlfn.NORM.INV(RAND(),ASSUMPTIONS!$C$19,ASSUMPTIONS!$C$70)</f>
        <v/>
      </c>
      <c r="K1369" s="83">
        <f>_xlfn.NORM.INV(RAND(),ASSUMPTIONS!$C$43,ASSUMPTIONS!$C$71)</f>
        <v/>
      </c>
      <c r="L1369" s="84">
        <f>(((ASSUMPTIONS!$C$18*J1369*(1-ASSUMPTIONS!$C$20)+ASSUMPTIONS!$C$18*ASSUMPTIONS!$C$21-ASSUMPTIONS!$C$18*ASSUMPTIONS!$C$22)*(1+H1369)*(1-((1+H1369)/(1+I1369))^5)/(I1369-H1369))+((ASSUMPTIONS!$C$18*J1369*(1-ASSUMPTIONS!$C$20)+ASSUMPTIONS!$C$18*ASSUMPTIONS!$C$21-ASSUMPTIONS!$C$18*ASSUMPTIONS!$C$22)*(1+H1369)^5*(1+K1369)/(I1369-K1369)/(1+I1369)^5)-DCF!$C$12)/ASSUMPTIONS!$C$7</f>
        <v/>
      </c>
    </row>
    <row r="1370">
      <c r="H1370" s="83">
        <f>_xlfn.NORM.INV(RAND(),AVERAGE(ASSUMPTIONS!$C$38,ASSUMPTIONS!$C$39,ASSUMPTIONS!$C$40,ASSUMPTIONS!$C$41,ASSUMPTIONS!$C$42),ASSUMPTIONS!$C$68)</f>
        <v/>
      </c>
      <c r="I1370" s="83">
        <f>MAX(_xlfn.NORM.INV(RAND(),DCF!$C$11,ASSUMPTIONS!$C$69),K1370+0.005)</f>
        <v/>
      </c>
      <c r="J1370" s="83">
        <f>_xlfn.NORM.INV(RAND(),ASSUMPTIONS!$C$19,ASSUMPTIONS!$C$70)</f>
        <v/>
      </c>
      <c r="K1370" s="83">
        <f>_xlfn.NORM.INV(RAND(),ASSUMPTIONS!$C$43,ASSUMPTIONS!$C$71)</f>
        <v/>
      </c>
      <c r="L1370" s="84">
        <f>(((ASSUMPTIONS!$C$18*J1370*(1-ASSUMPTIONS!$C$20)+ASSUMPTIONS!$C$18*ASSUMPTIONS!$C$21-ASSUMPTIONS!$C$18*ASSUMPTIONS!$C$22)*(1+H1370)*(1-((1+H1370)/(1+I1370))^5)/(I1370-H1370))+((ASSUMPTIONS!$C$18*J1370*(1-ASSUMPTIONS!$C$20)+ASSUMPTIONS!$C$18*ASSUMPTIONS!$C$21-ASSUMPTIONS!$C$18*ASSUMPTIONS!$C$22)*(1+H1370)^5*(1+K1370)/(I1370-K1370)/(1+I1370)^5)-DCF!$C$12)/ASSUMPTIONS!$C$7</f>
        <v/>
      </c>
    </row>
    <row r="1371">
      <c r="H1371" s="83">
        <f>_xlfn.NORM.INV(RAND(),AVERAGE(ASSUMPTIONS!$C$38,ASSUMPTIONS!$C$39,ASSUMPTIONS!$C$40,ASSUMPTIONS!$C$41,ASSUMPTIONS!$C$42),ASSUMPTIONS!$C$68)</f>
        <v/>
      </c>
      <c r="I1371" s="83">
        <f>MAX(_xlfn.NORM.INV(RAND(),DCF!$C$11,ASSUMPTIONS!$C$69),K1371+0.005)</f>
        <v/>
      </c>
      <c r="J1371" s="83">
        <f>_xlfn.NORM.INV(RAND(),ASSUMPTIONS!$C$19,ASSUMPTIONS!$C$70)</f>
        <v/>
      </c>
      <c r="K1371" s="83">
        <f>_xlfn.NORM.INV(RAND(),ASSUMPTIONS!$C$43,ASSUMPTIONS!$C$71)</f>
        <v/>
      </c>
      <c r="L1371" s="84">
        <f>(((ASSUMPTIONS!$C$18*J1371*(1-ASSUMPTIONS!$C$20)+ASSUMPTIONS!$C$18*ASSUMPTIONS!$C$21-ASSUMPTIONS!$C$18*ASSUMPTIONS!$C$22)*(1+H1371)*(1-((1+H1371)/(1+I1371))^5)/(I1371-H1371))+((ASSUMPTIONS!$C$18*J1371*(1-ASSUMPTIONS!$C$20)+ASSUMPTIONS!$C$18*ASSUMPTIONS!$C$21-ASSUMPTIONS!$C$18*ASSUMPTIONS!$C$22)*(1+H1371)^5*(1+K1371)/(I1371-K1371)/(1+I1371)^5)-DCF!$C$12)/ASSUMPTIONS!$C$7</f>
        <v/>
      </c>
    </row>
    <row r="1372">
      <c r="H1372" s="83">
        <f>_xlfn.NORM.INV(RAND(),AVERAGE(ASSUMPTIONS!$C$38,ASSUMPTIONS!$C$39,ASSUMPTIONS!$C$40,ASSUMPTIONS!$C$41,ASSUMPTIONS!$C$42),ASSUMPTIONS!$C$68)</f>
        <v/>
      </c>
      <c r="I1372" s="83">
        <f>MAX(_xlfn.NORM.INV(RAND(),DCF!$C$11,ASSUMPTIONS!$C$69),K1372+0.005)</f>
        <v/>
      </c>
      <c r="J1372" s="83">
        <f>_xlfn.NORM.INV(RAND(),ASSUMPTIONS!$C$19,ASSUMPTIONS!$C$70)</f>
        <v/>
      </c>
      <c r="K1372" s="83">
        <f>_xlfn.NORM.INV(RAND(),ASSUMPTIONS!$C$43,ASSUMPTIONS!$C$71)</f>
        <v/>
      </c>
      <c r="L1372" s="84">
        <f>(((ASSUMPTIONS!$C$18*J1372*(1-ASSUMPTIONS!$C$20)+ASSUMPTIONS!$C$18*ASSUMPTIONS!$C$21-ASSUMPTIONS!$C$18*ASSUMPTIONS!$C$22)*(1+H1372)*(1-((1+H1372)/(1+I1372))^5)/(I1372-H1372))+((ASSUMPTIONS!$C$18*J1372*(1-ASSUMPTIONS!$C$20)+ASSUMPTIONS!$C$18*ASSUMPTIONS!$C$21-ASSUMPTIONS!$C$18*ASSUMPTIONS!$C$22)*(1+H1372)^5*(1+K1372)/(I1372-K1372)/(1+I1372)^5)-DCF!$C$12)/ASSUMPTIONS!$C$7</f>
        <v/>
      </c>
    </row>
    <row r="1373">
      <c r="H1373" s="83">
        <f>_xlfn.NORM.INV(RAND(),AVERAGE(ASSUMPTIONS!$C$38,ASSUMPTIONS!$C$39,ASSUMPTIONS!$C$40,ASSUMPTIONS!$C$41,ASSUMPTIONS!$C$42),ASSUMPTIONS!$C$68)</f>
        <v/>
      </c>
      <c r="I1373" s="83">
        <f>MAX(_xlfn.NORM.INV(RAND(),DCF!$C$11,ASSUMPTIONS!$C$69),K1373+0.005)</f>
        <v/>
      </c>
      <c r="J1373" s="83">
        <f>_xlfn.NORM.INV(RAND(),ASSUMPTIONS!$C$19,ASSUMPTIONS!$C$70)</f>
        <v/>
      </c>
      <c r="K1373" s="83">
        <f>_xlfn.NORM.INV(RAND(),ASSUMPTIONS!$C$43,ASSUMPTIONS!$C$71)</f>
        <v/>
      </c>
      <c r="L1373" s="84">
        <f>(((ASSUMPTIONS!$C$18*J1373*(1-ASSUMPTIONS!$C$20)+ASSUMPTIONS!$C$18*ASSUMPTIONS!$C$21-ASSUMPTIONS!$C$18*ASSUMPTIONS!$C$22)*(1+H1373)*(1-((1+H1373)/(1+I1373))^5)/(I1373-H1373))+((ASSUMPTIONS!$C$18*J1373*(1-ASSUMPTIONS!$C$20)+ASSUMPTIONS!$C$18*ASSUMPTIONS!$C$21-ASSUMPTIONS!$C$18*ASSUMPTIONS!$C$22)*(1+H1373)^5*(1+K1373)/(I1373-K1373)/(1+I1373)^5)-DCF!$C$12)/ASSUMPTIONS!$C$7</f>
        <v/>
      </c>
    </row>
    <row r="1374">
      <c r="H1374" s="83">
        <f>_xlfn.NORM.INV(RAND(),AVERAGE(ASSUMPTIONS!$C$38,ASSUMPTIONS!$C$39,ASSUMPTIONS!$C$40,ASSUMPTIONS!$C$41,ASSUMPTIONS!$C$42),ASSUMPTIONS!$C$68)</f>
        <v/>
      </c>
      <c r="I1374" s="83">
        <f>MAX(_xlfn.NORM.INV(RAND(),DCF!$C$11,ASSUMPTIONS!$C$69),K1374+0.005)</f>
        <v/>
      </c>
      <c r="J1374" s="83">
        <f>_xlfn.NORM.INV(RAND(),ASSUMPTIONS!$C$19,ASSUMPTIONS!$C$70)</f>
        <v/>
      </c>
      <c r="K1374" s="83">
        <f>_xlfn.NORM.INV(RAND(),ASSUMPTIONS!$C$43,ASSUMPTIONS!$C$71)</f>
        <v/>
      </c>
      <c r="L1374" s="84">
        <f>(((ASSUMPTIONS!$C$18*J1374*(1-ASSUMPTIONS!$C$20)+ASSUMPTIONS!$C$18*ASSUMPTIONS!$C$21-ASSUMPTIONS!$C$18*ASSUMPTIONS!$C$22)*(1+H1374)*(1-((1+H1374)/(1+I1374))^5)/(I1374-H1374))+((ASSUMPTIONS!$C$18*J1374*(1-ASSUMPTIONS!$C$20)+ASSUMPTIONS!$C$18*ASSUMPTIONS!$C$21-ASSUMPTIONS!$C$18*ASSUMPTIONS!$C$22)*(1+H1374)^5*(1+K1374)/(I1374-K1374)/(1+I1374)^5)-DCF!$C$12)/ASSUMPTIONS!$C$7</f>
        <v/>
      </c>
    </row>
    <row r="1375">
      <c r="H1375" s="83">
        <f>_xlfn.NORM.INV(RAND(),AVERAGE(ASSUMPTIONS!$C$38,ASSUMPTIONS!$C$39,ASSUMPTIONS!$C$40,ASSUMPTIONS!$C$41,ASSUMPTIONS!$C$42),ASSUMPTIONS!$C$68)</f>
        <v/>
      </c>
      <c r="I1375" s="83">
        <f>MAX(_xlfn.NORM.INV(RAND(),DCF!$C$11,ASSUMPTIONS!$C$69),K1375+0.005)</f>
        <v/>
      </c>
      <c r="J1375" s="83">
        <f>_xlfn.NORM.INV(RAND(),ASSUMPTIONS!$C$19,ASSUMPTIONS!$C$70)</f>
        <v/>
      </c>
      <c r="K1375" s="83">
        <f>_xlfn.NORM.INV(RAND(),ASSUMPTIONS!$C$43,ASSUMPTIONS!$C$71)</f>
        <v/>
      </c>
      <c r="L1375" s="84">
        <f>(((ASSUMPTIONS!$C$18*J1375*(1-ASSUMPTIONS!$C$20)+ASSUMPTIONS!$C$18*ASSUMPTIONS!$C$21-ASSUMPTIONS!$C$18*ASSUMPTIONS!$C$22)*(1+H1375)*(1-((1+H1375)/(1+I1375))^5)/(I1375-H1375))+((ASSUMPTIONS!$C$18*J1375*(1-ASSUMPTIONS!$C$20)+ASSUMPTIONS!$C$18*ASSUMPTIONS!$C$21-ASSUMPTIONS!$C$18*ASSUMPTIONS!$C$22)*(1+H1375)^5*(1+K1375)/(I1375-K1375)/(1+I1375)^5)-DCF!$C$12)/ASSUMPTIONS!$C$7</f>
        <v/>
      </c>
    </row>
    <row r="1376">
      <c r="H1376" s="83">
        <f>_xlfn.NORM.INV(RAND(),AVERAGE(ASSUMPTIONS!$C$38,ASSUMPTIONS!$C$39,ASSUMPTIONS!$C$40,ASSUMPTIONS!$C$41,ASSUMPTIONS!$C$42),ASSUMPTIONS!$C$68)</f>
        <v/>
      </c>
      <c r="I1376" s="83">
        <f>MAX(_xlfn.NORM.INV(RAND(),DCF!$C$11,ASSUMPTIONS!$C$69),K1376+0.005)</f>
        <v/>
      </c>
      <c r="J1376" s="83">
        <f>_xlfn.NORM.INV(RAND(),ASSUMPTIONS!$C$19,ASSUMPTIONS!$C$70)</f>
        <v/>
      </c>
      <c r="K1376" s="83">
        <f>_xlfn.NORM.INV(RAND(),ASSUMPTIONS!$C$43,ASSUMPTIONS!$C$71)</f>
        <v/>
      </c>
      <c r="L1376" s="84">
        <f>(((ASSUMPTIONS!$C$18*J1376*(1-ASSUMPTIONS!$C$20)+ASSUMPTIONS!$C$18*ASSUMPTIONS!$C$21-ASSUMPTIONS!$C$18*ASSUMPTIONS!$C$22)*(1+H1376)*(1-((1+H1376)/(1+I1376))^5)/(I1376-H1376))+((ASSUMPTIONS!$C$18*J1376*(1-ASSUMPTIONS!$C$20)+ASSUMPTIONS!$C$18*ASSUMPTIONS!$C$21-ASSUMPTIONS!$C$18*ASSUMPTIONS!$C$22)*(1+H1376)^5*(1+K1376)/(I1376-K1376)/(1+I1376)^5)-DCF!$C$12)/ASSUMPTIONS!$C$7</f>
        <v/>
      </c>
    </row>
    <row r="1377">
      <c r="H1377" s="83">
        <f>_xlfn.NORM.INV(RAND(),AVERAGE(ASSUMPTIONS!$C$38,ASSUMPTIONS!$C$39,ASSUMPTIONS!$C$40,ASSUMPTIONS!$C$41,ASSUMPTIONS!$C$42),ASSUMPTIONS!$C$68)</f>
        <v/>
      </c>
      <c r="I1377" s="83">
        <f>MAX(_xlfn.NORM.INV(RAND(),DCF!$C$11,ASSUMPTIONS!$C$69),K1377+0.005)</f>
        <v/>
      </c>
      <c r="J1377" s="83">
        <f>_xlfn.NORM.INV(RAND(),ASSUMPTIONS!$C$19,ASSUMPTIONS!$C$70)</f>
        <v/>
      </c>
      <c r="K1377" s="83">
        <f>_xlfn.NORM.INV(RAND(),ASSUMPTIONS!$C$43,ASSUMPTIONS!$C$71)</f>
        <v/>
      </c>
      <c r="L1377" s="84">
        <f>(((ASSUMPTIONS!$C$18*J1377*(1-ASSUMPTIONS!$C$20)+ASSUMPTIONS!$C$18*ASSUMPTIONS!$C$21-ASSUMPTIONS!$C$18*ASSUMPTIONS!$C$22)*(1+H1377)*(1-((1+H1377)/(1+I1377))^5)/(I1377-H1377))+((ASSUMPTIONS!$C$18*J1377*(1-ASSUMPTIONS!$C$20)+ASSUMPTIONS!$C$18*ASSUMPTIONS!$C$21-ASSUMPTIONS!$C$18*ASSUMPTIONS!$C$22)*(1+H1377)^5*(1+K1377)/(I1377-K1377)/(1+I1377)^5)-DCF!$C$12)/ASSUMPTIONS!$C$7</f>
        <v/>
      </c>
    </row>
    <row r="1378">
      <c r="H1378" s="83">
        <f>_xlfn.NORM.INV(RAND(),AVERAGE(ASSUMPTIONS!$C$38,ASSUMPTIONS!$C$39,ASSUMPTIONS!$C$40,ASSUMPTIONS!$C$41,ASSUMPTIONS!$C$42),ASSUMPTIONS!$C$68)</f>
        <v/>
      </c>
      <c r="I1378" s="83">
        <f>MAX(_xlfn.NORM.INV(RAND(),DCF!$C$11,ASSUMPTIONS!$C$69),K1378+0.005)</f>
        <v/>
      </c>
      <c r="J1378" s="83">
        <f>_xlfn.NORM.INV(RAND(),ASSUMPTIONS!$C$19,ASSUMPTIONS!$C$70)</f>
        <v/>
      </c>
      <c r="K1378" s="83">
        <f>_xlfn.NORM.INV(RAND(),ASSUMPTIONS!$C$43,ASSUMPTIONS!$C$71)</f>
        <v/>
      </c>
      <c r="L1378" s="84">
        <f>(((ASSUMPTIONS!$C$18*J1378*(1-ASSUMPTIONS!$C$20)+ASSUMPTIONS!$C$18*ASSUMPTIONS!$C$21-ASSUMPTIONS!$C$18*ASSUMPTIONS!$C$22)*(1+H1378)*(1-((1+H1378)/(1+I1378))^5)/(I1378-H1378))+((ASSUMPTIONS!$C$18*J1378*(1-ASSUMPTIONS!$C$20)+ASSUMPTIONS!$C$18*ASSUMPTIONS!$C$21-ASSUMPTIONS!$C$18*ASSUMPTIONS!$C$22)*(1+H1378)^5*(1+K1378)/(I1378-K1378)/(1+I1378)^5)-DCF!$C$12)/ASSUMPTIONS!$C$7</f>
        <v/>
      </c>
    </row>
    <row r="1379">
      <c r="H1379" s="83">
        <f>_xlfn.NORM.INV(RAND(),AVERAGE(ASSUMPTIONS!$C$38,ASSUMPTIONS!$C$39,ASSUMPTIONS!$C$40,ASSUMPTIONS!$C$41,ASSUMPTIONS!$C$42),ASSUMPTIONS!$C$68)</f>
        <v/>
      </c>
      <c r="I1379" s="83">
        <f>MAX(_xlfn.NORM.INV(RAND(),DCF!$C$11,ASSUMPTIONS!$C$69),K1379+0.005)</f>
        <v/>
      </c>
      <c r="J1379" s="83">
        <f>_xlfn.NORM.INV(RAND(),ASSUMPTIONS!$C$19,ASSUMPTIONS!$C$70)</f>
        <v/>
      </c>
      <c r="K1379" s="83">
        <f>_xlfn.NORM.INV(RAND(),ASSUMPTIONS!$C$43,ASSUMPTIONS!$C$71)</f>
        <v/>
      </c>
      <c r="L1379" s="84">
        <f>(((ASSUMPTIONS!$C$18*J1379*(1-ASSUMPTIONS!$C$20)+ASSUMPTIONS!$C$18*ASSUMPTIONS!$C$21-ASSUMPTIONS!$C$18*ASSUMPTIONS!$C$22)*(1+H1379)*(1-((1+H1379)/(1+I1379))^5)/(I1379-H1379))+((ASSUMPTIONS!$C$18*J1379*(1-ASSUMPTIONS!$C$20)+ASSUMPTIONS!$C$18*ASSUMPTIONS!$C$21-ASSUMPTIONS!$C$18*ASSUMPTIONS!$C$22)*(1+H1379)^5*(1+K1379)/(I1379-K1379)/(1+I1379)^5)-DCF!$C$12)/ASSUMPTIONS!$C$7</f>
        <v/>
      </c>
    </row>
    <row r="1380">
      <c r="H1380" s="83">
        <f>_xlfn.NORM.INV(RAND(),AVERAGE(ASSUMPTIONS!$C$38,ASSUMPTIONS!$C$39,ASSUMPTIONS!$C$40,ASSUMPTIONS!$C$41,ASSUMPTIONS!$C$42),ASSUMPTIONS!$C$68)</f>
        <v/>
      </c>
      <c r="I1380" s="83">
        <f>MAX(_xlfn.NORM.INV(RAND(),DCF!$C$11,ASSUMPTIONS!$C$69),K1380+0.005)</f>
        <v/>
      </c>
      <c r="J1380" s="83">
        <f>_xlfn.NORM.INV(RAND(),ASSUMPTIONS!$C$19,ASSUMPTIONS!$C$70)</f>
        <v/>
      </c>
      <c r="K1380" s="83">
        <f>_xlfn.NORM.INV(RAND(),ASSUMPTIONS!$C$43,ASSUMPTIONS!$C$71)</f>
        <v/>
      </c>
      <c r="L1380" s="84">
        <f>(((ASSUMPTIONS!$C$18*J1380*(1-ASSUMPTIONS!$C$20)+ASSUMPTIONS!$C$18*ASSUMPTIONS!$C$21-ASSUMPTIONS!$C$18*ASSUMPTIONS!$C$22)*(1+H1380)*(1-((1+H1380)/(1+I1380))^5)/(I1380-H1380))+((ASSUMPTIONS!$C$18*J1380*(1-ASSUMPTIONS!$C$20)+ASSUMPTIONS!$C$18*ASSUMPTIONS!$C$21-ASSUMPTIONS!$C$18*ASSUMPTIONS!$C$22)*(1+H1380)^5*(1+K1380)/(I1380-K1380)/(1+I1380)^5)-DCF!$C$12)/ASSUMPTIONS!$C$7</f>
        <v/>
      </c>
    </row>
    <row r="1381">
      <c r="H1381" s="83">
        <f>_xlfn.NORM.INV(RAND(),AVERAGE(ASSUMPTIONS!$C$38,ASSUMPTIONS!$C$39,ASSUMPTIONS!$C$40,ASSUMPTIONS!$C$41,ASSUMPTIONS!$C$42),ASSUMPTIONS!$C$68)</f>
        <v/>
      </c>
      <c r="I1381" s="83">
        <f>MAX(_xlfn.NORM.INV(RAND(),DCF!$C$11,ASSUMPTIONS!$C$69),K1381+0.005)</f>
        <v/>
      </c>
      <c r="J1381" s="83">
        <f>_xlfn.NORM.INV(RAND(),ASSUMPTIONS!$C$19,ASSUMPTIONS!$C$70)</f>
        <v/>
      </c>
      <c r="K1381" s="83">
        <f>_xlfn.NORM.INV(RAND(),ASSUMPTIONS!$C$43,ASSUMPTIONS!$C$71)</f>
        <v/>
      </c>
      <c r="L1381" s="84">
        <f>(((ASSUMPTIONS!$C$18*J1381*(1-ASSUMPTIONS!$C$20)+ASSUMPTIONS!$C$18*ASSUMPTIONS!$C$21-ASSUMPTIONS!$C$18*ASSUMPTIONS!$C$22)*(1+H1381)*(1-((1+H1381)/(1+I1381))^5)/(I1381-H1381))+((ASSUMPTIONS!$C$18*J1381*(1-ASSUMPTIONS!$C$20)+ASSUMPTIONS!$C$18*ASSUMPTIONS!$C$21-ASSUMPTIONS!$C$18*ASSUMPTIONS!$C$22)*(1+H1381)^5*(1+K1381)/(I1381-K1381)/(1+I1381)^5)-DCF!$C$12)/ASSUMPTIONS!$C$7</f>
        <v/>
      </c>
    </row>
    <row r="1382">
      <c r="H1382" s="83">
        <f>_xlfn.NORM.INV(RAND(),AVERAGE(ASSUMPTIONS!$C$38,ASSUMPTIONS!$C$39,ASSUMPTIONS!$C$40,ASSUMPTIONS!$C$41,ASSUMPTIONS!$C$42),ASSUMPTIONS!$C$68)</f>
        <v/>
      </c>
      <c r="I1382" s="83">
        <f>MAX(_xlfn.NORM.INV(RAND(),DCF!$C$11,ASSUMPTIONS!$C$69),K1382+0.005)</f>
        <v/>
      </c>
      <c r="J1382" s="83">
        <f>_xlfn.NORM.INV(RAND(),ASSUMPTIONS!$C$19,ASSUMPTIONS!$C$70)</f>
        <v/>
      </c>
      <c r="K1382" s="83">
        <f>_xlfn.NORM.INV(RAND(),ASSUMPTIONS!$C$43,ASSUMPTIONS!$C$71)</f>
        <v/>
      </c>
      <c r="L1382" s="84">
        <f>(((ASSUMPTIONS!$C$18*J1382*(1-ASSUMPTIONS!$C$20)+ASSUMPTIONS!$C$18*ASSUMPTIONS!$C$21-ASSUMPTIONS!$C$18*ASSUMPTIONS!$C$22)*(1+H1382)*(1-((1+H1382)/(1+I1382))^5)/(I1382-H1382))+((ASSUMPTIONS!$C$18*J1382*(1-ASSUMPTIONS!$C$20)+ASSUMPTIONS!$C$18*ASSUMPTIONS!$C$21-ASSUMPTIONS!$C$18*ASSUMPTIONS!$C$22)*(1+H1382)^5*(1+K1382)/(I1382-K1382)/(1+I1382)^5)-DCF!$C$12)/ASSUMPTIONS!$C$7</f>
        <v/>
      </c>
    </row>
    <row r="1383">
      <c r="H1383" s="83">
        <f>_xlfn.NORM.INV(RAND(),AVERAGE(ASSUMPTIONS!$C$38,ASSUMPTIONS!$C$39,ASSUMPTIONS!$C$40,ASSUMPTIONS!$C$41,ASSUMPTIONS!$C$42),ASSUMPTIONS!$C$68)</f>
        <v/>
      </c>
      <c r="I1383" s="83">
        <f>MAX(_xlfn.NORM.INV(RAND(),DCF!$C$11,ASSUMPTIONS!$C$69),K1383+0.005)</f>
        <v/>
      </c>
      <c r="J1383" s="83">
        <f>_xlfn.NORM.INV(RAND(),ASSUMPTIONS!$C$19,ASSUMPTIONS!$C$70)</f>
        <v/>
      </c>
      <c r="K1383" s="83">
        <f>_xlfn.NORM.INV(RAND(),ASSUMPTIONS!$C$43,ASSUMPTIONS!$C$71)</f>
        <v/>
      </c>
      <c r="L1383" s="84">
        <f>(((ASSUMPTIONS!$C$18*J1383*(1-ASSUMPTIONS!$C$20)+ASSUMPTIONS!$C$18*ASSUMPTIONS!$C$21-ASSUMPTIONS!$C$18*ASSUMPTIONS!$C$22)*(1+H1383)*(1-((1+H1383)/(1+I1383))^5)/(I1383-H1383))+((ASSUMPTIONS!$C$18*J1383*(1-ASSUMPTIONS!$C$20)+ASSUMPTIONS!$C$18*ASSUMPTIONS!$C$21-ASSUMPTIONS!$C$18*ASSUMPTIONS!$C$22)*(1+H1383)^5*(1+K1383)/(I1383-K1383)/(1+I1383)^5)-DCF!$C$12)/ASSUMPTIONS!$C$7</f>
        <v/>
      </c>
    </row>
    <row r="1384">
      <c r="H1384" s="83">
        <f>_xlfn.NORM.INV(RAND(),AVERAGE(ASSUMPTIONS!$C$38,ASSUMPTIONS!$C$39,ASSUMPTIONS!$C$40,ASSUMPTIONS!$C$41,ASSUMPTIONS!$C$42),ASSUMPTIONS!$C$68)</f>
        <v/>
      </c>
      <c r="I1384" s="83">
        <f>MAX(_xlfn.NORM.INV(RAND(),DCF!$C$11,ASSUMPTIONS!$C$69),K1384+0.005)</f>
        <v/>
      </c>
      <c r="J1384" s="83">
        <f>_xlfn.NORM.INV(RAND(),ASSUMPTIONS!$C$19,ASSUMPTIONS!$C$70)</f>
        <v/>
      </c>
      <c r="K1384" s="83">
        <f>_xlfn.NORM.INV(RAND(),ASSUMPTIONS!$C$43,ASSUMPTIONS!$C$71)</f>
        <v/>
      </c>
      <c r="L1384" s="84">
        <f>(((ASSUMPTIONS!$C$18*J1384*(1-ASSUMPTIONS!$C$20)+ASSUMPTIONS!$C$18*ASSUMPTIONS!$C$21-ASSUMPTIONS!$C$18*ASSUMPTIONS!$C$22)*(1+H1384)*(1-((1+H1384)/(1+I1384))^5)/(I1384-H1384))+((ASSUMPTIONS!$C$18*J1384*(1-ASSUMPTIONS!$C$20)+ASSUMPTIONS!$C$18*ASSUMPTIONS!$C$21-ASSUMPTIONS!$C$18*ASSUMPTIONS!$C$22)*(1+H1384)^5*(1+K1384)/(I1384-K1384)/(1+I1384)^5)-DCF!$C$12)/ASSUMPTIONS!$C$7</f>
        <v/>
      </c>
    </row>
    <row r="1385">
      <c r="H1385" s="83">
        <f>_xlfn.NORM.INV(RAND(),AVERAGE(ASSUMPTIONS!$C$38,ASSUMPTIONS!$C$39,ASSUMPTIONS!$C$40,ASSUMPTIONS!$C$41,ASSUMPTIONS!$C$42),ASSUMPTIONS!$C$68)</f>
        <v/>
      </c>
      <c r="I1385" s="83">
        <f>MAX(_xlfn.NORM.INV(RAND(),DCF!$C$11,ASSUMPTIONS!$C$69),K1385+0.005)</f>
        <v/>
      </c>
      <c r="J1385" s="83">
        <f>_xlfn.NORM.INV(RAND(),ASSUMPTIONS!$C$19,ASSUMPTIONS!$C$70)</f>
        <v/>
      </c>
      <c r="K1385" s="83">
        <f>_xlfn.NORM.INV(RAND(),ASSUMPTIONS!$C$43,ASSUMPTIONS!$C$71)</f>
        <v/>
      </c>
      <c r="L1385" s="84">
        <f>(((ASSUMPTIONS!$C$18*J1385*(1-ASSUMPTIONS!$C$20)+ASSUMPTIONS!$C$18*ASSUMPTIONS!$C$21-ASSUMPTIONS!$C$18*ASSUMPTIONS!$C$22)*(1+H1385)*(1-((1+H1385)/(1+I1385))^5)/(I1385-H1385))+((ASSUMPTIONS!$C$18*J1385*(1-ASSUMPTIONS!$C$20)+ASSUMPTIONS!$C$18*ASSUMPTIONS!$C$21-ASSUMPTIONS!$C$18*ASSUMPTIONS!$C$22)*(1+H1385)^5*(1+K1385)/(I1385-K1385)/(1+I1385)^5)-DCF!$C$12)/ASSUMPTIONS!$C$7</f>
        <v/>
      </c>
    </row>
    <row r="1386">
      <c r="H1386" s="83">
        <f>_xlfn.NORM.INV(RAND(),AVERAGE(ASSUMPTIONS!$C$38,ASSUMPTIONS!$C$39,ASSUMPTIONS!$C$40,ASSUMPTIONS!$C$41,ASSUMPTIONS!$C$42),ASSUMPTIONS!$C$68)</f>
        <v/>
      </c>
      <c r="I1386" s="83">
        <f>MAX(_xlfn.NORM.INV(RAND(),DCF!$C$11,ASSUMPTIONS!$C$69),K1386+0.005)</f>
        <v/>
      </c>
      <c r="J1386" s="83">
        <f>_xlfn.NORM.INV(RAND(),ASSUMPTIONS!$C$19,ASSUMPTIONS!$C$70)</f>
        <v/>
      </c>
      <c r="K1386" s="83">
        <f>_xlfn.NORM.INV(RAND(),ASSUMPTIONS!$C$43,ASSUMPTIONS!$C$71)</f>
        <v/>
      </c>
      <c r="L1386" s="84">
        <f>(((ASSUMPTIONS!$C$18*J1386*(1-ASSUMPTIONS!$C$20)+ASSUMPTIONS!$C$18*ASSUMPTIONS!$C$21-ASSUMPTIONS!$C$18*ASSUMPTIONS!$C$22)*(1+H1386)*(1-((1+H1386)/(1+I1386))^5)/(I1386-H1386))+((ASSUMPTIONS!$C$18*J1386*(1-ASSUMPTIONS!$C$20)+ASSUMPTIONS!$C$18*ASSUMPTIONS!$C$21-ASSUMPTIONS!$C$18*ASSUMPTIONS!$C$22)*(1+H1386)^5*(1+K1386)/(I1386-K1386)/(1+I1386)^5)-DCF!$C$12)/ASSUMPTIONS!$C$7</f>
        <v/>
      </c>
    </row>
    <row r="1387">
      <c r="H1387" s="83">
        <f>_xlfn.NORM.INV(RAND(),AVERAGE(ASSUMPTIONS!$C$38,ASSUMPTIONS!$C$39,ASSUMPTIONS!$C$40,ASSUMPTIONS!$C$41,ASSUMPTIONS!$C$42),ASSUMPTIONS!$C$68)</f>
        <v/>
      </c>
      <c r="I1387" s="83">
        <f>MAX(_xlfn.NORM.INV(RAND(),DCF!$C$11,ASSUMPTIONS!$C$69),K1387+0.005)</f>
        <v/>
      </c>
      <c r="J1387" s="83">
        <f>_xlfn.NORM.INV(RAND(),ASSUMPTIONS!$C$19,ASSUMPTIONS!$C$70)</f>
        <v/>
      </c>
      <c r="K1387" s="83">
        <f>_xlfn.NORM.INV(RAND(),ASSUMPTIONS!$C$43,ASSUMPTIONS!$C$71)</f>
        <v/>
      </c>
      <c r="L1387" s="84">
        <f>(((ASSUMPTIONS!$C$18*J1387*(1-ASSUMPTIONS!$C$20)+ASSUMPTIONS!$C$18*ASSUMPTIONS!$C$21-ASSUMPTIONS!$C$18*ASSUMPTIONS!$C$22)*(1+H1387)*(1-((1+H1387)/(1+I1387))^5)/(I1387-H1387))+((ASSUMPTIONS!$C$18*J1387*(1-ASSUMPTIONS!$C$20)+ASSUMPTIONS!$C$18*ASSUMPTIONS!$C$21-ASSUMPTIONS!$C$18*ASSUMPTIONS!$C$22)*(1+H1387)^5*(1+K1387)/(I1387-K1387)/(1+I1387)^5)-DCF!$C$12)/ASSUMPTIONS!$C$7</f>
        <v/>
      </c>
    </row>
    <row r="1388">
      <c r="H1388" s="83">
        <f>_xlfn.NORM.INV(RAND(),AVERAGE(ASSUMPTIONS!$C$38,ASSUMPTIONS!$C$39,ASSUMPTIONS!$C$40,ASSUMPTIONS!$C$41,ASSUMPTIONS!$C$42),ASSUMPTIONS!$C$68)</f>
        <v/>
      </c>
      <c r="I1388" s="83">
        <f>MAX(_xlfn.NORM.INV(RAND(),DCF!$C$11,ASSUMPTIONS!$C$69),K1388+0.005)</f>
        <v/>
      </c>
      <c r="J1388" s="83">
        <f>_xlfn.NORM.INV(RAND(),ASSUMPTIONS!$C$19,ASSUMPTIONS!$C$70)</f>
        <v/>
      </c>
      <c r="K1388" s="83">
        <f>_xlfn.NORM.INV(RAND(),ASSUMPTIONS!$C$43,ASSUMPTIONS!$C$71)</f>
        <v/>
      </c>
      <c r="L1388" s="84">
        <f>(((ASSUMPTIONS!$C$18*J1388*(1-ASSUMPTIONS!$C$20)+ASSUMPTIONS!$C$18*ASSUMPTIONS!$C$21-ASSUMPTIONS!$C$18*ASSUMPTIONS!$C$22)*(1+H1388)*(1-((1+H1388)/(1+I1388))^5)/(I1388-H1388))+((ASSUMPTIONS!$C$18*J1388*(1-ASSUMPTIONS!$C$20)+ASSUMPTIONS!$C$18*ASSUMPTIONS!$C$21-ASSUMPTIONS!$C$18*ASSUMPTIONS!$C$22)*(1+H1388)^5*(1+K1388)/(I1388-K1388)/(1+I1388)^5)-DCF!$C$12)/ASSUMPTIONS!$C$7</f>
        <v/>
      </c>
    </row>
    <row r="1389">
      <c r="H1389" s="83">
        <f>_xlfn.NORM.INV(RAND(),AVERAGE(ASSUMPTIONS!$C$38,ASSUMPTIONS!$C$39,ASSUMPTIONS!$C$40,ASSUMPTIONS!$C$41,ASSUMPTIONS!$C$42),ASSUMPTIONS!$C$68)</f>
        <v/>
      </c>
      <c r="I1389" s="83">
        <f>MAX(_xlfn.NORM.INV(RAND(),DCF!$C$11,ASSUMPTIONS!$C$69),K1389+0.005)</f>
        <v/>
      </c>
      <c r="J1389" s="83">
        <f>_xlfn.NORM.INV(RAND(),ASSUMPTIONS!$C$19,ASSUMPTIONS!$C$70)</f>
        <v/>
      </c>
      <c r="K1389" s="83">
        <f>_xlfn.NORM.INV(RAND(),ASSUMPTIONS!$C$43,ASSUMPTIONS!$C$71)</f>
        <v/>
      </c>
      <c r="L1389" s="84">
        <f>(((ASSUMPTIONS!$C$18*J1389*(1-ASSUMPTIONS!$C$20)+ASSUMPTIONS!$C$18*ASSUMPTIONS!$C$21-ASSUMPTIONS!$C$18*ASSUMPTIONS!$C$22)*(1+H1389)*(1-((1+H1389)/(1+I1389))^5)/(I1389-H1389))+((ASSUMPTIONS!$C$18*J1389*(1-ASSUMPTIONS!$C$20)+ASSUMPTIONS!$C$18*ASSUMPTIONS!$C$21-ASSUMPTIONS!$C$18*ASSUMPTIONS!$C$22)*(1+H1389)^5*(1+K1389)/(I1389-K1389)/(1+I1389)^5)-DCF!$C$12)/ASSUMPTIONS!$C$7</f>
        <v/>
      </c>
    </row>
    <row r="1390">
      <c r="H1390" s="83">
        <f>_xlfn.NORM.INV(RAND(),AVERAGE(ASSUMPTIONS!$C$38,ASSUMPTIONS!$C$39,ASSUMPTIONS!$C$40,ASSUMPTIONS!$C$41,ASSUMPTIONS!$C$42),ASSUMPTIONS!$C$68)</f>
        <v/>
      </c>
      <c r="I1390" s="83">
        <f>MAX(_xlfn.NORM.INV(RAND(),DCF!$C$11,ASSUMPTIONS!$C$69),K1390+0.005)</f>
        <v/>
      </c>
      <c r="J1390" s="83">
        <f>_xlfn.NORM.INV(RAND(),ASSUMPTIONS!$C$19,ASSUMPTIONS!$C$70)</f>
        <v/>
      </c>
      <c r="K1390" s="83">
        <f>_xlfn.NORM.INV(RAND(),ASSUMPTIONS!$C$43,ASSUMPTIONS!$C$71)</f>
        <v/>
      </c>
      <c r="L1390" s="84">
        <f>(((ASSUMPTIONS!$C$18*J1390*(1-ASSUMPTIONS!$C$20)+ASSUMPTIONS!$C$18*ASSUMPTIONS!$C$21-ASSUMPTIONS!$C$18*ASSUMPTIONS!$C$22)*(1+H1390)*(1-((1+H1390)/(1+I1390))^5)/(I1390-H1390))+((ASSUMPTIONS!$C$18*J1390*(1-ASSUMPTIONS!$C$20)+ASSUMPTIONS!$C$18*ASSUMPTIONS!$C$21-ASSUMPTIONS!$C$18*ASSUMPTIONS!$C$22)*(1+H1390)^5*(1+K1390)/(I1390-K1390)/(1+I1390)^5)-DCF!$C$12)/ASSUMPTIONS!$C$7</f>
        <v/>
      </c>
    </row>
    <row r="1391">
      <c r="H1391" s="83">
        <f>_xlfn.NORM.INV(RAND(),AVERAGE(ASSUMPTIONS!$C$38,ASSUMPTIONS!$C$39,ASSUMPTIONS!$C$40,ASSUMPTIONS!$C$41,ASSUMPTIONS!$C$42),ASSUMPTIONS!$C$68)</f>
        <v/>
      </c>
      <c r="I1391" s="83">
        <f>MAX(_xlfn.NORM.INV(RAND(),DCF!$C$11,ASSUMPTIONS!$C$69),K1391+0.005)</f>
        <v/>
      </c>
      <c r="J1391" s="83">
        <f>_xlfn.NORM.INV(RAND(),ASSUMPTIONS!$C$19,ASSUMPTIONS!$C$70)</f>
        <v/>
      </c>
      <c r="K1391" s="83">
        <f>_xlfn.NORM.INV(RAND(),ASSUMPTIONS!$C$43,ASSUMPTIONS!$C$71)</f>
        <v/>
      </c>
      <c r="L1391" s="84">
        <f>(((ASSUMPTIONS!$C$18*J1391*(1-ASSUMPTIONS!$C$20)+ASSUMPTIONS!$C$18*ASSUMPTIONS!$C$21-ASSUMPTIONS!$C$18*ASSUMPTIONS!$C$22)*(1+H1391)*(1-((1+H1391)/(1+I1391))^5)/(I1391-H1391))+((ASSUMPTIONS!$C$18*J1391*(1-ASSUMPTIONS!$C$20)+ASSUMPTIONS!$C$18*ASSUMPTIONS!$C$21-ASSUMPTIONS!$C$18*ASSUMPTIONS!$C$22)*(1+H1391)^5*(1+K1391)/(I1391-K1391)/(1+I1391)^5)-DCF!$C$12)/ASSUMPTIONS!$C$7</f>
        <v/>
      </c>
    </row>
    <row r="1392">
      <c r="H1392" s="83">
        <f>_xlfn.NORM.INV(RAND(),AVERAGE(ASSUMPTIONS!$C$38,ASSUMPTIONS!$C$39,ASSUMPTIONS!$C$40,ASSUMPTIONS!$C$41,ASSUMPTIONS!$C$42),ASSUMPTIONS!$C$68)</f>
        <v/>
      </c>
      <c r="I1392" s="83">
        <f>MAX(_xlfn.NORM.INV(RAND(),DCF!$C$11,ASSUMPTIONS!$C$69),K1392+0.005)</f>
        <v/>
      </c>
      <c r="J1392" s="83">
        <f>_xlfn.NORM.INV(RAND(),ASSUMPTIONS!$C$19,ASSUMPTIONS!$C$70)</f>
        <v/>
      </c>
      <c r="K1392" s="83">
        <f>_xlfn.NORM.INV(RAND(),ASSUMPTIONS!$C$43,ASSUMPTIONS!$C$71)</f>
        <v/>
      </c>
      <c r="L1392" s="84">
        <f>(((ASSUMPTIONS!$C$18*J1392*(1-ASSUMPTIONS!$C$20)+ASSUMPTIONS!$C$18*ASSUMPTIONS!$C$21-ASSUMPTIONS!$C$18*ASSUMPTIONS!$C$22)*(1+H1392)*(1-((1+H1392)/(1+I1392))^5)/(I1392-H1392))+((ASSUMPTIONS!$C$18*J1392*(1-ASSUMPTIONS!$C$20)+ASSUMPTIONS!$C$18*ASSUMPTIONS!$C$21-ASSUMPTIONS!$C$18*ASSUMPTIONS!$C$22)*(1+H1392)^5*(1+K1392)/(I1392-K1392)/(1+I1392)^5)-DCF!$C$12)/ASSUMPTIONS!$C$7</f>
        <v/>
      </c>
    </row>
    <row r="1393">
      <c r="H1393" s="83">
        <f>_xlfn.NORM.INV(RAND(),AVERAGE(ASSUMPTIONS!$C$38,ASSUMPTIONS!$C$39,ASSUMPTIONS!$C$40,ASSUMPTIONS!$C$41,ASSUMPTIONS!$C$42),ASSUMPTIONS!$C$68)</f>
        <v/>
      </c>
      <c r="I1393" s="83">
        <f>MAX(_xlfn.NORM.INV(RAND(),DCF!$C$11,ASSUMPTIONS!$C$69),K1393+0.005)</f>
        <v/>
      </c>
      <c r="J1393" s="83">
        <f>_xlfn.NORM.INV(RAND(),ASSUMPTIONS!$C$19,ASSUMPTIONS!$C$70)</f>
        <v/>
      </c>
      <c r="K1393" s="83">
        <f>_xlfn.NORM.INV(RAND(),ASSUMPTIONS!$C$43,ASSUMPTIONS!$C$71)</f>
        <v/>
      </c>
      <c r="L1393" s="84">
        <f>(((ASSUMPTIONS!$C$18*J1393*(1-ASSUMPTIONS!$C$20)+ASSUMPTIONS!$C$18*ASSUMPTIONS!$C$21-ASSUMPTIONS!$C$18*ASSUMPTIONS!$C$22)*(1+H1393)*(1-((1+H1393)/(1+I1393))^5)/(I1393-H1393))+((ASSUMPTIONS!$C$18*J1393*(1-ASSUMPTIONS!$C$20)+ASSUMPTIONS!$C$18*ASSUMPTIONS!$C$21-ASSUMPTIONS!$C$18*ASSUMPTIONS!$C$22)*(1+H1393)^5*(1+K1393)/(I1393-K1393)/(1+I1393)^5)-DCF!$C$12)/ASSUMPTIONS!$C$7</f>
        <v/>
      </c>
    </row>
    <row r="1394">
      <c r="H1394" s="83">
        <f>_xlfn.NORM.INV(RAND(),AVERAGE(ASSUMPTIONS!$C$38,ASSUMPTIONS!$C$39,ASSUMPTIONS!$C$40,ASSUMPTIONS!$C$41,ASSUMPTIONS!$C$42),ASSUMPTIONS!$C$68)</f>
        <v/>
      </c>
      <c r="I1394" s="83">
        <f>MAX(_xlfn.NORM.INV(RAND(),DCF!$C$11,ASSUMPTIONS!$C$69),K1394+0.005)</f>
        <v/>
      </c>
      <c r="J1394" s="83">
        <f>_xlfn.NORM.INV(RAND(),ASSUMPTIONS!$C$19,ASSUMPTIONS!$C$70)</f>
        <v/>
      </c>
      <c r="K1394" s="83">
        <f>_xlfn.NORM.INV(RAND(),ASSUMPTIONS!$C$43,ASSUMPTIONS!$C$71)</f>
        <v/>
      </c>
      <c r="L1394" s="84">
        <f>(((ASSUMPTIONS!$C$18*J1394*(1-ASSUMPTIONS!$C$20)+ASSUMPTIONS!$C$18*ASSUMPTIONS!$C$21-ASSUMPTIONS!$C$18*ASSUMPTIONS!$C$22)*(1+H1394)*(1-((1+H1394)/(1+I1394))^5)/(I1394-H1394))+((ASSUMPTIONS!$C$18*J1394*(1-ASSUMPTIONS!$C$20)+ASSUMPTIONS!$C$18*ASSUMPTIONS!$C$21-ASSUMPTIONS!$C$18*ASSUMPTIONS!$C$22)*(1+H1394)^5*(1+K1394)/(I1394-K1394)/(1+I1394)^5)-DCF!$C$12)/ASSUMPTIONS!$C$7</f>
        <v/>
      </c>
    </row>
    <row r="1395">
      <c r="H1395" s="83">
        <f>_xlfn.NORM.INV(RAND(),AVERAGE(ASSUMPTIONS!$C$38,ASSUMPTIONS!$C$39,ASSUMPTIONS!$C$40,ASSUMPTIONS!$C$41,ASSUMPTIONS!$C$42),ASSUMPTIONS!$C$68)</f>
        <v/>
      </c>
      <c r="I1395" s="83">
        <f>MAX(_xlfn.NORM.INV(RAND(),DCF!$C$11,ASSUMPTIONS!$C$69),K1395+0.005)</f>
        <v/>
      </c>
      <c r="J1395" s="83">
        <f>_xlfn.NORM.INV(RAND(),ASSUMPTIONS!$C$19,ASSUMPTIONS!$C$70)</f>
        <v/>
      </c>
      <c r="K1395" s="83">
        <f>_xlfn.NORM.INV(RAND(),ASSUMPTIONS!$C$43,ASSUMPTIONS!$C$71)</f>
        <v/>
      </c>
      <c r="L1395" s="84">
        <f>(((ASSUMPTIONS!$C$18*J1395*(1-ASSUMPTIONS!$C$20)+ASSUMPTIONS!$C$18*ASSUMPTIONS!$C$21-ASSUMPTIONS!$C$18*ASSUMPTIONS!$C$22)*(1+H1395)*(1-((1+H1395)/(1+I1395))^5)/(I1395-H1395))+((ASSUMPTIONS!$C$18*J1395*(1-ASSUMPTIONS!$C$20)+ASSUMPTIONS!$C$18*ASSUMPTIONS!$C$21-ASSUMPTIONS!$C$18*ASSUMPTIONS!$C$22)*(1+H1395)^5*(1+K1395)/(I1395-K1395)/(1+I1395)^5)-DCF!$C$12)/ASSUMPTIONS!$C$7</f>
        <v/>
      </c>
    </row>
    <row r="1396">
      <c r="H1396" s="83">
        <f>_xlfn.NORM.INV(RAND(),AVERAGE(ASSUMPTIONS!$C$38,ASSUMPTIONS!$C$39,ASSUMPTIONS!$C$40,ASSUMPTIONS!$C$41,ASSUMPTIONS!$C$42),ASSUMPTIONS!$C$68)</f>
        <v/>
      </c>
      <c r="I1396" s="83">
        <f>MAX(_xlfn.NORM.INV(RAND(),DCF!$C$11,ASSUMPTIONS!$C$69),K1396+0.005)</f>
        <v/>
      </c>
      <c r="J1396" s="83">
        <f>_xlfn.NORM.INV(RAND(),ASSUMPTIONS!$C$19,ASSUMPTIONS!$C$70)</f>
        <v/>
      </c>
      <c r="K1396" s="83">
        <f>_xlfn.NORM.INV(RAND(),ASSUMPTIONS!$C$43,ASSUMPTIONS!$C$71)</f>
        <v/>
      </c>
      <c r="L1396" s="84">
        <f>(((ASSUMPTIONS!$C$18*J1396*(1-ASSUMPTIONS!$C$20)+ASSUMPTIONS!$C$18*ASSUMPTIONS!$C$21-ASSUMPTIONS!$C$18*ASSUMPTIONS!$C$22)*(1+H1396)*(1-((1+H1396)/(1+I1396))^5)/(I1396-H1396))+((ASSUMPTIONS!$C$18*J1396*(1-ASSUMPTIONS!$C$20)+ASSUMPTIONS!$C$18*ASSUMPTIONS!$C$21-ASSUMPTIONS!$C$18*ASSUMPTIONS!$C$22)*(1+H1396)^5*(1+K1396)/(I1396-K1396)/(1+I1396)^5)-DCF!$C$12)/ASSUMPTIONS!$C$7</f>
        <v/>
      </c>
    </row>
    <row r="1397">
      <c r="H1397" s="83">
        <f>_xlfn.NORM.INV(RAND(),AVERAGE(ASSUMPTIONS!$C$38,ASSUMPTIONS!$C$39,ASSUMPTIONS!$C$40,ASSUMPTIONS!$C$41,ASSUMPTIONS!$C$42),ASSUMPTIONS!$C$68)</f>
        <v/>
      </c>
      <c r="I1397" s="83">
        <f>MAX(_xlfn.NORM.INV(RAND(),DCF!$C$11,ASSUMPTIONS!$C$69),K1397+0.005)</f>
        <v/>
      </c>
      <c r="J1397" s="83">
        <f>_xlfn.NORM.INV(RAND(),ASSUMPTIONS!$C$19,ASSUMPTIONS!$C$70)</f>
        <v/>
      </c>
      <c r="K1397" s="83">
        <f>_xlfn.NORM.INV(RAND(),ASSUMPTIONS!$C$43,ASSUMPTIONS!$C$71)</f>
        <v/>
      </c>
      <c r="L1397" s="84">
        <f>(((ASSUMPTIONS!$C$18*J1397*(1-ASSUMPTIONS!$C$20)+ASSUMPTIONS!$C$18*ASSUMPTIONS!$C$21-ASSUMPTIONS!$C$18*ASSUMPTIONS!$C$22)*(1+H1397)*(1-((1+H1397)/(1+I1397))^5)/(I1397-H1397))+((ASSUMPTIONS!$C$18*J1397*(1-ASSUMPTIONS!$C$20)+ASSUMPTIONS!$C$18*ASSUMPTIONS!$C$21-ASSUMPTIONS!$C$18*ASSUMPTIONS!$C$22)*(1+H1397)^5*(1+K1397)/(I1397-K1397)/(1+I1397)^5)-DCF!$C$12)/ASSUMPTIONS!$C$7</f>
        <v/>
      </c>
    </row>
    <row r="1398">
      <c r="H1398" s="83">
        <f>_xlfn.NORM.INV(RAND(),AVERAGE(ASSUMPTIONS!$C$38,ASSUMPTIONS!$C$39,ASSUMPTIONS!$C$40,ASSUMPTIONS!$C$41,ASSUMPTIONS!$C$42),ASSUMPTIONS!$C$68)</f>
        <v/>
      </c>
      <c r="I1398" s="83">
        <f>MAX(_xlfn.NORM.INV(RAND(),DCF!$C$11,ASSUMPTIONS!$C$69),K1398+0.005)</f>
        <v/>
      </c>
      <c r="J1398" s="83">
        <f>_xlfn.NORM.INV(RAND(),ASSUMPTIONS!$C$19,ASSUMPTIONS!$C$70)</f>
        <v/>
      </c>
      <c r="K1398" s="83">
        <f>_xlfn.NORM.INV(RAND(),ASSUMPTIONS!$C$43,ASSUMPTIONS!$C$71)</f>
        <v/>
      </c>
      <c r="L1398" s="84">
        <f>(((ASSUMPTIONS!$C$18*J1398*(1-ASSUMPTIONS!$C$20)+ASSUMPTIONS!$C$18*ASSUMPTIONS!$C$21-ASSUMPTIONS!$C$18*ASSUMPTIONS!$C$22)*(1+H1398)*(1-((1+H1398)/(1+I1398))^5)/(I1398-H1398))+((ASSUMPTIONS!$C$18*J1398*(1-ASSUMPTIONS!$C$20)+ASSUMPTIONS!$C$18*ASSUMPTIONS!$C$21-ASSUMPTIONS!$C$18*ASSUMPTIONS!$C$22)*(1+H1398)^5*(1+K1398)/(I1398-K1398)/(1+I1398)^5)-DCF!$C$12)/ASSUMPTIONS!$C$7</f>
        <v/>
      </c>
    </row>
    <row r="1399">
      <c r="H1399" s="83">
        <f>_xlfn.NORM.INV(RAND(),AVERAGE(ASSUMPTIONS!$C$38,ASSUMPTIONS!$C$39,ASSUMPTIONS!$C$40,ASSUMPTIONS!$C$41,ASSUMPTIONS!$C$42),ASSUMPTIONS!$C$68)</f>
        <v/>
      </c>
      <c r="I1399" s="83">
        <f>MAX(_xlfn.NORM.INV(RAND(),DCF!$C$11,ASSUMPTIONS!$C$69),K1399+0.005)</f>
        <v/>
      </c>
      <c r="J1399" s="83">
        <f>_xlfn.NORM.INV(RAND(),ASSUMPTIONS!$C$19,ASSUMPTIONS!$C$70)</f>
        <v/>
      </c>
      <c r="K1399" s="83">
        <f>_xlfn.NORM.INV(RAND(),ASSUMPTIONS!$C$43,ASSUMPTIONS!$C$71)</f>
        <v/>
      </c>
      <c r="L1399" s="84">
        <f>(((ASSUMPTIONS!$C$18*J1399*(1-ASSUMPTIONS!$C$20)+ASSUMPTIONS!$C$18*ASSUMPTIONS!$C$21-ASSUMPTIONS!$C$18*ASSUMPTIONS!$C$22)*(1+H1399)*(1-((1+H1399)/(1+I1399))^5)/(I1399-H1399))+((ASSUMPTIONS!$C$18*J1399*(1-ASSUMPTIONS!$C$20)+ASSUMPTIONS!$C$18*ASSUMPTIONS!$C$21-ASSUMPTIONS!$C$18*ASSUMPTIONS!$C$22)*(1+H1399)^5*(1+K1399)/(I1399-K1399)/(1+I1399)^5)-DCF!$C$12)/ASSUMPTIONS!$C$7</f>
        <v/>
      </c>
    </row>
    <row r="1400">
      <c r="H1400" s="83">
        <f>_xlfn.NORM.INV(RAND(),AVERAGE(ASSUMPTIONS!$C$38,ASSUMPTIONS!$C$39,ASSUMPTIONS!$C$40,ASSUMPTIONS!$C$41,ASSUMPTIONS!$C$42),ASSUMPTIONS!$C$68)</f>
        <v/>
      </c>
      <c r="I1400" s="83">
        <f>MAX(_xlfn.NORM.INV(RAND(),DCF!$C$11,ASSUMPTIONS!$C$69),K1400+0.005)</f>
        <v/>
      </c>
      <c r="J1400" s="83">
        <f>_xlfn.NORM.INV(RAND(),ASSUMPTIONS!$C$19,ASSUMPTIONS!$C$70)</f>
        <v/>
      </c>
      <c r="K1400" s="83">
        <f>_xlfn.NORM.INV(RAND(),ASSUMPTIONS!$C$43,ASSUMPTIONS!$C$71)</f>
        <v/>
      </c>
      <c r="L1400" s="84">
        <f>(((ASSUMPTIONS!$C$18*J1400*(1-ASSUMPTIONS!$C$20)+ASSUMPTIONS!$C$18*ASSUMPTIONS!$C$21-ASSUMPTIONS!$C$18*ASSUMPTIONS!$C$22)*(1+H1400)*(1-((1+H1400)/(1+I1400))^5)/(I1400-H1400))+((ASSUMPTIONS!$C$18*J1400*(1-ASSUMPTIONS!$C$20)+ASSUMPTIONS!$C$18*ASSUMPTIONS!$C$21-ASSUMPTIONS!$C$18*ASSUMPTIONS!$C$22)*(1+H1400)^5*(1+K1400)/(I1400-K1400)/(1+I1400)^5)-DCF!$C$12)/ASSUMPTIONS!$C$7</f>
        <v/>
      </c>
    </row>
    <row r="1401">
      <c r="H1401" s="83">
        <f>_xlfn.NORM.INV(RAND(),AVERAGE(ASSUMPTIONS!$C$38,ASSUMPTIONS!$C$39,ASSUMPTIONS!$C$40,ASSUMPTIONS!$C$41,ASSUMPTIONS!$C$42),ASSUMPTIONS!$C$68)</f>
        <v/>
      </c>
      <c r="I1401" s="83">
        <f>MAX(_xlfn.NORM.INV(RAND(),DCF!$C$11,ASSUMPTIONS!$C$69),K1401+0.005)</f>
        <v/>
      </c>
      <c r="J1401" s="83">
        <f>_xlfn.NORM.INV(RAND(),ASSUMPTIONS!$C$19,ASSUMPTIONS!$C$70)</f>
        <v/>
      </c>
      <c r="K1401" s="83">
        <f>_xlfn.NORM.INV(RAND(),ASSUMPTIONS!$C$43,ASSUMPTIONS!$C$71)</f>
        <v/>
      </c>
      <c r="L1401" s="84">
        <f>(((ASSUMPTIONS!$C$18*J1401*(1-ASSUMPTIONS!$C$20)+ASSUMPTIONS!$C$18*ASSUMPTIONS!$C$21-ASSUMPTIONS!$C$18*ASSUMPTIONS!$C$22)*(1+H1401)*(1-((1+H1401)/(1+I1401))^5)/(I1401-H1401))+((ASSUMPTIONS!$C$18*J1401*(1-ASSUMPTIONS!$C$20)+ASSUMPTIONS!$C$18*ASSUMPTIONS!$C$21-ASSUMPTIONS!$C$18*ASSUMPTIONS!$C$22)*(1+H1401)^5*(1+K1401)/(I1401-K1401)/(1+I1401)^5)-DCF!$C$12)/ASSUMPTIONS!$C$7</f>
        <v/>
      </c>
    </row>
    <row r="1402">
      <c r="H1402" s="83">
        <f>_xlfn.NORM.INV(RAND(),AVERAGE(ASSUMPTIONS!$C$38,ASSUMPTIONS!$C$39,ASSUMPTIONS!$C$40,ASSUMPTIONS!$C$41,ASSUMPTIONS!$C$42),ASSUMPTIONS!$C$68)</f>
        <v/>
      </c>
      <c r="I1402" s="83">
        <f>MAX(_xlfn.NORM.INV(RAND(),DCF!$C$11,ASSUMPTIONS!$C$69),K1402+0.005)</f>
        <v/>
      </c>
      <c r="J1402" s="83">
        <f>_xlfn.NORM.INV(RAND(),ASSUMPTIONS!$C$19,ASSUMPTIONS!$C$70)</f>
        <v/>
      </c>
      <c r="K1402" s="83">
        <f>_xlfn.NORM.INV(RAND(),ASSUMPTIONS!$C$43,ASSUMPTIONS!$C$71)</f>
        <v/>
      </c>
      <c r="L1402" s="84">
        <f>(((ASSUMPTIONS!$C$18*J1402*(1-ASSUMPTIONS!$C$20)+ASSUMPTIONS!$C$18*ASSUMPTIONS!$C$21-ASSUMPTIONS!$C$18*ASSUMPTIONS!$C$22)*(1+H1402)*(1-((1+H1402)/(1+I1402))^5)/(I1402-H1402))+((ASSUMPTIONS!$C$18*J1402*(1-ASSUMPTIONS!$C$20)+ASSUMPTIONS!$C$18*ASSUMPTIONS!$C$21-ASSUMPTIONS!$C$18*ASSUMPTIONS!$C$22)*(1+H1402)^5*(1+K1402)/(I1402-K1402)/(1+I1402)^5)-DCF!$C$12)/ASSUMPTIONS!$C$7</f>
        <v/>
      </c>
    </row>
    <row r="1403">
      <c r="H1403" s="83">
        <f>_xlfn.NORM.INV(RAND(),AVERAGE(ASSUMPTIONS!$C$38,ASSUMPTIONS!$C$39,ASSUMPTIONS!$C$40,ASSUMPTIONS!$C$41,ASSUMPTIONS!$C$42),ASSUMPTIONS!$C$68)</f>
        <v/>
      </c>
      <c r="I1403" s="83">
        <f>MAX(_xlfn.NORM.INV(RAND(),DCF!$C$11,ASSUMPTIONS!$C$69),K1403+0.005)</f>
        <v/>
      </c>
      <c r="J1403" s="83">
        <f>_xlfn.NORM.INV(RAND(),ASSUMPTIONS!$C$19,ASSUMPTIONS!$C$70)</f>
        <v/>
      </c>
      <c r="K1403" s="83">
        <f>_xlfn.NORM.INV(RAND(),ASSUMPTIONS!$C$43,ASSUMPTIONS!$C$71)</f>
        <v/>
      </c>
      <c r="L1403" s="84">
        <f>(((ASSUMPTIONS!$C$18*J1403*(1-ASSUMPTIONS!$C$20)+ASSUMPTIONS!$C$18*ASSUMPTIONS!$C$21-ASSUMPTIONS!$C$18*ASSUMPTIONS!$C$22)*(1+H1403)*(1-((1+H1403)/(1+I1403))^5)/(I1403-H1403))+((ASSUMPTIONS!$C$18*J1403*(1-ASSUMPTIONS!$C$20)+ASSUMPTIONS!$C$18*ASSUMPTIONS!$C$21-ASSUMPTIONS!$C$18*ASSUMPTIONS!$C$22)*(1+H1403)^5*(1+K1403)/(I1403-K1403)/(1+I1403)^5)-DCF!$C$12)/ASSUMPTIONS!$C$7</f>
        <v/>
      </c>
    </row>
    <row r="1404">
      <c r="H1404" s="83">
        <f>_xlfn.NORM.INV(RAND(),AVERAGE(ASSUMPTIONS!$C$38,ASSUMPTIONS!$C$39,ASSUMPTIONS!$C$40,ASSUMPTIONS!$C$41,ASSUMPTIONS!$C$42),ASSUMPTIONS!$C$68)</f>
        <v/>
      </c>
      <c r="I1404" s="83">
        <f>MAX(_xlfn.NORM.INV(RAND(),DCF!$C$11,ASSUMPTIONS!$C$69),K1404+0.005)</f>
        <v/>
      </c>
      <c r="J1404" s="83">
        <f>_xlfn.NORM.INV(RAND(),ASSUMPTIONS!$C$19,ASSUMPTIONS!$C$70)</f>
        <v/>
      </c>
      <c r="K1404" s="83">
        <f>_xlfn.NORM.INV(RAND(),ASSUMPTIONS!$C$43,ASSUMPTIONS!$C$71)</f>
        <v/>
      </c>
      <c r="L1404" s="84">
        <f>(((ASSUMPTIONS!$C$18*J1404*(1-ASSUMPTIONS!$C$20)+ASSUMPTIONS!$C$18*ASSUMPTIONS!$C$21-ASSUMPTIONS!$C$18*ASSUMPTIONS!$C$22)*(1+H1404)*(1-((1+H1404)/(1+I1404))^5)/(I1404-H1404))+((ASSUMPTIONS!$C$18*J1404*(1-ASSUMPTIONS!$C$20)+ASSUMPTIONS!$C$18*ASSUMPTIONS!$C$21-ASSUMPTIONS!$C$18*ASSUMPTIONS!$C$22)*(1+H1404)^5*(1+K1404)/(I1404-K1404)/(1+I1404)^5)-DCF!$C$12)/ASSUMPTIONS!$C$7</f>
        <v/>
      </c>
    </row>
    <row r="1405">
      <c r="H1405" s="83">
        <f>_xlfn.NORM.INV(RAND(),AVERAGE(ASSUMPTIONS!$C$38,ASSUMPTIONS!$C$39,ASSUMPTIONS!$C$40,ASSUMPTIONS!$C$41,ASSUMPTIONS!$C$42),ASSUMPTIONS!$C$68)</f>
        <v/>
      </c>
      <c r="I1405" s="83">
        <f>MAX(_xlfn.NORM.INV(RAND(),DCF!$C$11,ASSUMPTIONS!$C$69),K1405+0.005)</f>
        <v/>
      </c>
      <c r="J1405" s="83">
        <f>_xlfn.NORM.INV(RAND(),ASSUMPTIONS!$C$19,ASSUMPTIONS!$C$70)</f>
        <v/>
      </c>
      <c r="K1405" s="83">
        <f>_xlfn.NORM.INV(RAND(),ASSUMPTIONS!$C$43,ASSUMPTIONS!$C$71)</f>
        <v/>
      </c>
      <c r="L1405" s="84">
        <f>(((ASSUMPTIONS!$C$18*J1405*(1-ASSUMPTIONS!$C$20)+ASSUMPTIONS!$C$18*ASSUMPTIONS!$C$21-ASSUMPTIONS!$C$18*ASSUMPTIONS!$C$22)*(1+H1405)*(1-((1+H1405)/(1+I1405))^5)/(I1405-H1405))+((ASSUMPTIONS!$C$18*J1405*(1-ASSUMPTIONS!$C$20)+ASSUMPTIONS!$C$18*ASSUMPTIONS!$C$21-ASSUMPTIONS!$C$18*ASSUMPTIONS!$C$22)*(1+H1405)^5*(1+K1405)/(I1405-K1405)/(1+I1405)^5)-DCF!$C$12)/ASSUMPTIONS!$C$7</f>
        <v/>
      </c>
    </row>
    <row r="1406">
      <c r="H1406" s="83">
        <f>_xlfn.NORM.INV(RAND(),AVERAGE(ASSUMPTIONS!$C$38,ASSUMPTIONS!$C$39,ASSUMPTIONS!$C$40,ASSUMPTIONS!$C$41,ASSUMPTIONS!$C$42),ASSUMPTIONS!$C$68)</f>
        <v/>
      </c>
      <c r="I1406" s="83">
        <f>MAX(_xlfn.NORM.INV(RAND(),DCF!$C$11,ASSUMPTIONS!$C$69),K1406+0.005)</f>
        <v/>
      </c>
      <c r="J1406" s="83">
        <f>_xlfn.NORM.INV(RAND(),ASSUMPTIONS!$C$19,ASSUMPTIONS!$C$70)</f>
        <v/>
      </c>
      <c r="K1406" s="83">
        <f>_xlfn.NORM.INV(RAND(),ASSUMPTIONS!$C$43,ASSUMPTIONS!$C$71)</f>
        <v/>
      </c>
      <c r="L1406" s="84">
        <f>(((ASSUMPTIONS!$C$18*J1406*(1-ASSUMPTIONS!$C$20)+ASSUMPTIONS!$C$18*ASSUMPTIONS!$C$21-ASSUMPTIONS!$C$18*ASSUMPTIONS!$C$22)*(1+H1406)*(1-((1+H1406)/(1+I1406))^5)/(I1406-H1406))+((ASSUMPTIONS!$C$18*J1406*(1-ASSUMPTIONS!$C$20)+ASSUMPTIONS!$C$18*ASSUMPTIONS!$C$21-ASSUMPTIONS!$C$18*ASSUMPTIONS!$C$22)*(1+H1406)^5*(1+K1406)/(I1406-K1406)/(1+I1406)^5)-DCF!$C$12)/ASSUMPTIONS!$C$7</f>
        <v/>
      </c>
    </row>
    <row r="1407">
      <c r="H1407" s="83">
        <f>_xlfn.NORM.INV(RAND(),AVERAGE(ASSUMPTIONS!$C$38,ASSUMPTIONS!$C$39,ASSUMPTIONS!$C$40,ASSUMPTIONS!$C$41,ASSUMPTIONS!$C$42),ASSUMPTIONS!$C$68)</f>
        <v/>
      </c>
      <c r="I1407" s="83">
        <f>MAX(_xlfn.NORM.INV(RAND(),DCF!$C$11,ASSUMPTIONS!$C$69),K1407+0.005)</f>
        <v/>
      </c>
      <c r="J1407" s="83">
        <f>_xlfn.NORM.INV(RAND(),ASSUMPTIONS!$C$19,ASSUMPTIONS!$C$70)</f>
        <v/>
      </c>
      <c r="K1407" s="83">
        <f>_xlfn.NORM.INV(RAND(),ASSUMPTIONS!$C$43,ASSUMPTIONS!$C$71)</f>
        <v/>
      </c>
      <c r="L1407" s="84">
        <f>(((ASSUMPTIONS!$C$18*J1407*(1-ASSUMPTIONS!$C$20)+ASSUMPTIONS!$C$18*ASSUMPTIONS!$C$21-ASSUMPTIONS!$C$18*ASSUMPTIONS!$C$22)*(1+H1407)*(1-((1+H1407)/(1+I1407))^5)/(I1407-H1407))+((ASSUMPTIONS!$C$18*J1407*(1-ASSUMPTIONS!$C$20)+ASSUMPTIONS!$C$18*ASSUMPTIONS!$C$21-ASSUMPTIONS!$C$18*ASSUMPTIONS!$C$22)*(1+H1407)^5*(1+K1407)/(I1407-K1407)/(1+I1407)^5)-DCF!$C$12)/ASSUMPTIONS!$C$7</f>
        <v/>
      </c>
    </row>
    <row r="1408">
      <c r="H1408" s="83">
        <f>_xlfn.NORM.INV(RAND(),AVERAGE(ASSUMPTIONS!$C$38,ASSUMPTIONS!$C$39,ASSUMPTIONS!$C$40,ASSUMPTIONS!$C$41,ASSUMPTIONS!$C$42),ASSUMPTIONS!$C$68)</f>
        <v/>
      </c>
      <c r="I1408" s="83">
        <f>MAX(_xlfn.NORM.INV(RAND(),DCF!$C$11,ASSUMPTIONS!$C$69),K1408+0.005)</f>
        <v/>
      </c>
      <c r="J1408" s="83">
        <f>_xlfn.NORM.INV(RAND(),ASSUMPTIONS!$C$19,ASSUMPTIONS!$C$70)</f>
        <v/>
      </c>
      <c r="K1408" s="83">
        <f>_xlfn.NORM.INV(RAND(),ASSUMPTIONS!$C$43,ASSUMPTIONS!$C$71)</f>
        <v/>
      </c>
      <c r="L1408" s="84">
        <f>(((ASSUMPTIONS!$C$18*J1408*(1-ASSUMPTIONS!$C$20)+ASSUMPTIONS!$C$18*ASSUMPTIONS!$C$21-ASSUMPTIONS!$C$18*ASSUMPTIONS!$C$22)*(1+H1408)*(1-((1+H1408)/(1+I1408))^5)/(I1408-H1408))+((ASSUMPTIONS!$C$18*J1408*(1-ASSUMPTIONS!$C$20)+ASSUMPTIONS!$C$18*ASSUMPTIONS!$C$21-ASSUMPTIONS!$C$18*ASSUMPTIONS!$C$22)*(1+H1408)^5*(1+K1408)/(I1408-K1408)/(1+I1408)^5)-DCF!$C$12)/ASSUMPTIONS!$C$7</f>
        <v/>
      </c>
    </row>
    <row r="1409">
      <c r="H1409" s="83">
        <f>_xlfn.NORM.INV(RAND(),AVERAGE(ASSUMPTIONS!$C$38,ASSUMPTIONS!$C$39,ASSUMPTIONS!$C$40,ASSUMPTIONS!$C$41,ASSUMPTIONS!$C$42),ASSUMPTIONS!$C$68)</f>
        <v/>
      </c>
      <c r="I1409" s="83">
        <f>MAX(_xlfn.NORM.INV(RAND(),DCF!$C$11,ASSUMPTIONS!$C$69),K1409+0.005)</f>
        <v/>
      </c>
      <c r="J1409" s="83">
        <f>_xlfn.NORM.INV(RAND(),ASSUMPTIONS!$C$19,ASSUMPTIONS!$C$70)</f>
        <v/>
      </c>
      <c r="K1409" s="83">
        <f>_xlfn.NORM.INV(RAND(),ASSUMPTIONS!$C$43,ASSUMPTIONS!$C$71)</f>
        <v/>
      </c>
      <c r="L1409" s="84">
        <f>(((ASSUMPTIONS!$C$18*J1409*(1-ASSUMPTIONS!$C$20)+ASSUMPTIONS!$C$18*ASSUMPTIONS!$C$21-ASSUMPTIONS!$C$18*ASSUMPTIONS!$C$22)*(1+H1409)*(1-((1+H1409)/(1+I1409))^5)/(I1409-H1409))+((ASSUMPTIONS!$C$18*J1409*(1-ASSUMPTIONS!$C$20)+ASSUMPTIONS!$C$18*ASSUMPTIONS!$C$21-ASSUMPTIONS!$C$18*ASSUMPTIONS!$C$22)*(1+H1409)^5*(1+K1409)/(I1409-K1409)/(1+I1409)^5)-DCF!$C$12)/ASSUMPTIONS!$C$7</f>
        <v/>
      </c>
    </row>
    <row r="1410">
      <c r="H1410" s="83">
        <f>_xlfn.NORM.INV(RAND(),AVERAGE(ASSUMPTIONS!$C$38,ASSUMPTIONS!$C$39,ASSUMPTIONS!$C$40,ASSUMPTIONS!$C$41,ASSUMPTIONS!$C$42),ASSUMPTIONS!$C$68)</f>
        <v/>
      </c>
      <c r="I1410" s="83">
        <f>MAX(_xlfn.NORM.INV(RAND(),DCF!$C$11,ASSUMPTIONS!$C$69),K1410+0.005)</f>
        <v/>
      </c>
      <c r="J1410" s="83">
        <f>_xlfn.NORM.INV(RAND(),ASSUMPTIONS!$C$19,ASSUMPTIONS!$C$70)</f>
        <v/>
      </c>
      <c r="K1410" s="83">
        <f>_xlfn.NORM.INV(RAND(),ASSUMPTIONS!$C$43,ASSUMPTIONS!$C$71)</f>
        <v/>
      </c>
      <c r="L1410" s="84">
        <f>(((ASSUMPTIONS!$C$18*J1410*(1-ASSUMPTIONS!$C$20)+ASSUMPTIONS!$C$18*ASSUMPTIONS!$C$21-ASSUMPTIONS!$C$18*ASSUMPTIONS!$C$22)*(1+H1410)*(1-((1+H1410)/(1+I1410))^5)/(I1410-H1410))+((ASSUMPTIONS!$C$18*J1410*(1-ASSUMPTIONS!$C$20)+ASSUMPTIONS!$C$18*ASSUMPTIONS!$C$21-ASSUMPTIONS!$C$18*ASSUMPTIONS!$C$22)*(1+H1410)^5*(1+K1410)/(I1410-K1410)/(1+I1410)^5)-DCF!$C$12)/ASSUMPTIONS!$C$7</f>
        <v/>
      </c>
    </row>
    <row r="1411">
      <c r="H1411" s="83">
        <f>_xlfn.NORM.INV(RAND(),AVERAGE(ASSUMPTIONS!$C$38,ASSUMPTIONS!$C$39,ASSUMPTIONS!$C$40,ASSUMPTIONS!$C$41,ASSUMPTIONS!$C$42),ASSUMPTIONS!$C$68)</f>
        <v/>
      </c>
      <c r="I1411" s="83">
        <f>MAX(_xlfn.NORM.INV(RAND(),DCF!$C$11,ASSUMPTIONS!$C$69),K1411+0.005)</f>
        <v/>
      </c>
      <c r="J1411" s="83">
        <f>_xlfn.NORM.INV(RAND(),ASSUMPTIONS!$C$19,ASSUMPTIONS!$C$70)</f>
        <v/>
      </c>
      <c r="K1411" s="83">
        <f>_xlfn.NORM.INV(RAND(),ASSUMPTIONS!$C$43,ASSUMPTIONS!$C$71)</f>
        <v/>
      </c>
      <c r="L1411" s="84">
        <f>(((ASSUMPTIONS!$C$18*J1411*(1-ASSUMPTIONS!$C$20)+ASSUMPTIONS!$C$18*ASSUMPTIONS!$C$21-ASSUMPTIONS!$C$18*ASSUMPTIONS!$C$22)*(1+H1411)*(1-((1+H1411)/(1+I1411))^5)/(I1411-H1411))+((ASSUMPTIONS!$C$18*J1411*(1-ASSUMPTIONS!$C$20)+ASSUMPTIONS!$C$18*ASSUMPTIONS!$C$21-ASSUMPTIONS!$C$18*ASSUMPTIONS!$C$22)*(1+H1411)^5*(1+K1411)/(I1411-K1411)/(1+I1411)^5)-DCF!$C$12)/ASSUMPTIONS!$C$7</f>
        <v/>
      </c>
    </row>
    <row r="1412">
      <c r="H1412" s="83">
        <f>_xlfn.NORM.INV(RAND(),AVERAGE(ASSUMPTIONS!$C$38,ASSUMPTIONS!$C$39,ASSUMPTIONS!$C$40,ASSUMPTIONS!$C$41,ASSUMPTIONS!$C$42),ASSUMPTIONS!$C$68)</f>
        <v/>
      </c>
      <c r="I1412" s="83">
        <f>MAX(_xlfn.NORM.INV(RAND(),DCF!$C$11,ASSUMPTIONS!$C$69),K1412+0.005)</f>
        <v/>
      </c>
      <c r="J1412" s="83">
        <f>_xlfn.NORM.INV(RAND(),ASSUMPTIONS!$C$19,ASSUMPTIONS!$C$70)</f>
        <v/>
      </c>
      <c r="K1412" s="83">
        <f>_xlfn.NORM.INV(RAND(),ASSUMPTIONS!$C$43,ASSUMPTIONS!$C$71)</f>
        <v/>
      </c>
      <c r="L1412" s="84">
        <f>(((ASSUMPTIONS!$C$18*J1412*(1-ASSUMPTIONS!$C$20)+ASSUMPTIONS!$C$18*ASSUMPTIONS!$C$21-ASSUMPTIONS!$C$18*ASSUMPTIONS!$C$22)*(1+H1412)*(1-((1+H1412)/(1+I1412))^5)/(I1412-H1412))+((ASSUMPTIONS!$C$18*J1412*(1-ASSUMPTIONS!$C$20)+ASSUMPTIONS!$C$18*ASSUMPTIONS!$C$21-ASSUMPTIONS!$C$18*ASSUMPTIONS!$C$22)*(1+H1412)^5*(1+K1412)/(I1412-K1412)/(1+I1412)^5)-DCF!$C$12)/ASSUMPTIONS!$C$7</f>
        <v/>
      </c>
    </row>
    <row r="1413">
      <c r="H1413" s="83">
        <f>_xlfn.NORM.INV(RAND(),AVERAGE(ASSUMPTIONS!$C$38,ASSUMPTIONS!$C$39,ASSUMPTIONS!$C$40,ASSUMPTIONS!$C$41,ASSUMPTIONS!$C$42),ASSUMPTIONS!$C$68)</f>
        <v/>
      </c>
      <c r="I1413" s="83">
        <f>MAX(_xlfn.NORM.INV(RAND(),DCF!$C$11,ASSUMPTIONS!$C$69),K1413+0.005)</f>
        <v/>
      </c>
      <c r="J1413" s="83">
        <f>_xlfn.NORM.INV(RAND(),ASSUMPTIONS!$C$19,ASSUMPTIONS!$C$70)</f>
        <v/>
      </c>
      <c r="K1413" s="83">
        <f>_xlfn.NORM.INV(RAND(),ASSUMPTIONS!$C$43,ASSUMPTIONS!$C$71)</f>
        <v/>
      </c>
      <c r="L1413" s="84">
        <f>(((ASSUMPTIONS!$C$18*J1413*(1-ASSUMPTIONS!$C$20)+ASSUMPTIONS!$C$18*ASSUMPTIONS!$C$21-ASSUMPTIONS!$C$18*ASSUMPTIONS!$C$22)*(1+H1413)*(1-((1+H1413)/(1+I1413))^5)/(I1413-H1413))+((ASSUMPTIONS!$C$18*J1413*(1-ASSUMPTIONS!$C$20)+ASSUMPTIONS!$C$18*ASSUMPTIONS!$C$21-ASSUMPTIONS!$C$18*ASSUMPTIONS!$C$22)*(1+H1413)^5*(1+K1413)/(I1413-K1413)/(1+I1413)^5)-DCF!$C$12)/ASSUMPTIONS!$C$7</f>
        <v/>
      </c>
    </row>
    <row r="1414">
      <c r="H1414" s="83">
        <f>_xlfn.NORM.INV(RAND(),AVERAGE(ASSUMPTIONS!$C$38,ASSUMPTIONS!$C$39,ASSUMPTIONS!$C$40,ASSUMPTIONS!$C$41,ASSUMPTIONS!$C$42),ASSUMPTIONS!$C$68)</f>
        <v/>
      </c>
      <c r="I1414" s="83">
        <f>MAX(_xlfn.NORM.INV(RAND(),DCF!$C$11,ASSUMPTIONS!$C$69),K1414+0.005)</f>
        <v/>
      </c>
      <c r="J1414" s="83">
        <f>_xlfn.NORM.INV(RAND(),ASSUMPTIONS!$C$19,ASSUMPTIONS!$C$70)</f>
        <v/>
      </c>
      <c r="K1414" s="83">
        <f>_xlfn.NORM.INV(RAND(),ASSUMPTIONS!$C$43,ASSUMPTIONS!$C$71)</f>
        <v/>
      </c>
      <c r="L1414" s="84">
        <f>(((ASSUMPTIONS!$C$18*J1414*(1-ASSUMPTIONS!$C$20)+ASSUMPTIONS!$C$18*ASSUMPTIONS!$C$21-ASSUMPTIONS!$C$18*ASSUMPTIONS!$C$22)*(1+H1414)*(1-((1+H1414)/(1+I1414))^5)/(I1414-H1414))+((ASSUMPTIONS!$C$18*J1414*(1-ASSUMPTIONS!$C$20)+ASSUMPTIONS!$C$18*ASSUMPTIONS!$C$21-ASSUMPTIONS!$C$18*ASSUMPTIONS!$C$22)*(1+H1414)^5*(1+K1414)/(I1414-K1414)/(1+I1414)^5)-DCF!$C$12)/ASSUMPTIONS!$C$7</f>
        <v/>
      </c>
    </row>
    <row r="1415">
      <c r="H1415" s="83">
        <f>_xlfn.NORM.INV(RAND(),AVERAGE(ASSUMPTIONS!$C$38,ASSUMPTIONS!$C$39,ASSUMPTIONS!$C$40,ASSUMPTIONS!$C$41,ASSUMPTIONS!$C$42),ASSUMPTIONS!$C$68)</f>
        <v/>
      </c>
      <c r="I1415" s="83">
        <f>MAX(_xlfn.NORM.INV(RAND(),DCF!$C$11,ASSUMPTIONS!$C$69),K1415+0.005)</f>
        <v/>
      </c>
      <c r="J1415" s="83">
        <f>_xlfn.NORM.INV(RAND(),ASSUMPTIONS!$C$19,ASSUMPTIONS!$C$70)</f>
        <v/>
      </c>
      <c r="K1415" s="83">
        <f>_xlfn.NORM.INV(RAND(),ASSUMPTIONS!$C$43,ASSUMPTIONS!$C$71)</f>
        <v/>
      </c>
      <c r="L1415" s="84">
        <f>(((ASSUMPTIONS!$C$18*J1415*(1-ASSUMPTIONS!$C$20)+ASSUMPTIONS!$C$18*ASSUMPTIONS!$C$21-ASSUMPTIONS!$C$18*ASSUMPTIONS!$C$22)*(1+H1415)*(1-((1+H1415)/(1+I1415))^5)/(I1415-H1415))+((ASSUMPTIONS!$C$18*J1415*(1-ASSUMPTIONS!$C$20)+ASSUMPTIONS!$C$18*ASSUMPTIONS!$C$21-ASSUMPTIONS!$C$18*ASSUMPTIONS!$C$22)*(1+H1415)^5*(1+K1415)/(I1415-K1415)/(1+I1415)^5)-DCF!$C$12)/ASSUMPTIONS!$C$7</f>
        <v/>
      </c>
    </row>
    <row r="1416">
      <c r="H1416" s="83">
        <f>_xlfn.NORM.INV(RAND(),AVERAGE(ASSUMPTIONS!$C$38,ASSUMPTIONS!$C$39,ASSUMPTIONS!$C$40,ASSUMPTIONS!$C$41,ASSUMPTIONS!$C$42),ASSUMPTIONS!$C$68)</f>
        <v/>
      </c>
      <c r="I1416" s="83">
        <f>MAX(_xlfn.NORM.INV(RAND(),DCF!$C$11,ASSUMPTIONS!$C$69),K1416+0.005)</f>
        <v/>
      </c>
      <c r="J1416" s="83">
        <f>_xlfn.NORM.INV(RAND(),ASSUMPTIONS!$C$19,ASSUMPTIONS!$C$70)</f>
        <v/>
      </c>
      <c r="K1416" s="83">
        <f>_xlfn.NORM.INV(RAND(),ASSUMPTIONS!$C$43,ASSUMPTIONS!$C$71)</f>
        <v/>
      </c>
      <c r="L1416" s="84">
        <f>(((ASSUMPTIONS!$C$18*J1416*(1-ASSUMPTIONS!$C$20)+ASSUMPTIONS!$C$18*ASSUMPTIONS!$C$21-ASSUMPTIONS!$C$18*ASSUMPTIONS!$C$22)*(1+H1416)*(1-((1+H1416)/(1+I1416))^5)/(I1416-H1416))+((ASSUMPTIONS!$C$18*J1416*(1-ASSUMPTIONS!$C$20)+ASSUMPTIONS!$C$18*ASSUMPTIONS!$C$21-ASSUMPTIONS!$C$18*ASSUMPTIONS!$C$22)*(1+H1416)^5*(1+K1416)/(I1416-K1416)/(1+I1416)^5)-DCF!$C$12)/ASSUMPTIONS!$C$7</f>
        <v/>
      </c>
    </row>
    <row r="1417">
      <c r="H1417" s="83">
        <f>_xlfn.NORM.INV(RAND(),AVERAGE(ASSUMPTIONS!$C$38,ASSUMPTIONS!$C$39,ASSUMPTIONS!$C$40,ASSUMPTIONS!$C$41,ASSUMPTIONS!$C$42),ASSUMPTIONS!$C$68)</f>
        <v/>
      </c>
      <c r="I1417" s="83">
        <f>MAX(_xlfn.NORM.INV(RAND(),DCF!$C$11,ASSUMPTIONS!$C$69),K1417+0.005)</f>
        <v/>
      </c>
      <c r="J1417" s="83">
        <f>_xlfn.NORM.INV(RAND(),ASSUMPTIONS!$C$19,ASSUMPTIONS!$C$70)</f>
        <v/>
      </c>
      <c r="K1417" s="83">
        <f>_xlfn.NORM.INV(RAND(),ASSUMPTIONS!$C$43,ASSUMPTIONS!$C$71)</f>
        <v/>
      </c>
      <c r="L1417" s="84">
        <f>(((ASSUMPTIONS!$C$18*J1417*(1-ASSUMPTIONS!$C$20)+ASSUMPTIONS!$C$18*ASSUMPTIONS!$C$21-ASSUMPTIONS!$C$18*ASSUMPTIONS!$C$22)*(1+H1417)*(1-((1+H1417)/(1+I1417))^5)/(I1417-H1417))+((ASSUMPTIONS!$C$18*J1417*(1-ASSUMPTIONS!$C$20)+ASSUMPTIONS!$C$18*ASSUMPTIONS!$C$21-ASSUMPTIONS!$C$18*ASSUMPTIONS!$C$22)*(1+H1417)^5*(1+K1417)/(I1417-K1417)/(1+I1417)^5)-DCF!$C$12)/ASSUMPTIONS!$C$7</f>
        <v/>
      </c>
    </row>
    <row r="1418">
      <c r="H1418" s="83">
        <f>_xlfn.NORM.INV(RAND(),AVERAGE(ASSUMPTIONS!$C$38,ASSUMPTIONS!$C$39,ASSUMPTIONS!$C$40,ASSUMPTIONS!$C$41,ASSUMPTIONS!$C$42),ASSUMPTIONS!$C$68)</f>
        <v/>
      </c>
      <c r="I1418" s="83">
        <f>MAX(_xlfn.NORM.INV(RAND(),DCF!$C$11,ASSUMPTIONS!$C$69),K1418+0.005)</f>
        <v/>
      </c>
      <c r="J1418" s="83">
        <f>_xlfn.NORM.INV(RAND(),ASSUMPTIONS!$C$19,ASSUMPTIONS!$C$70)</f>
        <v/>
      </c>
      <c r="K1418" s="83">
        <f>_xlfn.NORM.INV(RAND(),ASSUMPTIONS!$C$43,ASSUMPTIONS!$C$71)</f>
        <v/>
      </c>
      <c r="L1418" s="84">
        <f>(((ASSUMPTIONS!$C$18*J1418*(1-ASSUMPTIONS!$C$20)+ASSUMPTIONS!$C$18*ASSUMPTIONS!$C$21-ASSUMPTIONS!$C$18*ASSUMPTIONS!$C$22)*(1+H1418)*(1-((1+H1418)/(1+I1418))^5)/(I1418-H1418))+((ASSUMPTIONS!$C$18*J1418*(1-ASSUMPTIONS!$C$20)+ASSUMPTIONS!$C$18*ASSUMPTIONS!$C$21-ASSUMPTIONS!$C$18*ASSUMPTIONS!$C$22)*(1+H1418)^5*(1+K1418)/(I1418-K1418)/(1+I1418)^5)-DCF!$C$12)/ASSUMPTIONS!$C$7</f>
        <v/>
      </c>
    </row>
    <row r="1419">
      <c r="H1419" s="83">
        <f>_xlfn.NORM.INV(RAND(),AVERAGE(ASSUMPTIONS!$C$38,ASSUMPTIONS!$C$39,ASSUMPTIONS!$C$40,ASSUMPTIONS!$C$41,ASSUMPTIONS!$C$42),ASSUMPTIONS!$C$68)</f>
        <v/>
      </c>
      <c r="I1419" s="83">
        <f>MAX(_xlfn.NORM.INV(RAND(),DCF!$C$11,ASSUMPTIONS!$C$69),K1419+0.005)</f>
        <v/>
      </c>
      <c r="J1419" s="83">
        <f>_xlfn.NORM.INV(RAND(),ASSUMPTIONS!$C$19,ASSUMPTIONS!$C$70)</f>
        <v/>
      </c>
      <c r="K1419" s="83">
        <f>_xlfn.NORM.INV(RAND(),ASSUMPTIONS!$C$43,ASSUMPTIONS!$C$71)</f>
        <v/>
      </c>
      <c r="L1419" s="84">
        <f>(((ASSUMPTIONS!$C$18*J1419*(1-ASSUMPTIONS!$C$20)+ASSUMPTIONS!$C$18*ASSUMPTIONS!$C$21-ASSUMPTIONS!$C$18*ASSUMPTIONS!$C$22)*(1+H1419)*(1-((1+H1419)/(1+I1419))^5)/(I1419-H1419))+((ASSUMPTIONS!$C$18*J1419*(1-ASSUMPTIONS!$C$20)+ASSUMPTIONS!$C$18*ASSUMPTIONS!$C$21-ASSUMPTIONS!$C$18*ASSUMPTIONS!$C$22)*(1+H1419)^5*(1+K1419)/(I1419-K1419)/(1+I1419)^5)-DCF!$C$12)/ASSUMPTIONS!$C$7</f>
        <v/>
      </c>
    </row>
    <row r="1420">
      <c r="H1420" s="83">
        <f>_xlfn.NORM.INV(RAND(),AVERAGE(ASSUMPTIONS!$C$38,ASSUMPTIONS!$C$39,ASSUMPTIONS!$C$40,ASSUMPTIONS!$C$41,ASSUMPTIONS!$C$42),ASSUMPTIONS!$C$68)</f>
        <v/>
      </c>
      <c r="I1420" s="83">
        <f>MAX(_xlfn.NORM.INV(RAND(),DCF!$C$11,ASSUMPTIONS!$C$69),K1420+0.005)</f>
        <v/>
      </c>
      <c r="J1420" s="83">
        <f>_xlfn.NORM.INV(RAND(),ASSUMPTIONS!$C$19,ASSUMPTIONS!$C$70)</f>
        <v/>
      </c>
      <c r="K1420" s="83">
        <f>_xlfn.NORM.INV(RAND(),ASSUMPTIONS!$C$43,ASSUMPTIONS!$C$71)</f>
        <v/>
      </c>
      <c r="L1420" s="84">
        <f>(((ASSUMPTIONS!$C$18*J1420*(1-ASSUMPTIONS!$C$20)+ASSUMPTIONS!$C$18*ASSUMPTIONS!$C$21-ASSUMPTIONS!$C$18*ASSUMPTIONS!$C$22)*(1+H1420)*(1-((1+H1420)/(1+I1420))^5)/(I1420-H1420))+((ASSUMPTIONS!$C$18*J1420*(1-ASSUMPTIONS!$C$20)+ASSUMPTIONS!$C$18*ASSUMPTIONS!$C$21-ASSUMPTIONS!$C$18*ASSUMPTIONS!$C$22)*(1+H1420)^5*(1+K1420)/(I1420-K1420)/(1+I1420)^5)-DCF!$C$12)/ASSUMPTIONS!$C$7</f>
        <v/>
      </c>
    </row>
    <row r="1421">
      <c r="H1421" s="83">
        <f>_xlfn.NORM.INV(RAND(),AVERAGE(ASSUMPTIONS!$C$38,ASSUMPTIONS!$C$39,ASSUMPTIONS!$C$40,ASSUMPTIONS!$C$41,ASSUMPTIONS!$C$42),ASSUMPTIONS!$C$68)</f>
        <v/>
      </c>
      <c r="I1421" s="83">
        <f>MAX(_xlfn.NORM.INV(RAND(),DCF!$C$11,ASSUMPTIONS!$C$69),K1421+0.005)</f>
        <v/>
      </c>
      <c r="J1421" s="83">
        <f>_xlfn.NORM.INV(RAND(),ASSUMPTIONS!$C$19,ASSUMPTIONS!$C$70)</f>
        <v/>
      </c>
      <c r="K1421" s="83">
        <f>_xlfn.NORM.INV(RAND(),ASSUMPTIONS!$C$43,ASSUMPTIONS!$C$71)</f>
        <v/>
      </c>
      <c r="L1421" s="84">
        <f>(((ASSUMPTIONS!$C$18*J1421*(1-ASSUMPTIONS!$C$20)+ASSUMPTIONS!$C$18*ASSUMPTIONS!$C$21-ASSUMPTIONS!$C$18*ASSUMPTIONS!$C$22)*(1+H1421)*(1-((1+H1421)/(1+I1421))^5)/(I1421-H1421))+((ASSUMPTIONS!$C$18*J1421*(1-ASSUMPTIONS!$C$20)+ASSUMPTIONS!$C$18*ASSUMPTIONS!$C$21-ASSUMPTIONS!$C$18*ASSUMPTIONS!$C$22)*(1+H1421)^5*(1+K1421)/(I1421-K1421)/(1+I1421)^5)-DCF!$C$12)/ASSUMPTIONS!$C$7</f>
        <v/>
      </c>
    </row>
    <row r="1422">
      <c r="H1422" s="83">
        <f>_xlfn.NORM.INV(RAND(),AVERAGE(ASSUMPTIONS!$C$38,ASSUMPTIONS!$C$39,ASSUMPTIONS!$C$40,ASSUMPTIONS!$C$41,ASSUMPTIONS!$C$42),ASSUMPTIONS!$C$68)</f>
        <v/>
      </c>
      <c r="I1422" s="83">
        <f>MAX(_xlfn.NORM.INV(RAND(),DCF!$C$11,ASSUMPTIONS!$C$69),K1422+0.005)</f>
        <v/>
      </c>
      <c r="J1422" s="83">
        <f>_xlfn.NORM.INV(RAND(),ASSUMPTIONS!$C$19,ASSUMPTIONS!$C$70)</f>
        <v/>
      </c>
      <c r="K1422" s="83">
        <f>_xlfn.NORM.INV(RAND(),ASSUMPTIONS!$C$43,ASSUMPTIONS!$C$71)</f>
        <v/>
      </c>
      <c r="L1422" s="84">
        <f>(((ASSUMPTIONS!$C$18*J1422*(1-ASSUMPTIONS!$C$20)+ASSUMPTIONS!$C$18*ASSUMPTIONS!$C$21-ASSUMPTIONS!$C$18*ASSUMPTIONS!$C$22)*(1+H1422)*(1-((1+H1422)/(1+I1422))^5)/(I1422-H1422))+((ASSUMPTIONS!$C$18*J1422*(1-ASSUMPTIONS!$C$20)+ASSUMPTIONS!$C$18*ASSUMPTIONS!$C$21-ASSUMPTIONS!$C$18*ASSUMPTIONS!$C$22)*(1+H1422)^5*(1+K1422)/(I1422-K1422)/(1+I1422)^5)-DCF!$C$12)/ASSUMPTIONS!$C$7</f>
        <v/>
      </c>
    </row>
    <row r="1423">
      <c r="H1423" s="83">
        <f>_xlfn.NORM.INV(RAND(),AVERAGE(ASSUMPTIONS!$C$38,ASSUMPTIONS!$C$39,ASSUMPTIONS!$C$40,ASSUMPTIONS!$C$41,ASSUMPTIONS!$C$42),ASSUMPTIONS!$C$68)</f>
        <v/>
      </c>
      <c r="I1423" s="83">
        <f>MAX(_xlfn.NORM.INV(RAND(),DCF!$C$11,ASSUMPTIONS!$C$69),K1423+0.005)</f>
        <v/>
      </c>
      <c r="J1423" s="83">
        <f>_xlfn.NORM.INV(RAND(),ASSUMPTIONS!$C$19,ASSUMPTIONS!$C$70)</f>
        <v/>
      </c>
      <c r="K1423" s="83">
        <f>_xlfn.NORM.INV(RAND(),ASSUMPTIONS!$C$43,ASSUMPTIONS!$C$71)</f>
        <v/>
      </c>
      <c r="L1423" s="84">
        <f>(((ASSUMPTIONS!$C$18*J1423*(1-ASSUMPTIONS!$C$20)+ASSUMPTIONS!$C$18*ASSUMPTIONS!$C$21-ASSUMPTIONS!$C$18*ASSUMPTIONS!$C$22)*(1+H1423)*(1-((1+H1423)/(1+I1423))^5)/(I1423-H1423))+((ASSUMPTIONS!$C$18*J1423*(1-ASSUMPTIONS!$C$20)+ASSUMPTIONS!$C$18*ASSUMPTIONS!$C$21-ASSUMPTIONS!$C$18*ASSUMPTIONS!$C$22)*(1+H1423)^5*(1+K1423)/(I1423-K1423)/(1+I1423)^5)-DCF!$C$12)/ASSUMPTIONS!$C$7</f>
        <v/>
      </c>
    </row>
    <row r="1424">
      <c r="H1424" s="83">
        <f>_xlfn.NORM.INV(RAND(),AVERAGE(ASSUMPTIONS!$C$38,ASSUMPTIONS!$C$39,ASSUMPTIONS!$C$40,ASSUMPTIONS!$C$41,ASSUMPTIONS!$C$42),ASSUMPTIONS!$C$68)</f>
        <v/>
      </c>
      <c r="I1424" s="83">
        <f>MAX(_xlfn.NORM.INV(RAND(),DCF!$C$11,ASSUMPTIONS!$C$69),K1424+0.005)</f>
        <v/>
      </c>
      <c r="J1424" s="83">
        <f>_xlfn.NORM.INV(RAND(),ASSUMPTIONS!$C$19,ASSUMPTIONS!$C$70)</f>
        <v/>
      </c>
      <c r="K1424" s="83">
        <f>_xlfn.NORM.INV(RAND(),ASSUMPTIONS!$C$43,ASSUMPTIONS!$C$71)</f>
        <v/>
      </c>
      <c r="L1424" s="84">
        <f>(((ASSUMPTIONS!$C$18*J1424*(1-ASSUMPTIONS!$C$20)+ASSUMPTIONS!$C$18*ASSUMPTIONS!$C$21-ASSUMPTIONS!$C$18*ASSUMPTIONS!$C$22)*(1+H1424)*(1-((1+H1424)/(1+I1424))^5)/(I1424-H1424))+((ASSUMPTIONS!$C$18*J1424*(1-ASSUMPTIONS!$C$20)+ASSUMPTIONS!$C$18*ASSUMPTIONS!$C$21-ASSUMPTIONS!$C$18*ASSUMPTIONS!$C$22)*(1+H1424)^5*(1+K1424)/(I1424-K1424)/(1+I1424)^5)-DCF!$C$12)/ASSUMPTIONS!$C$7</f>
        <v/>
      </c>
    </row>
    <row r="1425">
      <c r="H1425" s="83">
        <f>_xlfn.NORM.INV(RAND(),AVERAGE(ASSUMPTIONS!$C$38,ASSUMPTIONS!$C$39,ASSUMPTIONS!$C$40,ASSUMPTIONS!$C$41,ASSUMPTIONS!$C$42),ASSUMPTIONS!$C$68)</f>
        <v/>
      </c>
      <c r="I1425" s="83">
        <f>MAX(_xlfn.NORM.INV(RAND(),DCF!$C$11,ASSUMPTIONS!$C$69),K1425+0.005)</f>
        <v/>
      </c>
      <c r="J1425" s="83">
        <f>_xlfn.NORM.INV(RAND(),ASSUMPTIONS!$C$19,ASSUMPTIONS!$C$70)</f>
        <v/>
      </c>
      <c r="K1425" s="83">
        <f>_xlfn.NORM.INV(RAND(),ASSUMPTIONS!$C$43,ASSUMPTIONS!$C$71)</f>
        <v/>
      </c>
      <c r="L1425" s="84">
        <f>(((ASSUMPTIONS!$C$18*J1425*(1-ASSUMPTIONS!$C$20)+ASSUMPTIONS!$C$18*ASSUMPTIONS!$C$21-ASSUMPTIONS!$C$18*ASSUMPTIONS!$C$22)*(1+H1425)*(1-((1+H1425)/(1+I1425))^5)/(I1425-H1425))+((ASSUMPTIONS!$C$18*J1425*(1-ASSUMPTIONS!$C$20)+ASSUMPTIONS!$C$18*ASSUMPTIONS!$C$21-ASSUMPTIONS!$C$18*ASSUMPTIONS!$C$22)*(1+H1425)^5*(1+K1425)/(I1425-K1425)/(1+I1425)^5)-DCF!$C$12)/ASSUMPTIONS!$C$7</f>
        <v/>
      </c>
    </row>
    <row r="1426">
      <c r="H1426" s="83">
        <f>_xlfn.NORM.INV(RAND(),AVERAGE(ASSUMPTIONS!$C$38,ASSUMPTIONS!$C$39,ASSUMPTIONS!$C$40,ASSUMPTIONS!$C$41,ASSUMPTIONS!$C$42),ASSUMPTIONS!$C$68)</f>
        <v/>
      </c>
      <c r="I1426" s="83">
        <f>MAX(_xlfn.NORM.INV(RAND(),DCF!$C$11,ASSUMPTIONS!$C$69),K1426+0.005)</f>
        <v/>
      </c>
      <c r="J1426" s="83">
        <f>_xlfn.NORM.INV(RAND(),ASSUMPTIONS!$C$19,ASSUMPTIONS!$C$70)</f>
        <v/>
      </c>
      <c r="K1426" s="83">
        <f>_xlfn.NORM.INV(RAND(),ASSUMPTIONS!$C$43,ASSUMPTIONS!$C$71)</f>
        <v/>
      </c>
      <c r="L1426" s="84">
        <f>(((ASSUMPTIONS!$C$18*J1426*(1-ASSUMPTIONS!$C$20)+ASSUMPTIONS!$C$18*ASSUMPTIONS!$C$21-ASSUMPTIONS!$C$18*ASSUMPTIONS!$C$22)*(1+H1426)*(1-((1+H1426)/(1+I1426))^5)/(I1426-H1426))+((ASSUMPTIONS!$C$18*J1426*(1-ASSUMPTIONS!$C$20)+ASSUMPTIONS!$C$18*ASSUMPTIONS!$C$21-ASSUMPTIONS!$C$18*ASSUMPTIONS!$C$22)*(1+H1426)^5*(1+K1426)/(I1426-K1426)/(1+I1426)^5)-DCF!$C$12)/ASSUMPTIONS!$C$7</f>
        <v/>
      </c>
    </row>
    <row r="1427">
      <c r="H1427" s="83">
        <f>_xlfn.NORM.INV(RAND(),AVERAGE(ASSUMPTIONS!$C$38,ASSUMPTIONS!$C$39,ASSUMPTIONS!$C$40,ASSUMPTIONS!$C$41,ASSUMPTIONS!$C$42),ASSUMPTIONS!$C$68)</f>
        <v/>
      </c>
      <c r="I1427" s="83">
        <f>MAX(_xlfn.NORM.INV(RAND(),DCF!$C$11,ASSUMPTIONS!$C$69),K1427+0.005)</f>
        <v/>
      </c>
      <c r="J1427" s="83">
        <f>_xlfn.NORM.INV(RAND(),ASSUMPTIONS!$C$19,ASSUMPTIONS!$C$70)</f>
        <v/>
      </c>
      <c r="K1427" s="83">
        <f>_xlfn.NORM.INV(RAND(),ASSUMPTIONS!$C$43,ASSUMPTIONS!$C$71)</f>
        <v/>
      </c>
      <c r="L1427" s="84">
        <f>(((ASSUMPTIONS!$C$18*J1427*(1-ASSUMPTIONS!$C$20)+ASSUMPTIONS!$C$18*ASSUMPTIONS!$C$21-ASSUMPTIONS!$C$18*ASSUMPTIONS!$C$22)*(1+H1427)*(1-((1+H1427)/(1+I1427))^5)/(I1427-H1427))+((ASSUMPTIONS!$C$18*J1427*(1-ASSUMPTIONS!$C$20)+ASSUMPTIONS!$C$18*ASSUMPTIONS!$C$21-ASSUMPTIONS!$C$18*ASSUMPTIONS!$C$22)*(1+H1427)^5*(1+K1427)/(I1427-K1427)/(1+I1427)^5)-DCF!$C$12)/ASSUMPTIONS!$C$7</f>
        <v/>
      </c>
    </row>
    <row r="1428">
      <c r="H1428" s="83">
        <f>_xlfn.NORM.INV(RAND(),AVERAGE(ASSUMPTIONS!$C$38,ASSUMPTIONS!$C$39,ASSUMPTIONS!$C$40,ASSUMPTIONS!$C$41,ASSUMPTIONS!$C$42),ASSUMPTIONS!$C$68)</f>
        <v/>
      </c>
      <c r="I1428" s="83">
        <f>MAX(_xlfn.NORM.INV(RAND(),DCF!$C$11,ASSUMPTIONS!$C$69),K1428+0.005)</f>
        <v/>
      </c>
      <c r="J1428" s="83">
        <f>_xlfn.NORM.INV(RAND(),ASSUMPTIONS!$C$19,ASSUMPTIONS!$C$70)</f>
        <v/>
      </c>
      <c r="K1428" s="83">
        <f>_xlfn.NORM.INV(RAND(),ASSUMPTIONS!$C$43,ASSUMPTIONS!$C$71)</f>
        <v/>
      </c>
      <c r="L1428" s="84">
        <f>(((ASSUMPTIONS!$C$18*J1428*(1-ASSUMPTIONS!$C$20)+ASSUMPTIONS!$C$18*ASSUMPTIONS!$C$21-ASSUMPTIONS!$C$18*ASSUMPTIONS!$C$22)*(1+H1428)*(1-((1+H1428)/(1+I1428))^5)/(I1428-H1428))+((ASSUMPTIONS!$C$18*J1428*(1-ASSUMPTIONS!$C$20)+ASSUMPTIONS!$C$18*ASSUMPTIONS!$C$21-ASSUMPTIONS!$C$18*ASSUMPTIONS!$C$22)*(1+H1428)^5*(1+K1428)/(I1428-K1428)/(1+I1428)^5)-DCF!$C$12)/ASSUMPTIONS!$C$7</f>
        <v/>
      </c>
    </row>
    <row r="1429">
      <c r="H1429" s="83">
        <f>_xlfn.NORM.INV(RAND(),AVERAGE(ASSUMPTIONS!$C$38,ASSUMPTIONS!$C$39,ASSUMPTIONS!$C$40,ASSUMPTIONS!$C$41,ASSUMPTIONS!$C$42),ASSUMPTIONS!$C$68)</f>
        <v/>
      </c>
      <c r="I1429" s="83">
        <f>MAX(_xlfn.NORM.INV(RAND(),DCF!$C$11,ASSUMPTIONS!$C$69),K1429+0.005)</f>
        <v/>
      </c>
      <c r="J1429" s="83">
        <f>_xlfn.NORM.INV(RAND(),ASSUMPTIONS!$C$19,ASSUMPTIONS!$C$70)</f>
        <v/>
      </c>
      <c r="K1429" s="83">
        <f>_xlfn.NORM.INV(RAND(),ASSUMPTIONS!$C$43,ASSUMPTIONS!$C$71)</f>
        <v/>
      </c>
      <c r="L1429" s="84">
        <f>(((ASSUMPTIONS!$C$18*J1429*(1-ASSUMPTIONS!$C$20)+ASSUMPTIONS!$C$18*ASSUMPTIONS!$C$21-ASSUMPTIONS!$C$18*ASSUMPTIONS!$C$22)*(1+H1429)*(1-((1+H1429)/(1+I1429))^5)/(I1429-H1429))+((ASSUMPTIONS!$C$18*J1429*(1-ASSUMPTIONS!$C$20)+ASSUMPTIONS!$C$18*ASSUMPTIONS!$C$21-ASSUMPTIONS!$C$18*ASSUMPTIONS!$C$22)*(1+H1429)^5*(1+K1429)/(I1429-K1429)/(1+I1429)^5)-DCF!$C$12)/ASSUMPTIONS!$C$7</f>
        <v/>
      </c>
    </row>
    <row r="1430">
      <c r="H1430" s="83">
        <f>_xlfn.NORM.INV(RAND(),AVERAGE(ASSUMPTIONS!$C$38,ASSUMPTIONS!$C$39,ASSUMPTIONS!$C$40,ASSUMPTIONS!$C$41,ASSUMPTIONS!$C$42),ASSUMPTIONS!$C$68)</f>
        <v/>
      </c>
      <c r="I1430" s="83">
        <f>MAX(_xlfn.NORM.INV(RAND(),DCF!$C$11,ASSUMPTIONS!$C$69),K1430+0.005)</f>
        <v/>
      </c>
      <c r="J1430" s="83">
        <f>_xlfn.NORM.INV(RAND(),ASSUMPTIONS!$C$19,ASSUMPTIONS!$C$70)</f>
        <v/>
      </c>
      <c r="K1430" s="83">
        <f>_xlfn.NORM.INV(RAND(),ASSUMPTIONS!$C$43,ASSUMPTIONS!$C$71)</f>
        <v/>
      </c>
      <c r="L1430" s="84">
        <f>(((ASSUMPTIONS!$C$18*J1430*(1-ASSUMPTIONS!$C$20)+ASSUMPTIONS!$C$18*ASSUMPTIONS!$C$21-ASSUMPTIONS!$C$18*ASSUMPTIONS!$C$22)*(1+H1430)*(1-((1+H1430)/(1+I1430))^5)/(I1430-H1430))+((ASSUMPTIONS!$C$18*J1430*(1-ASSUMPTIONS!$C$20)+ASSUMPTIONS!$C$18*ASSUMPTIONS!$C$21-ASSUMPTIONS!$C$18*ASSUMPTIONS!$C$22)*(1+H1430)^5*(1+K1430)/(I1430-K1430)/(1+I1430)^5)-DCF!$C$12)/ASSUMPTIONS!$C$7</f>
        <v/>
      </c>
    </row>
    <row r="1431">
      <c r="H1431" s="83">
        <f>_xlfn.NORM.INV(RAND(),AVERAGE(ASSUMPTIONS!$C$38,ASSUMPTIONS!$C$39,ASSUMPTIONS!$C$40,ASSUMPTIONS!$C$41,ASSUMPTIONS!$C$42),ASSUMPTIONS!$C$68)</f>
        <v/>
      </c>
      <c r="I1431" s="83">
        <f>MAX(_xlfn.NORM.INV(RAND(),DCF!$C$11,ASSUMPTIONS!$C$69),K1431+0.005)</f>
        <v/>
      </c>
      <c r="J1431" s="83">
        <f>_xlfn.NORM.INV(RAND(),ASSUMPTIONS!$C$19,ASSUMPTIONS!$C$70)</f>
        <v/>
      </c>
      <c r="K1431" s="83">
        <f>_xlfn.NORM.INV(RAND(),ASSUMPTIONS!$C$43,ASSUMPTIONS!$C$71)</f>
        <v/>
      </c>
      <c r="L1431" s="84">
        <f>(((ASSUMPTIONS!$C$18*J1431*(1-ASSUMPTIONS!$C$20)+ASSUMPTIONS!$C$18*ASSUMPTIONS!$C$21-ASSUMPTIONS!$C$18*ASSUMPTIONS!$C$22)*(1+H1431)*(1-((1+H1431)/(1+I1431))^5)/(I1431-H1431))+((ASSUMPTIONS!$C$18*J1431*(1-ASSUMPTIONS!$C$20)+ASSUMPTIONS!$C$18*ASSUMPTIONS!$C$21-ASSUMPTIONS!$C$18*ASSUMPTIONS!$C$22)*(1+H1431)^5*(1+K1431)/(I1431-K1431)/(1+I1431)^5)-DCF!$C$12)/ASSUMPTIONS!$C$7</f>
        <v/>
      </c>
    </row>
    <row r="1432">
      <c r="H1432" s="83">
        <f>_xlfn.NORM.INV(RAND(),AVERAGE(ASSUMPTIONS!$C$38,ASSUMPTIONS!$C$39,ASSUMPTIONS!$C$40,ASSUMPTIONS!$C$41,ASSUMPTIONS!$C$42),ASSUMPTIONS!$C$68)</f>
        <v/>
      </c>
      <c r="I1432" s="83">
        <f>MAX(_xlfn.NORM.INV(RAND(),DCF!$C$11,ASSUMPTIONS!$C$69),K1432+0.005)</f>
        <v/>
      </c>
      <c r="J1432" s="83">
        <f>_xlfn.NORM.INV(RAND(),ASSUMPTIONS!$C$19,ASSUMPTIONS!$C$70)</f>
        <v/>
      </c>
      <c r="K1432" s="83">
        <f>_xlfn.NORM.INV(RAND(),ASSUMPTIONS!$C$43,ASSUMPTIONS!$C$71)</f>
        <v/>
      </c>
      <c r="L1432" s="84">
        <f>(((ASSUMPTIONS!$C$18*J1432*(1-ASSUMPTIONS!$C$20)+ASSUMPTIONS!$C$18*ASSUMPTIONS!$C$21-ASSUMPTIONS!$C$18*ASSUMPTIONS!$C$22)*(1+H1432)*(1-((1+H1432)/(1+I1432))^5)/(I1432-H1432))+((ASSUMPTIONS!$C$18*J1432*(1-ASSUMPTIONS!$C$20)+ASSUMPTIONS!$C$18*ASSUMPTIONS!$C$21-ASSUMPTIONS!$C$18*ASSUMPTIONS!$C$22)*(1+H1432)^5*(1+K1432)/(I1432-K1432)/(1+I1432)^5)-DCF!$C$12)/ASSUMPTIONS!$C$7</f>
        <v/>
      </c>
    </row>
    <row r="1433">
      <c r="H1433" s="83">
        <f>_xlfn.NORM.INV(RAND(),AVERAGE(ASSUMPTIONS!$C$38,ASSUMPTIONS!$C$39,ASSUMPTIONS!$C$40,ASSUMPTIONS!$C$41,ASSUMPTIONS!$C$42),ASSUMPTIONS!$C$68)</f>
        <v/>
      </c>
      <c r="I1433" s="83">
        <f>MAX(_xlfn.NORM.INV(RAND(),DCF!$C$11,ASSUMPTIONS!$C$69),K1433+0.005)</f>
        <v/>
      </c>
      <c r="J1433" s="83">
        <f>_xlfn.NORM.INV(RAND(),ASSUMPTIONS!$C$19,ASSUMPTIONS!$C$70)</f>
        <v/>
      </c>
      <c r="K1433" s="83">
        <f>_xlfn.NORM.INV(RAND(),ASSUMPTIONS!$C$43,ASSUMPTIONS!$C$71)</f>
        <v/>
      </c>
      <c r="L1433" s="84">
        <f>(((ASSUMPTIONS!$C$18*J1433*(1-ASSUMPTIONS!$C$20)+ASSUMPTIONS!$C$18*ASSUMPTIONS!$C$21-ASSUMPTIONS!$C$18*ASSUMPTIONS!$C$22)*(1+H1433)*(1-((1+H1433)/(1+I1433))^5)/(I1433-H1433))+((ASSUMPTIONS!$C$18*J1433*(1-ASSUMPTIONS!$C$20)+ASSUMPTIONS!$C$18*ASSUMPTIONS!$C$21-ASSUMPTIONS!$C$18*ASSUMPTIONS!$C$22)*(1+H1433)^5*(1+K1433)/(I1433-K1433)/(1+I1433)^5)-DCF!$C$12)/ASSUMPTIONS!$C$7</f>
        <v/>
      </c>
    </row>
    <row r="1434">
      <c r="H1434" s="83">
        <f>_xlfn.NORM.INV(RAND(),AVERAGE(ASSUMPTIONS!$C$38,ASSUMPTIONS!$C$39,ASSUMPTIONS!$C$40,ASSUMPTIONS!$C$41,ASSUMPTIONS!$C$42),ASSUMPTIONS!$C$68)</f>
        <v/>
      </c>
      <c r="I1434" s="83">
        <f>MAX(_xlfn.NORM.INV(RAND(),DCF!$C$11,ASSUMPTIONS!$C$69),K1434+0.005)</f>
        <v/>
      </c>
      <c r="J1434" s="83">
        <f>_xlfn.NORM.INV(RAND(),ASSUMPTIONS!$C$19,ASSUMPTIONS!$C$70)</f>
        <v/>
      </c>
      <c r="K1434" s="83">
        <f>_xlfn.NORM.INV(RAND(),ASSUMPTIONS!$C$43,ASSUMPTIONS!$C$71)</f>
        <v/>
      </c>
      <c r="L1434" s="84">
        <f>(((ASSUMPTIONS!$C$18*J1434*(1-ASSUMPTIONS!$C$20)+ASSUMPTIONS!$C$18*ASSUMPTIONS!$C$21-ASSUMPTIONS!$C$18*ASSUMPTIONS!$C$22)*(1+H1434)*(1-((1+H1434)/(1+I1434))^5)/(I1434-H1434))+((ASSUMPTIONS!$C$18*J1434*(1-ASSUMPTIONS!$C$20)+ASSUMPTIONS!$C$18*ASSUMPTIONS!$C$21-ASSUMPTIONS!$C$18*ASSUMPTIONS!$C$22)*(1+H1434)^5*(1+K1434)/(I1434-K1434)/(1+I1434)^5)-DCF!$C$12)/ASSUMPTIONS!$C$7</f>
        <v/>
      </c>
    </row>
    <row r="1435">
      <c r="H1435" s="83">
        <f>_xlfn.NORM.INV(RAND(),AVERAGE(ASSUMPTIONS!$C$38,ASSUMPTIONS!$C$39,ASSUMPTIONS!$C$40,ASSUMPTIONS!$C$41,ASSUMPTIONS!$C$42),ASSUMPTIONS!$C$68)</f>
        <v/>
      </c>
      <c r="I1435" s="83">
        <f>MAX(_xlfn.NORM.INV(RAND(),DCF!$C$11,ASSUMPTIONS!$C$69),K1435+0.005)</f>
        <v/>
      </c>
      <c r="J1435" s="83">
        <f>_xlfn.NORM.INV(RAND(),ASSUMPTIONS!$C$19,ASSUMPTIONS!$C$70)</f>
        <v/>
      </c>
      <c r="K1435" s="83">
        <f>_xlfn.NORM.INV(RAND(),ASSUMPTIONS!$C$43,ASSUMPTIONS!$C$71)</f>
        <v/>
      </c>
      <c r="L1435" s="84">
        <f>(((ASSUMPTIONS!$C$18*J1435*(1-ASSUMPTIONS!$C$20)+ASSUMPTIONS!$C$18*ASSUMPTIONS!$C$21-ASSUMPTIONS!$C$18*ASSUMPTIONS!$C$22)*(1+H1435)*(1-((1+H1435)/(1+I1435))^5)/(I1435-H1435))+((ASSUMPTIONS!$C$18*J1435*(1-ASSUMPTIONS!$C$20)+ASSUMPTIONS!$C$18*ASSUMPTIONS!$C$21-ASSUMPTIONS!$C$18*ASSUMPTIONS!$C$22)*(1+H1435)^5*(1+K1435)/(I1435-K1435)/(1+I1435)^5)-DCF!$C$12)/ASSUMPTIONS!$C$7</f>
        <v/>
      </c>
    </row>
    <row r="1436">
      <c r="H1436" s="83">
        <f>_xlfn.NORM.INV(RAND(),AVERAGE(ASSUMPTIONS!$C$38,ASSUMPTIONS!$C$39,ASSUMPTIONS!$C$40,ASSUMPTIONS!$C$41,ASSUMPTIONS!$C$42),ASSUMPTIONS!$C$68)</f>
        <v/>
      </c>
      <c r="I1436" s="83">
        <f>MAX(_xlfn.NORM.INV(RAND(),DCF!$C$11,ASSUMPTIONS!$C$69),K1436+0.005)</f>
        <v/>
      </c>
      <c r="J1436" s="83">
        <f>_xlfn.NORM.INV(RAND(),ASSUMPTIONS!$C$19,ASSUMPTIONS!$C$70)</f>
        <v/>
      </c>
      <c r="K1436" s="83">
        <f>_xlfn.NORM.INV(RAND(),ASSUMPTIONS!$C$43,ASSUMPTIONS!$C$71)</f>
        <v/>
      </c>
      <c r="L1436" s="84">
        <f>(((ASSUMPTIONS!$C$18*J1436*(1-ASSUMPTIONS!$C$20)+ASSUMPTIONS!$C$18*ASSUMPTIONS!$C$21-ASSUMPTIONS!$C$18*ASSUMPTIONS!$C$22)*(1+H1436)*(1-((1+H1436)/(1+I1436))^5)/(I1436-H1436))+((ASSUMPTIONS!$C$18*J1436*(1-ASSUMPTIONS!$C$20)+ASSUMPTIONS!$C$18*ASSUMPTIONS!$C$21-ASSUMPTIONS!$C$18*ASSUMPTIONS!$C$22)*(1+H1436)^5*(1+K1436)/(I1436-K1436)/(1+I1436)^5)-DCF!$C$12)/ASSUMPTIONS!$C$7</f>
        <v/>
      </c>
    </row>
    <row r="1437">
      <c r="H1437" s="83">
        <f>_xlfn.NORM.INV(RAND(),AVERAGE(ASSUMPTIONS!$C$38,ASSUMPTIONS!$C$39,ASSUMPTIONS!$C$40,ASSUMPTIONS!$C$41,ASSUMPTIONS!$C$42),ASSUMPTIONS!$C$68)</f>
        <v/>
      </c>
      <c r="I1437" s="83">
        <f>MAX(_xlfn.NORM.INV(RAND(),DCF!$C$11,ASSUMPTIONS!$C$69),K1437+0.005)</f>
        <v/>
      </c>
      <c r="J1437" s="83">
        <f>_xlfn.NORM.INV(RAND(),ASSUMPTIONS!$C$19,ASSUMPTIONS!$C$70)</f>
        <v/>
      </c>
      <c r="K1437" s="83">
        <f>_xlfn.NORM.INV(RAND(),ASSUMPTIONS!$C$43,ASSUMPTIONS!$C$71)</f>
        <v/>
      </c>
      <c r="L1437" s="84">
        <f>(((ASSUMPTIONS!$C$18*J1437*(1-ASSUMPTIONS!$C$20)+ASSUMPTIONS!$C$18*ASSUMPTIONS!$C$21-ASSUMPTIONS!$C$18*ASSUMPTIONS!$C$22)*(1+H1437)*(1-((1+H1437)/(1+I1437))^5)/(I1437-H1437))+((ASSUMPTIONS!$C$18*J1437*(1-ASSUMPTIONS!$C$20)+ASSUMPTIONS!$C$18*ASSUMPTIONS!$C$21-ASSUMPTIONS!$C$18*ASSUMPTIONS!$C$22)*(1+H1437)^5*(1+K1437)/(I1437-K1437)/(1+I1437)^5)-DCF!$C$12)/ASSUMPTIONS!$C$7</f>
        <v/>
      </c>
    </row>
    <row r="1438">
      <c r="H1438" s="83">
        <f>_xlfn.NORM.INV(RAND(),AVERAGE(ASSUMPTIONS!$C$38,ASSUMPTIONS!$C$39,ASSUMPTIONS!$C$40,ASSUMPTIONS!$C$41,ASSUMPTIONS!$C$42),ASSUMPTIONS!$C$68)</f>
        <v/>
      </c>
      <c r="I1438" s="83">
        <f>MAX(_xlfn.NORM.INV(RAND(),DCF!$C$11,ASSUMPTIONS!$C$69),K1438+0.005)</f>
        <v/>
      </c>
      <c r="J1438" s="83">
        <f>_xlfn.NORM.INV(RAND(),ASSUMPTIONS!$C$19,ASSUMPTIONS!$C$70)</f>
        <v/>
      </c>
      <c r="K1438" s="83">
        <f>_xlfn.NORM.INV(RAND(),ASSUMPTIONS!$C$43,ASSUMPTIONS!$C$71)</f>
        <v/>
      </c>
      <c r="L1438" s="84">
        <f>(((ASSUMPTIONS!$C$18*J1438*(1-ASSUMPTIONS!$C$20)+ASSUMPTIONS!$C$18*ASSUMPTIONS!$C$21-ASSUMPTIONS!$C$18*ASSUMPTIONS!$C$22)*(1+H1438)*(1-((1+H1438)/(1+I1438))^5)/(I1438-H1438))+((ASSUMPTIONS!$C$18*J1438*(1-ASSUMPTIONS!$C$20)+ASSUMPTIONS!$C$18*ASSUMPTIONS!$C$21-ASSUMPTIONS!$C$18*ASSUMPTIONS!$C$22)*(1+H1438)^5*(1+K1438)/(I1438-K1438)/(1+I1438)^5)-DCF!$C$12)/ASSUMPTIONS!$C$7</f>
        <v/>
      </c>
    </row>
    <row r="1439">
      <c r="H1439" s="83">
        <f>_xlfn.NORM.INV(RAND(),AVERAGE(ASSUMPTIONS!$C$38,ASSUMPTIONS!$C$39,ASSUMPTIONS!$C$40,ASSUMPTIONS!$C$41,ASSUMPTIONS!$C$42),ASSUMPTIONS!$C$68)</f>
        <v/>
      </c>
      <c r="I1439" s="83">
        <f>MAX(_xlfn.NORM.INV(RAND(),DCF!$C$11,ASSUMPTIONS!$C$69),K1439+0.005)</f>
        <v/>
      </c>
      <c r="J1439" s="83">
        <f>_xlfn.NORM.INV(RAND(),ASSUMPTIONS!$C$19,ASSUMPTIONS!$C$70)</f>
        <v/>
      </c>
      <c r="K1439" s="83">
        <f>_xlfn.NORM.INV(RAND(),ASSUMPTIONS!$C$43,ASSUMPTIONS!$C$71)</f>
        <v/>
      </c>
      <c r="L1439" s="84">
        <f>(((ASSUMPTIONS!$C$18*J1439*(1-ASSUMPTIONS!$C$20)+ASSUMPTIONS!$C$18*ASSUMPTIONS!$C$21-ASSUMPTIONS!$C$18*ASSUMPTIONS!$C$22)*(1+H1439)*(1-((1+H1439)/(1+I1439))^5)/(I1439-H1439))+((ASSUMPTIONS!$C$18*J1439*(1-ASSUMPTIONS!$C$20)+ASSUMPTIONS!$C$18*ASSUMPTIONS!$C$21-ASSUMPTIONS!$C$18*ASSUMPTIONS!$C$22)*(1+H1439)^5*(1+K1439)/(I1439-K1439)/(1+I1439)^5)-DCF!$C$12)/ASSUMPTIONS!$C$7</f>
        <v/>
      </c>
    </row>
    <row r="1440">
      <c r="H1440" s="83">
        <f>_xlfn.NORM.INV(RAND(),AVERAGE(ASSUMPTIONS!$C$38,ASSUMPTIONS!$C$39,ASSUMPTIONS!$C$40,ASSUMPTIONS!$C$41,ASSUMPTIONS!$C$42),ASSUMPTIONS!$C$68)</f>
        <v/>
      </c>
      <c r="I1440" s="83">
        <f>MAX(_xlfn.NORM.INV(RAND(),DCF!$C$11,ASSUMPTIONS!$C$69),K1440+0.005)</f>
        <v/>
      </c>
      <c r="J1440" s="83">
        <f>_xlfn.NORM.INV(RAND(),ASSUMPTIONS!$C$19,ASSUMPTIONS!$C$70)</f>
        <v/>
      </c>
      <c r="K1440" s="83">
        <f>_xlfn.NORM.INV(RAND(),ASSUMPTIONS!$C$43,ASSUMPTIONS!$C$71)</f>
        <v/>
      </c>
      <c r="L1440" s="84">
        <f>(((ASSUMPTIONS!$C$18*J1440*(1-ASSUMPTIONS!$C$20)+ASSUMPTIONS!$C$18*ASSUMPTIONS!$C$21-ASSUMPTIONS!$C$18*ASSUMPTIONS!$C$22)*(1+H1440)*(1-((1+H1440)/(1+I1440))^5)/(I1440-H1440))+((ASSUMPTIONS!$C$18*J1440*(1-ASSUMPTIONS!$C$20)+ASSUMPTIONS!$C$18*ASSUMPTIONS!$C$21-ASSUMPTIONS!$C$18*ASSUMPTIONS!$C$22)*(1+H1440)^5*(1+K1440)/(I1440-K1440)/(1+I1440)^5)-DCF!$C$12)/ASSUMPTIONS!$C$7</f>
        <v/>
      </c>
    </row>
    <row r="1441">
      <c r="H1441" s="83">
        <f>_xlfn.NORM.INV(RAND(),AVERAGE(ASSUMPTIONS!$C$38,ASSUMPTIONS!$C$39,ASSUMPTIONS!$C$40,ASSUMPTIONS!$C$41,ASSUMPTIONS!$C$42),ASSUMPTIONS!$C$68)</f>
        <v/>
      </c>
      <c r="I1441" s="83">
        <f>MAX(_xlfn.NORM.INV(RAND(),DCF!$C$11,ASSUMPTIONS!$C$69),K1441+0.005)</f>
        <v/>
      </c>
      <c r="J1441" s="83">
        <f>_xlfn.NORM.INV(RAND(),ASSUMPTIONS!$C$19,ASSUMPTIONS!$C$70)</f>
        <v/>
      </c>
      <c r="K1441" s="83">
        <f>_xlfn.NORM.INV(RAND(),ASSUMPTIONS!$C$43,ASSUMPTIONS!$C$71)</f>
        <v/>
      </c>
      <c r="L1441" s="84">
        <f>(((ASSUMPTIONS!$C$18*J1441*(1-ASSUMPTIONS!$C$20)+ASSUMPTIONS!$C$18*ASSUMPTIONS!$C$21-ASSUMPTIONS!$C$18*ASSUMPTIONS!$C$22)*(1+H1441)*(1-((1+H1441)/(1+I1441))^5)/(I1441-H1441))+((ASSUMPTIONS!$C$18*J1441*(1-ASSUMPTIONS!$C$20)+ASSUMPTIONS!$C$18*ASSUMPTIONS!$C$21-ASSUMPTIONS!$C$18*ASSUMPTIONS!$C$22)*(1+H1441)^5*(1+K1441)/(I1441-K1441)/(1+I1441)^5)-DCF!$C$12)/ASSUMPTIONS!$C$7</f>
        <v/>
      </c>
    </row>
    <row r="1442">
      <c r="H1442" s="83">
        <f>_xlfn.NORM.INV(RAND(),AVERAGE(ASSUMPTIONS!$C$38,ASSUMPTIONS!$C$39,ASSUMPTIONS!$C$40,ASSUMPTIONS!$C$41,ASSUMPTIONS!$C$42),ASSUMPTIONS!$C$68)</f>
        <v/>
      </c>
      <c r="I1442" s="83">
        <f>MAX(_xlfn.NORM.INV(RAND(),DCF!$C$11,ASSUMPTIONS!$C$69),K1442+0.005)</f>
        <v/>
      </c>
      <c r="J1442" s="83">
        <f>_xlfn.NORM.INV(RAND(),ASSUMPTIONS!$C$19,ASSUMPTIONS!$C$70)</f>
        <v/>
      </c>
      <c r="K1442" s="83">
        <f>_xlfn.NORM.INV(RAND(),ASSUMPTIONS!$C$43,ASSUMPTIONS!$C$71)</f>
        <v/>
      </c>
      <c r="L1442" s="84">
        <f>(((ASSUMPTIONS!$C$18*J1442*(1-ASSUMPTIONS!$C$20)+ASSUMPTIONS!$C$18*ASSUMPTIONS!$C$21-ASSUMPTIONS!$C$18*ASSUMPTIONS!$C$22)*(1+H1442)*(1-((1+H1442)/(1+I1442))^5)/(I1442-H1442))+((ASSUMPTIONS!$C$18*J1442*(1-ASSUMPTIONS!$C$20)+ASSUMPTIONS!$C$18*ASSUMPTIONS!$C$21-ASSUMPTIONS!$C$18*ASSUMPTIONS!$C$22)*(1+H1442)^5*(1+K1442)/(I1442-K1442)/(1+I1442)^5)-DCF!$C$12)/ASSUMPTIONS!$C$7</f>
        <v/>
      </c>
    </row>
    <row r="1443">
      <c r="H1443" s="83">
        <f>_xlfn.NORM.INV(RAND(),AVERAGE(ASSUMPTIONS!$C$38,ASSUMPTIONS!$C$39,ASSUMPTIONS!$C$40,ASSUMPTIONS!$C$41,ASSUMPTIONS!$C$42),ASSUMPTIONS!$C$68)</f>
        <v/>
      </c>
      <c r="I1443" s="83">
        <f>MAX(_xlfn.NORM.INV(RAND(),DCF!$C$11,ASSUMPTIONS!$C$69),K1443+0.005)</f>
        <v/>
      </c>
      <c r="J1443" s="83">
        <f>_xlfn.NORM.INV(RAND(),ASSUMPTIONS!$C$19,ASSUMPTIONS!$C$70)</f>
        <v/>
      </c>
      <c r="K1443" s="83">
        <f>_xlfn.NORM.INV(RAND(),ASSUMPTIONS!$C$43,ASSUMPTIONS!$C$71)</f>
        <v/>
      </c>
      <c r="L1443" s="84">
        <f>(((ASSUMPTIONS!$C$18*J1443*(1-ASSUMPTIONS!$C$20)+ASSUMPTIONS!$C$18*ASSUMPTIONS!$C$21-ASSUMPTIONS!$C$18*ASSUMPTIONS!$C$22)*(1+H1443)*(1-((1+H1443)/(1+I1443))^5)/(I1443-H1443))+((ASSUMPTIONS!$C$18*J1443*(1-ASSUMPTIONS!$C$20)+ASSUMPTIONS!$C$18*ASSUMPTIONS!$C$21-ASSUMPTIONS!$C$18*ASSUMPTIONS!$C$22)*(1+H1443)^5*(1+K1443)/(I1443-K1443)/(1+I1443)^5)-DCF!$C$12)/ASSUMPTIONS!$C$7</f>
        <v/>
      </c>
    </row>
    <row r="1444">
      <c r="H1444" s="83">
        <f>_xlfn.NORM.INV(RAND(),AVERAGE(ASSUMPTIONS!$C$38,ASSUMPTIONS!$C$39,ASSUMPTIONS!$C$40,ASSUMPTIONS!$C$41,ASSUMPTIONS!$C$42),ASSUMPTIONS!$C$68)</f>
        <v/>
      </c>
      <c r="I1444" s="83">
        <f>MAX(_xlfn.NORM.INV(RAND(),DCF!$C$11,ASSUMPTIONS!$C$69),K1444+0.005)</f>
        <v/>
      </c>
      <c r="J1444" s="83">
        <f>_xlfn.NORM.INV(RAND(),ASSUMPTIONS!$C$19,ASSUMPTIONS!$C$70)</f>
        <v/>
      </c>
      <c r="K1444" s="83">
        <f>_xlfn.NORM.INV(RAND(),ASSUMPTIONS!$C$43,ASSUMPTIONS!$C$71)</f>
        <v/>
      </c>
      <c r="L1444" s="84">
        <f>(((ASSUMPTIONS!$C$18*J1444*(1-ASSUMPTIONS!$C$20)+ASSUMPTIONS!$C$18*ASSUMPTIONS!$C$21-ASSUMPTIONS!$C$18*ASSUMPTIONS!$C$22)*(1+H1444)*(1-((1+H1444)/(1+I1444))^5)/(I1444-H1444))+((ASSUMPTIONS!$C$18*J1444*(1-ASSUMPTIONS!$C$20)+ASSUMPTIONS!$C$18*ASSUMPTIONS!$C$21-ASSUMPTIONS!$C$18*ASSUMPTIONS!$C$22)*(1+H1444)^5*(1+K1444)/(I1444-K1444)/(1+I1444)^5)-DCF!$C$12)/ASSUMPTIONS!$C$7</f>
        <v/>
      </c>
    </row>
    <row r="1445">
      <c r="H1445" s="83">
        <f>_xlfn.NORM.INV(RAND(),AVERAGE(ASSUMPTIONS!$C$38,ASSUMPTIONS!$C$39,ASSUMPTIONS!$C$40,ASSUMPTIONS!$C$41,ASSUMPTIONS!$C$42),ASSUMPTIONS!$C$68)</f>
        <v/>
      </c>
      <c r="I1445" s="83">
        <f>MAX(_xlfn.NORM.INV(RAND(),DCF!$C$11,ASSUMPTIONS!$C$69),K1445+0.005)</f>
        <v/>
      </c>
      <c r="J1445" s="83">
        <f>_xlfn.NORM.INV(RAND(),ASSUMPTIONS!$C$19,ASSUMPTIONS!$C$70)</f>
        <v/>
      </c>
      <c r="K1445" s="83">
        <f>_xlfn.NORM.INV(RAND(),ASSUMPTIONS!$C$43,ASSUMPTIONS!$C$71)</f>
        <v/>
      </c>
      <c r="L1445" s="84">
        <f>(((ASSUMPTIONS!$C$18*J1445*(1-ASSUMPTIONS!$C$20)+ASSUMPTIONS!$C$18*ASSUMPTIONS!$C$21-ASSUMPTIONS!$C$18*ASSUMPTIONS!$C$22)*(1+H1445)*(1-((1+H1445)/(1+I1445))^5)/(I1445-H1445))+((ASSUMPTIONS!$C$18*J1445*(1-ASSUMPTIONS!$C$20)+ASSUMPTIONS!$C$18*ASSUMPTIONS!$C$21-ASSUMPTIONS!$C$18*ASSUMPTIONS!$C$22)*(1+H1445)^5*(1+K1445)/(I1445-K1445)/(1+I1445)^5)-DCF!$C$12)/ASSUMPTIONS!$C$7</f>
        <v/>
      </c>
    </row>
    <row r="1446">
      <c r="H1446" s="83">
        <f>_xlfn.NORM.INV(RAND(),AVERAGE(ASSUMPTIONS!$C$38,ASSUMPTIONS!$C$39,ASSUMPTIONS!$C$40,ASSUMPTIONS!$C$41,ASSUMPTIONS!$C$42),ASSUMPTIONS!$C$68)</f>
        <v/>
      </c>
      <c r="I1446" s="83">
        <f>MAX(_xlfn.NORM.INV(RAND(),DCF!$C$11,ASSUMPTIONS!$C$69),K1446+0.005)</f>
        <v/>
      </c>
      <c r="J1446" s="83">
        <f>_xlfn.NORM.INV(RAND(),ASSUMPTIONS!$C$19,ASSUMPTIONS!$C$70)</f>
        <v/>
      </c>
      <c r="K1446" s="83">
        <f>_xlfn.NORM.INV(RAND(),ASSUMPTIONS!$C$43,ASSUMPTIONS!$C$71)</f>
        <v/>
      </c>
      <c r="L1446" s="84">
        <f>(((ASSUMPTIONS!$C$18*J1446*(1-ASSUMPTIONS!$C$20)+ASSUMPTIONS!$C$18*ASSUMPTIONS!$C$21-ASSUMPTIONS!$C$18*ASSUMPTIONS!$C$22)*(1+H1446)*(1-((1+H1446)/(1+I1446))^5)/(I1446-H1446))+((ASSUMPTIONS!$C$18*J1446*(1-ASSUMPTIONS!$C$20)+ASSUMPTIONS!$C$18*ASSUMPTIONS!$C$21-ASSUMPTIONS!$C$18*ASSUMPTIONS!$C$22)*(1+H1446)^5*(1+K1446)/(I1446-K1446)/(1+I1446)^5)-DCF!$C$12)/ASSUMPTIONS!$C$7</f>
        <v/>
      </c>
    </row>
    <row r="1447">
      <c r="H1447" s="83">
        <f>_xlfn.NORM.INV(RAND(),AVERAGE(ASSUMPTIONS!$C$38,ASSUMPTIONS!$C$39,ASSUMPTIONS!$C$40,ASSUMPTIONS!$C$41,ASSUMPTIONS!$C$42),ASSUMPTIONS!$C$68)</f>
        <v/>
      </c>
      <c r="I1447" s="83">
        <f>MAX(_xlfn.NORM.INV(RAND(),DCF!$C$11,ASSUMPTIONS!$C$69),K1447+0.005)</f>
        <v/>
      </c>
      <c r="J1447" s="83">
        <f>_xlfn.NORM.INV(RAND(),ASSUMPTIONS!$C$19,ASSUMPTIONS!$C$70)</f>
        <v/>
      </c>
      <c r="K1447" s="83">
        <f>_xlfn.NORM.INV(RAND(),ASSUMPTIONS!$C$43,ASSUMPTIONS!$C$71)</f>
        <v/>
      </c>
      <c r="L1447" s="84">
        <f>(((ASSUMPTIONS!$C$18*J1447*(1-ASSUMPTIONS!$C$20)+ASSUMPTIONS!$C$18*ASSUMPTIONS!$C$21-ASSUMPTIONS!$C$18*ASSUMPTIONS!$C$22)*(1+H1447)*(1-((1+H1447)/(1+I1447))^5)/(I1447-H1447))+((ASSUMPTIONS!$C$18*J1447*(1-ASSUMPTIONS!$C$20)+ASSUMPTIONS!$C$18*ASSUMPTIONS!$C$21-ASSUMPTIONS!$C$18*ASSUMPTIONS!$C$22)*(1+H1447)^5*(1+K1447)/(I1447-K1447)/(1+I1447)^5)-DCF!$C$12)/ASSUMPTIONS!$C$7</f>
        <v/>
      </c>
    </row>
    <row r="1448">
      <c r="H1448" s="83">
        <f>_xlfn.NORM.INV(RAND(),AVERAGE(ASSUMPTIONS!$C$38,ASSUMPTIONS!$C$39,ASSUMPTIONS!$C$40,ASSUMPTIONS!$C$41,ASSUMPTIONS!$C$42),ASSUMPTIONS!$C$68)</f>
        <v/>
      </c>
      <c r="I1448" s="83">
        <f>MAX(_xlfn.NORM.INV(RAND(),DCF!$C$11,ASSUMPTIONS!$C$69),K1448+0.005)</f>
        <v/>
      </c>
      <c r="J1448" s="83">
        <f>_xlfn.NORM.INV(RAND(),ASSUMPTIONS!$C$19,ASSUMPTIONS!$C$70)</f>
        <v/>
      </c>
      <c r="K1448" s="83">
        <f>_xlfn.NORM.INV(RAND(),ASSUMPTIONS!$C$43,ASSUMPTIONS!$C$71)</f>
        <v/>
      </c>
      <c r="L1448" s="84">
        <f>(((ASSUMPTIONS!$C$18*J1448*(1-ASSUMPTIONS!$C$20)+ASSUMPTIONS!$C$18*ASSUMPTIONS!$C$21-ASSUMPTIONS!$C$18*ASSUMPTIONS!$C$22)*(1+H1448)*(1-((1+H1448)/(1+I1448))^5)/(I1448-H1448))+((ASSUMPTIONS!$C$18*J1448*(1-ASSUMPTIONS!$C$20)+ASSUMPTIONS!$C$18*ASSUMPTIONS!$C$21-ASSUMPTIONS!$C$18*ASSUMPTIONS!$C$22)*(1+H1448)^5*(1+K1448)/(I1448-K1448)/(1+I1448)^5)-DCF!$C$12)/ASSUMPTIONS!$C$7</f>
        <v/>
      </c>
    </row>
    <row r="1449">
      <c r="H1449" s="83">
        <f>_xlfn.NORM.INV(RAND(),AVERAGE(ASSUMPTIONS!$C$38,ASSUMPTIONS!$C$39,ASSUMPTIONS!$C$40,ASSUMPTIONS!$C$41,ASSUMPTIONS!$C$42),ASSUMPTIONS!$C$68)</f>
        <v/>
      </c>
      <c r="I1449" s="83">
        <f>MAX(_xlfn.NORM.INV(RAND(),DCF!$C$11,ASSUMPTIONS!$C$69),K1449+0.005)</f>
        <v/>
      </c>
      <c r="J1449" s="83">
        <f>_xlfn.NORM.INV(RAND(),ASSUMPTIONS!$C$19,ASSUMPTIONS!$C$70)</f>
        <v/>
      </c>
      <c r="K1449" s="83">
        <f>_xlfn.NORM.INV(RAND(),ASSUMPTIONS!$C$43,ASSUMPTIONS!$C$71)</f>
        <v/>
      </c>
      <c r="L1449" s="84">
        <f>(((ASSUMPTIONS!$C$18*J1449*(1-ASSUMPTIONS!$C$20)+ASSUMPTIONS!$C$18*ASSUMPTIONS!$C$21-ASSUMPTIONS!$C$18*ASSUMPTIONS!$C$22)*(1+H1449)*(1-((1+H1449)/(1+I1449))^5)/(I1449-H1449))+((ASSUMPTIONS!$C$18*J1449*(1-ASSUMPTIONS!$C$20)+ASSUMPTIONS!$C$18*ASSUMPTIONS!$C$21-ASSUMPTIONS!$C$18*ASSUMPTIONS!$C$22)*(1+H1449)^5*(1+K1449)/(I1449-K1449)/(1+I1449)^5)-DCF!$C$12)/ASSUMPTIONS!$C$7</f>
        <v/>
      </c>
    </row>
    <row r="1450">
      <c r="H1450" s="83">
        <f>_xlfn.NORM.INV(RAND(),AVERAGE(ASSUMPTIONS!$C$38,ASSUMPTIONS!$C$39,ASSUMPTIONS!$C$40,ASSUMPTIONS!$C$41,ASSUMPTIONS!$C$42),ASSUMPTIONS!$C$68)</f>
        <v/>
      </c>
      <c r="I1450" s="83">
        <f>MAX(_xlfn.NORM.INV(RAND(),DCF!$C$11,ASSUMPTIONS!$C$69),K1450+0.005)</f>
        <v/>
      </c>
      <c r="J1450" s="83">
        <f>_xlfn.NORM.INV(RAND(),ASSUMPTIONS!$C$19,ASSUMPTIONS!$C$70)</f>
        <v/>
      </c>
      <c r="K1450" s="83">
        <f>_xlfn.NORM.INV(RAND(),ASSUMPTIONS!$C$43,ASSUMPTIONS!$C$71)</f>
        <v/>
      </c>
      <c r="L1450" s="84">
        <f>(((ASSUMPTIONS!$C$18*J1450*(1-ASSUMPTIONS!$C$20)+ASSUMPTIONS!$C$18*ASSUMPTIONS!$C$21-ASSUMPTIONS!$C$18*ASSUMPTIONS!$C$22)*(1+H1450)*(1-((1+H1450)/(1+I1450))^5)/(I1450-H1450))+((ASSUMPTIONS!$C$18*J1450*(1-ASSUMPTIONS!$C$20)+ASSUMPTIONS!$C$18*ASSUMPTIONS!$C$21-ASSUMPTIONS!$C$18*ASSUMPTIONS!$C$22)*(1+H1450)^5*(1+K1450)/(I1450-K1450)/(1+I1450)^5)-DCF!$C$12)/ASSUMPTIONS!$C$7</f>
        <v/>
      </c>
    </row>
    <row r="1451">
      <c r="H1451" s="83">
        <f>_xlfn.NORM.INV(RAND(),AVERAGE(ASSUMPTIONS!$C$38,ASSUMPTIONS!$C$39,ASSUMPTIONS!$C$40,ASSUMPTIONS!$C$41,ASSUMPTIONS!$C$42),ASSUMPTIONS!$C$68)</f>
        <v/>
      </c>
      <c r="I1451" s="83">
        <f>MAX(_xlfn.NORM.INV(RAND(),DCF!$C$11,ASSUMPTIONS!$C$69),K1451+0.005)</f>
        <v/>
      </c>
      <c r="J1451" s="83">
        <f>_xlfn.NORM.INV(RAND(),ASSUMPTIONS!$C$19,ASSUMPTIONS!$C$70)</f>
        <v/>
      </c>
      <c r="K1451" s="83">
        <f>_xlfn.NORM.INV(RAND(),ASSUMPTIONS!$C$43,ASSUMPTIONS!$C$71)</f>
        <v/>
      </c>
      <c r="L1451" s="84">
        <f>(((ASSUMPTIONS!$C$18*J1451*(1-ASSUMPTIONS!$C$20)+ASSUMPTIONS!$C$18*ASSUMPTIONS!$C$21-ASSUMPTIONS!$C$18*ASSUMPTIONS!$C$22)*(1+H1451)*(1-((1+H1451)/(1+I1451))^5)/(I1451-H1451))+((ASSUMPTIONS!$C$18*J1451*(1-ASSUMPTIONS!$C$20)+ASSUMPTIONS!$C$18*ASSUMPTIONS!$C$21-ASSUMPTIONS!$C$18*ASSUMPTIONS!$C$22)*(1+H1451)^5*(1+K1451)/(I1451-K1451)/(1+I1451)^5)-DCF!$C$12)/ASSUMPTIONS!$C$7</f>
        <v/>
      </c>
    </row>
    <row r="1452">
      <c r="H1452" s="83">
        <f>_xlfn.NORM.INV(RAND(),AVERAGE(ASSUMPTIONS!$C$38,ASSUMPTIONS!$C$39,ASSUMPTIONS!$C$40,ASSUMPTIONS!$C$41,ASSUMPTIONS!$C$42),ASSUMPTIONS!$C$68)</f>
        <v/>
      </c>
      <c r="I1452" s="83">
        <f>MAX(_xlfn.NORM.INV(RAND(),DCF!$C$11,ASSUMPTIONS!$C$69),K1452+0.005)</f>
        <v/>
      </c>
      <c r="J1452" s="83">
        <f>_xlfn.NORM.INV(RAND(),ASSUMPTIONS!$C$19,ASSUMPTIONS!$C$70)</f>
        <v/>
      </c>
      <c r="K1452" s="83">
        <f>_xlfn.NORM.INV(RAND(),ASSUMPTIONS!$C$43,ASSUMPTIONS!$C$71)</f>
        <v/>
      </c>
      <c r="L1452" s="84">
        <f>(((ASSUMPTIONS!$C$18*J1452*(1-ASSUMPTIONS!$C$20)+ASSUMPTIONS!$C$18*ASSUMPTIONS!$C$21-ASSUMPTIONS!$C$18*ASSUMPTIONS!$C$22)*(1+H1452)*(1-((1+H1452)/(1+I1452))^5)/(I1452-H1452))+((ASSUMPTIONS!$C$18*J1452*(1-ASSUMPTIONS!$C$20)+ASSUMPTIONS!$C$18*ASSUMPTIONS!$C$21-ASSUMPTIONS!$C$18*ASSUMPTIONS!$C$22)*(1+H1452)^5*(1+K1452)/(I1452-K1452)/(1+I1452)^5)-DCF!$C$12)/ASSUMPTIONS!$C$7</f>
        <v/>
      </c>
    </row>
    <row r="1453">
      <c r="H1453" s="83">
        <f>_xlfn.NORM.INV(RAND(),AVERAGE(ASSUMPTIONS!$C$38,ASSUMPTIONS!$C$39,ASSUMPTIONS!$C$40,ASSUMPTIONS!$C$41,ASSUMPTIONS!$C$42),ASSUMPTIONS!$C$68)</f>
        <v/>
      </c>
      <c r="I1453" s="83">
        <f>MAX(_xlfn.NORM.INV(RAND(),DCF!$C$11,ASSUMPTIONS!$C$69),K1453+0.005)</f>
        <v/>
      </c>
      <c r="J1453" s="83">
        <f>_xlfn.NORM.INV(RAND(),ASSUMPTIONS!$C$19,ASSUMPTIONS!$C$70)</f>
        <v/>
      </c>
      <c r="K1453" s="83">
        <f>_xlfn.NORM.INV(RAND(),ASSUMPTIONS!$C$43,ASSUMPTIONS!$C$71)</f>
        <v/>
      </c>
      <c r="L1453" s="84">
        <f>(((ASSUMPTIONS!$C$18*J1453*(1-ASSUMPTIONS!$C$20)+ASSUMPTIONS!$C$18*ASSUMPTIONS!$C$21-ASSUMPTIONS!$C$18*ASSUMPTIONS!$C$22)*(1+H1453)*(1-((1+H1453)/(1+I1453))^5)/(I1453-H1453))+((ASSUMPTIONS!$C$18*J1453*(1-ASSUMPTIONS!$C$20)+ASSUMPTIONS!$C$18*ASSUMPTIONS!$C$21-ASSUMPTIONS!$C$18*ASSUMPTIONS!$C$22)*(1+H1453)^5*(1+K1453)/(I1453-K1453)/(1+I1453)^5)-DCF!$C$12)/ASSUMPTIONS!$C$7</f>
        <v/>
      </c>
    </row>
    <row r="1454">
      <c r="H1454" s="83">
        <f>_xlfn.NORM.INV(RAND(),AVERAGE(ASSUMPTIONS!$C$38,ASSUMPTIONS!$C$39,ASSUMPTIONS!$C$40,ASSUMPTIONS!$C$41,ASSUMPTIONS!$C$42),ASSUMPTIONS!$C$68)</f>
        <v/>
      </c>
      <c r="I1454" s="83">
        <f>MAX(_xlfn.NORM.INV(RAND(),DCF!$C$11,ASSUMPTIONS!$C$69),K1454+0.005)</f>
        <v/>
      </c>
      <c r="J1454" s="83">
        <f>_xlfn.NORM.INV(RAND(),ASSUMPTIONS!$C$19,ASSUMPTIONS!$C$70)</f>
        <v/>
      </c>
      <c r="K1454" s="83">
        <f>_xlfn.NORM.INV(RAND(),ASSUMPTIONS!$C$43,ASSUMPTIONS!$C$71)</f>
        <v/>
      </c>
      <c r="L1454" s="84">
        <f>(((ASSUMPTIONS!$C$18*J1454*(1-ASSUMPTIONS!$C$20)+ASSUMPTIONS!$C$18*ASSUMPTIONS!$C$21-ASSUMPTIONS!$C$18*ASSUMPTIONS!$C$22)*(1+H1454)*(1-((1+H1454)/(1+I1454))^5)/(I1454-H1454))+((ASSUMPTIONS!$C$18*J1454*(1-ASSUMPTIONS!$C$20)+ASSUMPTIONS!$C$18*ASSUMPTIONS!$C$21-ASSUMPTIONS!$C$18*ASSUMPTIONS!$C$22)*(1+H1454)^5*(1+K1454)/(I1454-K1454)/(1+I1454)^5)-DCF!$C$12)/ASSUMPTIONS!$C$7</f>
        <v/>
      </c>
    </row>
    <row r="1455">
      <c r="H1455" s="83">
        <f>_xlfn.NORM.INV(RAND(),AVERAGE(ASSUMPTIONS!$C$38,ASSUMPTIONS!$C$39,ASSUMPTIONS!$C$40,ASSUMPTIONS!$C$41,ASSUMPTIONS!$C$42),ASSUMPTIONS!$C$68)</f>
        <v/>
      </c>
      <c r="I1455" s="83">
        <f>MAX(_xlfn.NORM.INV(RAND(),DCF!$C$11,ASSUMPTIONS!$C$69),K1455+0.005)</f>
        <v/>
      </c>
      <c r="J1455" s="83">
        <f>_xlfn.NORM.INV(RAND(),ASSUMPTIONS!$C$19,ASSUMPTIONS!$C$70)</f>
        <v/>
      </c>
      <c r="K1455" s="83">
        <f>_xlfn.NORM.INV(RAND(),ASSUMPTIONS!$C$43,ASSUMPTIONS!$C$71)</f>
        <v/>
      </c>
      <c r="L1455" s="84">
        <f>(((ASSUMPTIONS!$C$18*J1455*(1-ASSUMPTIONS!$C$20)+ASSUMPTIONS!$C$18*ASSUMPTIONS!$C$21-ASSUMPTIONS!$C$18*ASSUMPTIONS!$C$22)*(1+H1455)*(1-((1+H1455)/(1+I1455))^5)/(I1455-H1455))+((ASSUMPTIONS!$C$18*J1455*(1-ASSUMPTIONS!$C$20)+ASSUMPTIONS!$C$18*ASSUMPTIONS!$C$21-ASSUMPTIONS!$C$18*ASSUMPTIONS!$C$22)*(1+H1455)^5*(1+K1455)/(I1455-K1455)/(1+I1455)^5)-DCF!$C$12)/ASSUMPTIONS!$C$7</f>
        <v/>
      </c>
    </row>
    <row r="1456">
      <c r="H1456" s="83">
        <f>_xlfn.NORM.INV(RAND(),AVERAGE(ASSUMPTIONS!$C$38,ASSUMPTIONS!$C$39,ASSUMPTIONS!$C$40,ASSUMPTIONS!$C$41,ASSUMPTIONS!$C$42),ASSUMPTIONS!$C$68)</f>
        <v/>
      </c>
      <c r="I1456" s="83">
        <f>MAX(_xlfn.NORM.INV(RAND(),DCF!$C$11,ASSUMPTIONS!$C$69),K1456+0.005)</f>
        <v/>
      </c>
      <c r="J1456" s="83">
        <f>_xlfn.NORM.INV(RAND(),ASSUMPTIONS!$C$19,ASSUMPTIONS!$C$70)</f>
        <v/>
      </c>
      <c r="K1456" s="83">
        <f>_xlfn.NORM.INV(RAND(),ASSUMPTIONS!$C$43,ASSUMPTIONS!$C$71)</f>
        <v/>
      </c>
      <c r="L1456" s="84">
        <f>(((ASSUMPTIONS!$C$18*J1456*(1-ASSUMPTIONS!$C$20)+ASSUMPTIONS!$C$18*ASSUMPTIONS!$C$21-ASSUMPTIONS!$C$18*ASSUMPTIONS!$C$22)*(1+H1456)*(1-((1+H1456)/(1+I1456))^5)/(I1456-H1456))+((ASSUMPTIONS!$C$18*J1456*(1-ASSUMPTIONS!$C$20)+ASSUMPTIONS!$C$18*ASSUMPTIONS!$C$21-ASSUMPTIONS!$C$18*ASSUMPTIONS!$C$22)*(1+H1456)^5*(1+K1456)/(I1456-K1456)/(1+I1456)^5)-DCF!$C$12)/ASSUMPTIONS!$C$7</f>
        <v/>
      </c>
    </row>
    <row r="1457">
      <c r="H1457" s="83">
        <f>_xlfn.NORM.INV(RAND(),AVERAGE(ASSUMPTIONS!$C$38,ASSUMPTIONS!$C$39,ASSUMPTIONS!$C$40,ASSUMPTIONS!$C$41,ASSUMPTIONS!$C$42),ASSUMPTIONS!$C$68)</f>
        <v/>
      </c>
      <c r="I1457" s="83">
        <f>MAX(_xlfn.NORM.INV(RAND(),DCF!$C$11,ASSUMPTIONS!$C$69),K1457+0.005)</f>
        <v/>
      </c>
      <c r="J1457" s="83">
        <f>_xlfn.NORM.INV(RAND(),ASSUMPTIONS!$C$19,ASSUMPTIONS!$C$70)</f>
        <v/>
      </c>
      <c r="K1457" s="83">
        <f>_xlfn.NORM.INV(RAND(),ASSUMPTIONS!$C$43,ASSUMPTIONS!$C$71)</f>
        <v/>
      </c>
      <c r="L1457" s="84">
        <f>(((ASSUMPTIONS!$C$18*J1457*(1-ASSUMPTIONS!$C$20)+ASSUMPTIONS!$C$18*ASSUMPTIONS!$C$21-ASSUMPTIONS!$C$18*ASSUMPTIONS!$C$22)*(1+H1457)*(1-((1+H1457)/(1+I1457))^5)/(I1457-H1457))+((ASSUMPTIONS!$C$18*J1457*(1-ASSUMPTIONS!$C$20)+ASSUMPTIONS!$C$18*ASSUMPTIONS!$C$21-ASSUMPTIONS!$C$18*ASSUMPTIONS!$C$22)*(1+H1457)^5*(1+K1457)/(I1457-K1457)/(1+I1457)^5)-DCF!$C$12)/ASSUMPTIONS!$C$7</f>
        <v/>
      </c>
    </row>
    <row r="1458">
      <c r="H1458" s="83">
        <f>_xlfn.NORM.INV(RAND(),AVERAGE(ASSUMPTIONS!$C$38,ASSUMPTIONS!$C$39,ASSUMPTIONS!$C$40,ASSUMPTIONS!$C$41,ASSUMPTIONS!$C$42),ASSUMPTIONS!$C$68)</f>
        <v/>
      </c>
      <c r="I1458" s="83">
        <f>MAX(_xlfn.NORM.INV(RAND(),DCF!$C$11,ASSUMPTIONS!$C$69),K1458+0.005)</f>
        <v/>
      </c>
      <c r="J1458" s="83">
        <f>_xlfn.NORM.INV(RAND(),ASSUMPTIONS!$C$19,ASSUMPTIONS!$C$70)</f>
        <v/>
      </c>
      <c r="K1458" s="83">
        <f>_xlfn.NORM.INV(RAND(),ASSUMPTIONS!$C$43,ASSUMPTIONS!$C$71)</f>
        <v/>
      </c>
      <c r="L1458" s="84">
        <f>(((ASSUMPTIONS!$C$18*J1458*(1-ASSUMPTIONS!$C$20)+ASSUMPTIONS!$C$18*ASSUMPTIONS!$C$21-ASSUMPTIONS!$C$18*ASSUMPTIONS!$C$22)*(1+H1458)*(1-((1+H1458)/(1+I1458))^5)/(I1458-H1458))+((ASSUMPTIONS!$C$18*J1458*(1-ASSUMPTIONS!$C$20)+ASSUMPTIONS!$C$18*ASSUMPTIONS!$C$21-ASSUMPTIONS!$C$18*ASSUMPTIONS!$C$22)*(1+H1458)^5*(1+K1458)/(I1458-K1458)/(1+I1458)^5)-DCF!$C$12)/ASSUMPTIONS!$C$7</f>
        <v/>
      </c>
    </row>
    <row r="1459">
      <c r="H1459" s="83">
        <f>_xlfn.NORM.INV(RAND(),AVERAGE(ASSUMPTIONS!$C$38,ASSUMPTIONS!$C$39,ASSUMPTIONS!$C$40,ASSUMPTIONS!$C$41,ASSUMPTIONS!$C$42),ASSUMPTIONS!$C$68)</f>
        <v/>
      </c>
      <c r="I1459" s="83">
        <f>MAX(_xlfn.NORM.INV(RAND(),DCF!$C$11,ASSUMPTIONS!$C$69),K1459+0.005)</f>
        <v/>
      </c>
      <c r="J1459" s="83">
        <f>_xlfn.NORM.INV(RAND(),ASSUMPTIONS!$C$19,ASSUMPTIONS!$C$70)</f>
        <v/>
      </c>
      <c r="K1459" s="83">
        <f>_xlfn.NORM.INV(RAND(),ASSUMPTIONS!$C$43,ASSUMPTIONS!$C$71)</f>
        <v/>
      </c>
      <c r="L1459" s="84">
        <f>(((ASSUMPTIONS!$C$18*J1459*(1-ASSUMPTIONS!$C$20)+ASSUMPTIONS!$C$18*ASSUMPTIONS!$C$21-ASSUMPTIONS!$C$18*ASSUMPTIONS!$C$22)*(1+H1459)*(1-((1+H1459)/(1+I1459))^5)/(I1459-H1459))+((ASSUMPTIONS!$C$18*J1459*(1-ASSUMPTIONS!$C$20)+ASSUMPTIONS!$C$18*ASSUMPTIONS!$C$21-ASSUMPTIONS!$C$18*ASSUMPTIONS!$C$22)*(1+H1459)^5*(1+K1459)/(I1459-K1459)/(1+I1459)^5)-DCF!$C$12)/ASSUMPTIONS!$C$7</f>
        <v/>
      </c>
    </row>
    <row r="1460">
      <c r="H1460" s="83">
        <f>_xlfn.NORM.INV(RAND(),AVERAGE(ASSUMPTIONS!$C$38,ASSUMPTIONS!$C$39,ASSUMPTIONS!$C$40,ASSUMPTIONS!$C$41,ASSUMPTIONS!$C$42),ASSUMPTIONS!$C$68)</f>
        <v/>
      </c>
      <c r="I1460" s="83">
        <f>MAX(_xlfn.NORM.INV(RAND(),DCF!$C$11,ASSUMPTIONS!$C$69),K1460+0.005)</f>
        <v/>
      </c>
      <c r="J1460" s="83">
        <f>_xlfn.NORM.INV(RAND(),ASSUMPTIONS!$C$19,ASSUMPTIONS!$C$70)</f>
        <v/>
      </c>
      <c r="K1460" s="83">
        <f>_xlfn.NORM.INV(RAND(),ASSUMPTIONS!$C$43,ASSUMPTIONS!$C$71)</f>
        <v/>
      </c>
      <c r="L1460" s="84">
        <f>(((ASSUMPTIONS!$C$18*J1460*(1-ASSUMPTIONS!$C$20)+ASSUMPTIONS!$C$18*ASSUMPTIONS!$C$21-ASSUMPTIONS!$C$18*ASSUMPTIONS!$C$22)*(1+H1460)*(1-((1+H1460)/(1+I1460))^5)/(I1460-H1460))+((ASSUMPTIONS!$C$18*J1460*(1-ASSUMPTIONS!$C$20)+ASSUMPTIONS!$C$18*ASSUMPTIONS!$C$21-ASSUMPTIONS!$C$18*ASSUMPTIONS!$C$22)*(1+H1460)^5*(1+K1460)/(I1460-K1460)/(1+I1460)^5)-DCF!$C$12)/ASSUMPTIONS!$C$7</f>
        <v/>
      </c>
    </row>
    <row r="1461">
      <c r="H1461" s="83">
        <f>_xlfn.NORM.INV(RAND(),AVERAGE(ASSUMPTIONS!$C$38,ASSUMPTIONS!$C$39,ASSUMPTIONS!$C$40,ASSUMPTIONS!$C$41,ASSUMPTIONS!$C$42),ASSUMPTIONS!$C$68)</f>
        <v/>
      </c>
      <c r="I1461" s="83">
        <f>MAX(_xlfn.NORM.INV(RAND(),DCF!$C$11,ASSUMPTIONS!$C$69),K1461+0.005)</f>
        <v/>
      </c>
      <c r="J1461" s="83">
        <f>_xlfn.NORM.INV(RAND(),ASSUMPTIONS!$C$19,ASSUMPTIONS!$C$70)</f>
        <v/>
      </c>
      <c r="K1461" s="83">
        <f>_xlfn.NORM.INV(RAND(),ASSUMPTIONS!$C$43,ASSUMPTIONS!$C$71)</f>
        <v/>
      </c>
      <c r="L1461" s="84">
        <f>(((ASSUMPTIONS!$C$18*J1461*(1-ASSUMPTIONS!$C$20)+ASSUMPTIONS!$C$18*ASSUMPTIONS!$C$21-ASSUMPTIONS!$C$18*ASSUMPTIONS!$C$22)*(1+H1461)*(1-((1+H1461)/(1+I1461))^5)/(I1461-H1461))+((ASSUMPTIONS!$C$18*J1461*(1-ASSUMPTIONS!$C$20)+ASSUMPTIONS!$C$18*ASSUMPTIONS!$C$21-ASSUMPTIONS!$C$18*ASSUMPTIONS!$C$22)*(1+H1461)^5*(1+K1461)/(I1461-K1461)/(1+I1461)^5)-DCF!$C$12)/ASSUMPTIONS!$C$7</f>
        <v/>
      </c>
    </row>
    <row r="1462">
      <c r="H1462" s="83">
        <f>_xlfn.NORM.INV(RAND(),AVERAGE(ASSUMPTIONS!$C$38,ASSUMPTIONS!$C$39,ASSUMPTIONS!$C$40,ASSUMPTIONS!$C$41,ASSUMPTIONS!$C$42),ASSUMPTIONS!$C$68)</f>
        <v/>
      </c>
      <c r="I1462" s="83">
        <f>MAX(_xlfn.NORM.INV(RAND(),DCF!$C$11,ASSUMPTIONS!$C$69),K1462+0.005)</f>
        <v/>
      </c>
      <c r="J1462" s="83">
        <f>_xlfn.NORM.INV(RAND(),ASSUMPTIONS!$C$19,ASSUMPTIONS!$C$70)</f>
        <v/>
      </c>
      <c r="K1462" s="83">
        <f>_xlfn.NORM.INV(RAND(),ASSUMPTIONS!$C$43,ASSUMPTIONS!$C$71)</f>
        <v/>
      </c>
      <c r="L1462" s="84">
        <f>(((ASSUMPTIONS!$C$18*J1462*(1-ASSUMPTIONS!$C$20)+ASSUMPTIONS!$C$18*ASSUMPTIONS!$C$21-ASSUMPTIONS!$C$18*ASSUMPTIONS!$C$22)*(1+H1462)*(1-((1+H1462)/(1+I1462))^5)/(I1462-H1462))+((ASSUMPTIONS!$C$18*J1462*(1-ASSUMPTIONS!$C$20)+ASSUMPTIONS!$C$18*ASSUMPTIONS!$C$21-ASSUMPTIONS!$C$18*ASSUMPTIONS!$C$22)*(1+H1462)^5*(1+K1462)/(I1462-K1462)/(1+I1462)^5)-DCF!$C$12)/ASSUMPTIONS!$C$7</f>
        <v/>
      </c>
    </row>
    <row r="1463">
      <c r="H1463" s="83">
        <f>_xlfn.NORM.INV(RAND(),AVERAGE(ASSUMPTIONS!$C$38,ASSUMPTIONS!$C$39,ASSUMPTIONS!$C$40,ASSUMPTIONS!$C$41,ASSUMPTIONS!$C$42),ASSUMPTIONS!$C$68)</f>
        <v/>
      </c>
      <c r="I1463" s="83">
        <f>MAX(_xlfn.NORM.INV(RAND(),DCF!$C$11,ASSUMPTIONS!$C$69),K1463+0.005)</f>
        <v/>
      </c>
      <c r="J1463" s="83">
        <f>_xlfn.NORM.INV(RAND(),ASSUMPTIONS!$C$19,ASSUMPTIONS!$C$70)</f>
        <v/>
      </c>
      <c r="K1463" s="83">
        <f>_xlfn.NORM.INV(RAND(),ASSUMPTIONS!$C$43,ASSUMPTIONS!$C$71)</f>
        <v/>
      </c>
      <c r="L1463" s="84">
        <f>(((ASSUMPTIONS!$C$18*J1463*(1-ASSUMPTIONS!$C$20)+ASSUMPTIONS!$C$18*ASSUMPTIONS!$C$21-ASSUMPTIONS!$C$18*ASSUMPTIONS!$C$22)*(1+H1463)*(1-((1+H1463)/(1+I1463))^5)/(I1463-H1463))+((ASSUMPTIONS!$C$18*J1463*(1-ASSUMPTIONS!$C$20)+ASSUMPTIONS!$C$18*ASSUMPTIONS!$C$21-ASSUMPTIONS!$C$18*ASSUMPTIONS!$C$22)*(1+H1463)^5*(1+K1463)/(I1463-K1463)/(1+I1463)^5)-DCF!$C$12)/ASSUMPTIONS!$C$7</f>
        <v/>
      </c>
    </row>
    <row r="1464">
      <c r="H1464" s="83">
        <f>_xlfn.NORM.INV(RAND(),AVERAGE(ASSUMPTIONS!$C$38,ASSUMPTIONS!$C$39,ASSUMPTIONS!$C$40,ASSUMPTIONS!$C$41,ASSUMPTIONS!$C$42),ASSUMPTIONS!$C$68)</f>
        <v/>
      </c>
      <c r="I1464" s="83">
        <f>MAX(_xlfn.NORM.INV(RAND(),DCF!$C$11,ASSUMPTIONS!$C$69),K1464+0.005)</f>
        <v/>
      </c>
      <c r="J1464" s="83">
        <f>_xlfn.NORM.INV(RAND(),ASSUMPTIONS!$C$19,ASSUMPTIONS!$C$70)</f>
        <v/>
      </c>
      <c r="K1464" s="83">
        <f>_xlfn.NORM.INV(RAND(),ASSUMPTIONS!$C$43,ASSUMPTIONS!$C$71)</f>
        <v/>
      </c>
      <c r="L1464" s="84">
        <f>(((ASSUMPTIONS!$C$18*J1464*(1-ASSUMPTIONS!$C$20)+ASSUMPTIONS!$C$18*ASSUMPTIONS!$C$21-ASSUMPTIONS!$C$18*ASSUMPTIONS!$C$22)*(1+H1464)*(1-((1+H1464)/(1+I1464))^5)/(I1464-H1464))+((ASSUMPTIONS!$C$18*J1464*(1-ASSUMPTIONS!$C$20)+ASSUMPTIONS!$C$18*ASSUMPTIONS!$C$21-ASSUMPTIONS!$C$18*ASSUMPTIONS!$C$22)*(1+H1464)^5*(1+K1464)/(I1464-K1464)/(1+I1464)^5)-DCF!$C$12)/ASSUMPTIONS!$C$7</f>
        <v/>
      </c>
    </row>
    <row r="1465">
      <c r="H1465" s="83">
        <f>_xlfn.NORM.INV(RAND(),AVERAGE(ASSUMPTIONS!$C$38,ASSUMPTIONS!$C$39,ASSUMPTIONS!$C$40,ASSUMPTIONS!$C$41,ASSUMPTIONS!$C$42),ASSUMPTIONS!$C$68)</f>
        <v/>
      </c>
      <c r="I1465" s="83">
        <f>MAX(_xlfn.NORM.INV(RAND(),DCF!$C$11,ASSUMPTIONS!$C$69),K1465+0.005)</f>
        <v/>
      </c>
      <c r="J1465" s="83">
        <f>_xlfn.NORM.INV(RAND(),ASSUMPTIONS!$C$19,ASSUMPTIONS!$C$70)</f>
        <v/>
      </c>
      <c r="K1465" s="83">
        <f>_xlfn.NORM.INV(RAND(),ASSUMPTIONS!$C$43,ASSUMPTIONS!$C$71)</f>
        <v/>
      </c>
      <c r="L1465" s="84">
        <f>(((ASSUMPTIONS!$C$18*J1465*(1-ASSUMPTIONS!$C$20)+ASSUMPTIONS!$C$18*ASSUMPTIONS!$C$21-ASSUMPTIONS!$C$18*ASSUMPTIONS!$C$22)*(1+H1465)*(1-((1+H1465)/(1+I1465))^5)/(I1465-H1465))+((ASSUMPTIONS!$C$18*J1465*(1-ASSUMPTIONS!$C$20)+ASSUMPTIONS!$C$18*ASSUMPTIONS!$C$21-ASSUMPTIONS!$C$18*ASSUMPTIONS!$C$22)*(1+H1465)^5*(1+K1465)/(I1465-K1465)/(1+I1465)^5)-DCF!$C$12)/ASSUMPTIONS!$C$7</f>
        <v/>
      </c>
    </row>
    <row r="1466">
      <c r="H1466" s="83">
        <f>_xlfn.NORM.INV(RAND(),AVERAGE(ASSUMPTIONS!$C$38,ASSUMPTIONS!$C$39,ASSUMPTIONS!$C$40,ASSUMPTIONS!$C$41,ASSUMPTIONS!$C$42),ASSUMPTIONS!$C$68)</f>
        <v/>
      </c>
      <c r="I1466" s="83">
        <f>MAX(_xlfn.NORM.INV(RAND(),DCF!$C$11,ASSUMPTIONS!$C$69),K1466+0.005)</f>
        <v/>
      </c>
      <c r="J1466" s="83">
        <f>_xlfn.NORM.INV(RAND(),ASSUMPTIONS!$C$19,ASSUMPTIONS!$C$70)</f>
        <v/>
      </c>
      <c r="K1466" s="83">
        <f>_xlfn.NORM.INV(RAND(),ASSUMPTIONS!$C$43,ASSUMPTIONS!$C$71)</f>
        <v/>
      </c>
      <c r="L1466" s="84">
        <f>(((ASSUMPTIONS!$C$18*J1466*(1-ASSUMPTIONS!$C$20)+ASSUMPTIONS!$C$18*ASSUMPTIONS!$C$21-ASSUMPTIONS!$C$18*ASSUMPTIONS!$C$22)*(1+H1466)*(1-((1+H1466)/(1+I1466))^5)/(I1466-H1466))+((ASSUMPTIONS!$C$18*J1466*(1-ASSUMPTIONS!$C$20)+ASSUMPTIONS!$C$18*ASSUMPTIONS!$C$21-ASSUMPTIONS!$C$18*ASSUMPTIONS!$C$22)*(1+H1466)^5*(1+K1466)/(I1466-K1466)/(1+I1466)^5)-DCF!$C$12)/ASSUMPTIONS!$C$7</f>
        <v/>
      </c>
    </row>
    <row r="1467">
      <c r="H1467" s="83">
        <f>_xlfn.NORM.INV(RAND(),AVERAGE(ASSUMPTIONS!$C$38,ASSUMPTIONS!$C$39,ASSUMPTIONS!$C$40,ASSUMPTIONS!$C$41,ASSUMPTIONS!$C$42),ASSUMPTIONS!$C$68)</f>
        <v/>
      </c>
      <c r="I1467" s="83">
        <f>MAX(_xlfn.NORM.INV(RAND(),DCF!$C$11,ASSUMPTIONS!$C$69),K1467+0.005)</f>
        <v/>
      </c>
      <c r="J1467" s="83">
        <f>_xlfn.NORM.INV(RAND(),ASSUMPTIONS!$C$19,ASSUMPTIONS!$C$70)</f>
        <v/>
      </c>
      <c r="K1467" s="83">
        <f>_xlfn.NORM.INV(RAND(),ASSUMPTIONS!$C$43,ASSUMPTIONS!$C$71)</f>
        <v/>
      </c>
      <c r="L1467" s="84">
        <f>(((ASSUMPTIONS!$C$18*J1467*(1-ASSUMPTIONS!$C$20)+ASSUMPTIONS!$C$18*ASSUMPTIONS!$C$21-ASSUMPTIONS!$C$18*ASSUMPTIONS!$C$22)*(1+H1467)*(1-((1+H1467)/(1+I1467))^5)/(I1467-H1467))+((ASSUMPTIONS!$C$18*J1467*(1-ASSUMPTIONS!$C$20)+ASSUMPTIONS!$C$18*ASSUMPTIONS!$C$21-ASSUMPTIONS!$C$18*ASSUMPTIONS!$C$22)*(1+H1467)^5*(1+K1467)/(I1467-K1467)/(1+I1467)^5)-DCF!$C$12)/ASSUMPTIONS!$C$7</f>
        <v/>
      </c>
    </row>
    <row r="1468">
      <c r="H1468" s="83">
        <f>_xlfn.NORM.INV(RAND(),AVERAGE(ASSUMPTIONS!$C$38,ASSUMPTIONS!$C$39,ASSUMPTIONS!$C$40,ASSUMPTIONS!$C$41,ASSUMPTIONS!$C$42),ASSUMPTIONS!$C$68)</f>
        <v/>
      </c>
      <c r="I1468" s="83">
        <f>MAX(_xlfn.NORM.INV(RAND(),DCF!$C$11,ASSUMPTIONS!$C$69),K1468+0.005)</f>
        <v/>
      </c>
      <c r="J1468" s="83">
        <f>_xlfn.NORM.INV(RAND(),ASSUMPTIONS!$C$19,ASSUMPTIONS!$C$70)</f>
        <v/>
      </c>
      <c r="K1468" s="83">
        <f>_xlfn.NORM.INV(RAND(),ASSUMPTIONS!$C$43,ASSUMPTIONS!$C$71)</f>
        <v/>
      </c>
      <c r="L1468" s="84">
        <f>(((ASSUMPTIONS!$C$18*J1468*(1-ASSUMPTIONS!$C$20)+ASSUMPTIONS!$C$18*ASSUMPTIONS!$C$21-ASSUMPTIONS!$C$18*ASSUMPTIONS!$C$22)*(1+H1468)*(1-((1+H1468)/(1+I1468))^5)/(I1468-H1468))+((ASSUMPTIONS!$C$18*J1468*(1-ASSUMPTIONS!$C$20)+ASSUMPTIONS!$C$18*ASSUMPTIONS!$C$21-ASSUMPTIONS!$C$18*ASSUMPTIONS!$C$22)*(1+H1468)^5*(1+K1468)/(I1468-K1468)/(1+I1468)^5)-DCF!$C$12)/ASSUMPTIONS!$C$7</f>
        <v/>
      </c>
    </row>
    <row r="1469">
      <c r="H1469" s="83">
        <f>_xlfn.NORM.INV(RAND(),AVERAGE(ASSUMPTIONS!$C$38,ASSUMPTIONS!$C$39,ASSUMPTIONS!$C$40,ASSUMPTIONS!$C$41,ASSUMPTIONS!$C$42),ASSUMPTIONS!$C$68)</f>
        <v/>
      </c>
      <c r="I1469" s="83">
        <f>MAX(_xlfn.NORM.INV(RAND(),DCF!$C$11,ASSUMPTIONS!$C$69),K1469+0.005)</f>
        <v/>
      </c>
      <c r="J1469" s="83">
        <f>_xlfn.NORM.INV(RAND(),ASSUMPTIONS!$C$19,ASSUMPTIONS!$C$70)</f>
        <v/>
      </c>
      <c r="K1469" s="83">
        <f>_xlfn.NORM.INV(RAND(),ASSUMPTIONS!$C$43,ASSUMPTIONS!$C$71)</f>
        <v/>
      </c>
      <c r="L1469" s="84">
        <f>(((ASSUMPTIONS!$C$18*J1469*(1-ASSUMPTIONS!$C$20)+ASSUMPTIONS!$C$18*ASSUMPTIONS!$C$21-ASSUMPTIONS!$C$18*ASSUMPTIONS!$C$22)*(1+H1469)*(1-((1+H1469)/(1+I1469))^5)/(I1469-H1469))+((ASSUMPTIONS!$C$18*J1469*(1-ASSUMPTIONS!$C$20)+ASSUMPTIONS!$C$18*ASSUMPTIONS!$C$21-ASSUMPTIONS!$C$18*ASSUMPTIONS!$C$22)*(1+H1469)^5*(1+K1469)/(I1469-K1469)/(1+I1469)^5)-DCF!$C$12)/ASSUMPTIONS!$C$7</f>
        <v/>
      </c>
    </row>
    <row r="1470">
      <c r="H1470" s="83">
        <f>_xlfn.NORM.INV(RAND(),AVERAGE(ASSUMPTIONS!$C$38,ASSUMPTIONS!$C$39,ASSUMPTIONS!$C$40,ASSUMPTIONS!$C$41,ASSUMPTIONS!$C$42),ASSUMPTIONS!$C$68)</f>
        <v/>
      </c>
      <c r="I1470" s="83">
        <f>MAX(_xlfn.NORM.INV(RAND(),DCF!$C$11,ASSUMPTIONS!$C$69),K1470+0.005)</f>
        <v/>
      </c>
      <c r="J1470" s="83">
        <f>_xlfn.NORM.INV(RAND(),ASSUMPTIONS!$C$19,ASSUMPTIONS!$C$70)</f>
        <v/>
      </c>
      <c r="K1470" s="83">
        <f>_xlfn.NORM.INV(RAND(),ASSUMPTIONS!$C$43,ASSUMPTIONS!$C$71)</f>
        <v/>
      </c>
      <c r="L1470" s="84">
        <f>(((ASSUMPTIONS!$C$18*J1470*(1-ASSUMPTIONS!$C$20)+ASSUMPTIONS!$C$18*ASSUMPTIONS!$C$21-ASSUMPTIONS!$C$18*ASSUMPTIONS!$C$22)*(1+H1470)*(1-((1+H1470)/(1+I1470))^5)/(I1470-H1470))+((ASSUMPTIONS!$C$18*J1470*(1-ASSUMPTIONS!$C$20)+ASSUMPTIONS!$C$18*ASSUMPTIONS!$C$21-ASSUMPTIONS!$C$18*ASSUMPTIONS!$C$22)*(1+H1470)^5*(1+K1470)/(I1470-K1470)/(1+I1470)^5)-DCF!$C$12)/ASSUMPTIONS!$C$7</f>
        <v/>
      </c>
    </row>
    <row r="1471">
      <c r="H1471" s="83">
        <f>_xlfn.NORM.INV(RAND(),AVERAGE(ASSUMPTIONS!$C$38,ASSUMPTIONS!$C$39,ASSUMPTIONS!$C$40,ASSUMPTIONS!$C$41,ASSUMPTIONS!$C$42),ASSUMPTIONS!$C$68)</f>
        <v/>
      </c>
      <c r="I1471" s="83">
        <f>MAX(_xlfn.NORM.INV(RAND(),DCF!$C$11,ASSUMPTIONS!$C$69),K1471+0.005)</f>
        <v/>
      </c>
      <c r="J1471" s="83">
        <f>_xlfn.NORM.INV(RAND(),ASSUMPTIONS!$C$19,ASSUMPTIONS!$C$70)</f>
        <v/>
      </c>
      <c r="K1471" s="83">
        <f>_xlfn.NORM.INV(RAND(),ASSUMPTIONS!$C$43,ASSUMPTIONS!$C$71)</f>
        <v/>
      </c>
      <c r="L1471" s="84">
        <f>(((ASSUMPTIONS!$C$18*J1471*(1-ASSUMPTIONS!$C$20)+ASSUMPTIONS!$C$18*ASSUMPTIONS!$C$21-ASSUMPTIONS!$C$18*ASSUMPTIONS!$C$22)*(1+H1471)*(1-((1+H1471)/(1+I1471))^5)/(I1471-H1471))+((ASSUMPTIONS!$C$18*J1471*(1-ASSUMPTIONS!$C$20)+ASSUMPTIONS!$C$18*ASSUMPTIONS!$C$21-ASSUMPTIONS!$C$18*ASSUMPTIONS!$C$22)*(1+H1471)^5*(1+K1471)/(I1471-K1471)/(1+I1471)^5)-DCF!$C$12)/ASSUMPTIONS!$C$7</f>
        <v/>
      </c>
    </row>
    <row r="1472">
      <c r="H1472" s="83">
        <f>_xlfn.NORM.INV(RAND(),AVERAGE(ASSUMPTIONS!$C$38,ASSUMPTIONS!$C$39,ASSUMPTIONS!$C$40,ASSUMPTIONS!$C$41,ASSUMPTIONS!$C$42),ASSUMPTIONS!$C$68)</f>
        <v/>
      </c>
      <c r="I1472" s="83">
        <f>MAX(_xlfn.NORM.INV(RAND(),DCF!$C$11,ASSUMPTIONS!$C$69),K1472+0.005)</f>
        <v/>
      </c>
      <c r="J1472" s="83">
        <f>_xlfn.NORM.INV(RAND(),ASSUMPTIONS!$C$19,ASSUMPTIONS!$C$70)</f>
        <v/>
      </c>
      <c r="K1472" s="83">
        <f>_xlfn.NORM.INV(RAND(),ASSUMPTIONS!$C$43,ASSUMPTIONS!$C$71)</f>
        <v/>
      </c>
      <c r="L1472" s="84">
        <f>(((ASSUMPTIONS!$C$18*J1472*(1-ASSUMPTIONS!$C$20)+ASSUMPTIONS!$C$18*ASSUMPTIONS!$C$21-ASSUMPTIONS!$C$18*ASSUMPTIONS!$C$22)*(1+H1472)*(1-((1+H1472)/(1+I1472))^5)/(I1472-H1472))+((ASSUMPTIONS!$C$18*J1472*(1-ASSUMPTIONS!$C$20)+ASSUMPTIONS!$C$18*ASSUMPTIONS!$C$21-ASSUMPTIONS!$C$18*ASSUMPTIONS!$C$22)*(1+H1472)^5*(1+K1472)/(I1472-K1472)/(1+I1472)^5)-DCF!$C$12)/ASSUMPTIONS!$C$7</f>
        <v/>
      </c>
    </row>
    <row r="1473">
      <c r="H1473" s="83">
        <f>_xlfn.NORM.INV(RAND(),AVERAGE(ASSUMPTIONS!$C$38,ASSUMPTIONS!$C$39,ASSUMPTIONS!$C$40,ASSUMPTIONS!$C$41,ASSUMPTIONS!$C$42),ASSUMPTIONS!$C$68)</f>
        <v/>
      </c>
      <c r="I1473" s="83">
        <f>MAX(_xlfn.NORM.INV(RAND(),DCF!$C$11,ASSUMPTIONS!$C$69),K1473+0.005)</f>
        <v/>
      </c>
      <c r="J1473" s="83">
        <f>_xlfn.NORM.INV(RAND(),ASSUMPTIONS!$C$19,ASSUMPTIONS!$C$70)</f>
        <v/>
      </c>
      <c r="K1473" s="83">
        <f>_xlfn.NORM.INV(RAND(),ASSUMPTIONS!$C$43,ASSUMPTIONS!$C$71)</f>
        <v/>
      </c>
      <c r="L1473" s="84">
        <f>(((ASSUMPTIONS!$C$18*J1473*(1-ASSUMPTIONS!$C$20)+ASSUMPTIONS!$C$18*ASSUMPTIONS!$C$21-ASSUMPTIONS!$C$18*ASSUMPTIONS!$C$22)*(1+H1473)*(1-((1+H1473)/(1+I1473))^5)/(I1473-H1473))+((ASSUMPTIONS!$C$18*J1473*(1-ASSUMPTIONS!$C$20)+ASSUMPTIONS!$C$18*ASSUMPTIONS!$C$21-ASSUMPTIONS!$C$18*ASSUMPTIONS!$C$22)*(1+H1473)^5*(1+K1473)/(I1473-K1473)/(1+I1473)^5)-DCF!$C$12)/ASSUMPTIONS!$C$7</f>
        <v/>
      </c>
    </row>
    <row r="1474">
      <c r="H1474" s="83">
        <f>_xlfn.NORM.INV(RAND(),AVERAGE(ASSUMPTIONS!$C$38,ASSUMPTIONS!$C$39,ASSUMPTIONS!$C$40,ASSUMPTIONS!$C$41,ASSUMPTIONS!$C$42),ASSUMPTIONS!$C$68)</f>
        <v/>
      </c>
      <c r="I1474" s="83">
        <f>MAX(_xlfn.NORM.INV(RAND(),DCF!$C$11,ASSUMPTIONS!$C$69),K1474+0.005)</f>
        <v/>
      </c>
      <c r="J1474" s="83">
        <f>_xlfn.NORM.INV(RAND(),ASSUMPTIONS!$C$19,ASSUMPTIONS!$C$70)</f>
        <v/>
      </c>
      <c r="K1474" s="83">
        <f>_xlfn.NORM.INV(RAND(),ASSUMPTIONS!$C$43,ASSUMPTIONS!$C$71)</f>
        <v/>
      </c>
      <c r="L1474" s="84">
        <f>(((ASSUMPTIONS!$C$18*J1474*(1-ASSUMPTIONS!$C$20)+ASSUMPTIONS!$C$18*ASSUMPTIONS!$C$21-ASSUMPTIONS!$C$18*ASSUMPTIONS!$C$22)*(1+H1474)*(1-((1+H1474)/(1+I1474))^5)/(I1474-H1474))+((ASSUMPTIONS!$C$18*J1474*(1-ASSUMPTIONS!$C$20)+ASSUMPTIONS!$C$18*ASSUMPTIONS!$C$21-ASSUMPTIONS!$C$18*ASSUMPTIONS!$C$22)*(1+H1474)^5*(1+K1474)/(I1474-K1474)/(1+I1474)^5)-DCF!$C$12)/ASSUMPTIONS!$C$7</f>
        <v/>
      </c>
    </row>
    <row r="1475">
      <c r="H1475" s="83">
        <f>_xlfn.NORM.INV(RAND(),AVERAGE(ASSUMPTIONS!$C$38,ASSUMPTIONS!$C$39,ASSUMPTIONS!$C$40,ASSUMPTIONS!$C$41,ASSUMPTIONS!$C$42),ASSUMPTIONS!$C$68)</f>
        <v/>
      </c>
      <c r="I1475" s="83">
        <f>MAX(_xlfn.NORM.INV(RAND(),DCF!$C$11,ASSUMPTIONS!$C$69),K1475+0.005)</f>
        <v/>
      </c>
      <c r="J1475" s="83">
        <f>_xlfn.NORM.INV(RAND(),ASSUMPTIONS!$C$19,ASSUMPTIONS!$C$70)</f>
        <v/>
      </c>
      <c r="K1475" s="83">
        <f>_xlfn.NORM.INV(RAND(),ASSUMPTIONS!$C$43,ASSUMPTIONS!$C$71)</f>
        <v/>
      </c>
      <c r="L1475" s="84">
        <f>(((ASSUMPTIONS!$C$18*J1475*(1-ASSUMPTIONS!$C$20)+ASSUMPTIONS!$C$18*ASSUMPTIONS!$C$21-ASSUMPTIONS!$C$18*ASSUMPTIONS!$C$22)*(1+H1475)*(1-((1+H1475)/(1+I1475))^5)/(I1475-H1475))+((ASSUMPTIONS!$C$18*J1475*(1-ASSUMPTIONS!$C$20)+ASSUMPTIONS!$C$18*ASSUMPTIONS!$C$21-ASSUMPTIONS!$C$18*ASSUMPTIONS!$C$22)*(1+H1475)^5*(1+K1475)/(I1475-K1475)/(1+I1475)^5)-DCF!$C$12)/ASSUMPTIONS!$C$7</f>
        <v/>
      </c>
    </row>
    <row r="1476">
      <c r="H1476" s="83">
        <f>_xlfn.NORM.INV(RAND(),AVERAGE(ASSUMPTIONS!$C$38,ASSUMPTIONS!$C$39,ASSUMPTIONS!$C$40,ASSUMPTIONS!$C$41,ASSUMPTIONS!$C$42),ASSUMPTIONS!$C$68)</f>
        <v/>
      </c>
      <c r="I1476" s="83">
        <f>MAX(_xlfn.NORM.INV(RAND(),DCF!$C$11,ASSUMPTIONS!$C$69),K1476+0.005)</f>
        <v/>
      </c>
      <c r="J1476" s="83">
        <f>_xlfn.NORM.INV(RAND(),ASSUMPTIONS!$C$19,ASSUMPTIONS!$C$70)</f>
        <v/>
      </c>
      <c r="K1476" s="83">
        <f>_xlfn.NORM.INV(RAND(),ASSUMPTIONS!$C$43,ASSUMPTIONS!$C$71)</f>
        <v/>
      </c>
      <c r="L1476" s="84">
        <f>(((ASSUMPTIONS!$C$18*J1476*(1-ASSUMPTIONS!$C$20)+ASSUMPTIONS!$C$18*ASSUMPTIONS!$C$21-ASSUMPTIONS!$C$18*ASSUMPTIONS!$C$22)*(1+H1476)*(1-((1+H1476)/(1+I1476))^5)/(I1476-H1476))+((ASSUMPTIONS!$C$18*J1476*(1-ASSUMPTIONS!$C$20)+ASSUMPTIONS!$C$18*ASSUMPTIONS!$C$21-ASSUMPTIONS!$C$18*ASSUMPTIONS!$C$22)*(1+H1476)^5*(1+K1476)/(I1476-K1476)/(1+I1476)^5)-DCF!$C$12)/ASSUMPTIONS!$C$7</f>
        <v/>
      </c>
    </row>
    <row r="1477">
      <c r="H1477" s="83">
        <f>_xlfn.NORM.INV(RAND(),AVERAGE(ASSUMPTIONS!$C$38,ASSUMPTIONS!$C$39,ASSUMPTIONS!$C$40,ASSUMPTIONS!$C$41,ASSUMPTIONS!$C$42),ASSUMPTIONS!$C$68)</f>
        <v/>
      </c>
      <c r="I1477" s="83">
        <f>MAX(_xlfn.NORM.INV(RAND(),DCF!$C$11,ASSUMPTIONS!$C$69),K1477+0.005)</f>
        <v/>
      </c>
      <c r="J1477" s="83">
        <f>_xlfn.NORM.INV(RAND(),ASSUMPTIONS!$C$19,ASSUMPTIONS!$C$70)</f>
        <v/>
      </c>
      <c r="K1477" s="83">
        <f>_xlfn.NORM.INV(RAND(),ASSUMPTIONS!$C$43,ASSUMPTIONS!$C$71)</f>
        <v/>
      </c>
      <c r="L1477" s="84">
        <f>(((ASSUMPTIONS!$C$18*J1477*(1-ASSUMPTIONS!$C$20)+ASSUMPTIONS!$C$18*ASSUMPTIONS!$C$21-ASSUMPTIONS!$C$18*ASSUMPTIONS!$C$22)*(1+H1477)*(1-((1+H1477)/(1+I1477))^5)/(I1477-H1477))+((ASSUMPTIONS!$C$18*J1477*(1-ASSUMPTIONS!$C$20)+ASSUMPTIONS!$C$18*ASSUMPTIONS!$C$21-ASSUMPTIONS!$C$18*ASSUMPTIONS!$C$22)*(1+H1477)^5*(1+K1477)/(I1477-K1477)/(1+I1477)^5)-DCF!$C$12)/ASSUMPTIONS!$C$7</f>
        <v/>
      </c>
    </row>
    <row r="1478">
      <c r="H1478" s="83">
        <f>_xlfn.NORM.INV(RAND(),AVERAGE(ASSUMPTIONS!$C$38,ASSUMPTIONS!$C$39,ASSUMPTIONS!$C$40,ASSUMPTIONS!$C$41,ASSUMPTIONS!$C$42),ASSUMPTIONS!$C$68)</f>
        <v/>
      </c>
      <c r="I1478" s="83">
        <f>MAX(_xlfn.NORM.INV(RAND(),DCF!$C$11,ASSUMPTIONS!$C$69),K1478+0.005)</f>
        <v/>
      </c>
      <c r="J1478" s="83">
        <f>_xlfn.NORM.INV(RAND(),ASSUMPTIONS!$C$19,ASSUMPTIONS!$C$70)</f>
        <v/>
      </c>
      <c r="K1478" s="83">
        <f>_xlfn.NORM.INV(RAND(),ASSUMPTIONS!$C$43,ASSUMPTIONS!$C$71)</f>
        <v/>
      </c>
      <c r="L1478" s="84">
        <f>(((ASSUMPTIONS!$C$18*J1478*(1-ASSUMPTIONS!$C$20)+ASSUMPTIONS!$C$18*ASSUMPTIONS!$C$21-ASSUMPTIONS!$C$18*ASSUMPTIONS!$C$22)*(1+H1478)*(1-((1+H1478)/(1+I1478))^5)/(I1478-H1478))+((ASSUMPTIONS!$C$18*J1478*(1-ASSUMPTIONS!$C$20)+ASSUMPTIONS!$C$18*ASSUMPTIONS!$C$21-ASSUMPTIONS!$C$18*ASSUMPTIONS!$C$22)*(1+H1478)^5*(1+K1478)/(I1478-K1478)/(1+I1478)^5)-DCF!$C$12)/ASSUMPTIONS!$C$7</f>
        <v/>
      </c>
    </row>
    <row r="1479">
      <c r="H1479" s="83">
        <f>_xlfn.NORM.INV(RAND(),AVERAGE(ASSUMPTIONS!$C$38,ASSUMPTIONS!$C$39,ASSUMPTIONS!$C$40,ASSUMPTIONS!$C$41,ASSUMPTIONS!$C$42),ASSUMPTIONS!$C$68)</f>
        <v/>
      </c>
      <c r="I1479" s="83">
        <f>MAX(_xlfn.NORM.INV(RAND(),DCF!$C$11,ASSUMPTIONS!$C$69),K1479+0.005)</f>
        <v/>
      </c>
      <c r="J1479" s="83">
        <f>_xlfn.NORM.INV(RAND(),ASSUMPTIONS!$C$19,ASSUMPTIONS!$C$70)</f>
        <v/>
      </c>
      <c r="K1479" s="83">
        <f>_xlfn.NORM.INV(RAND(),ASSUMPTIONS!$C$43,ASSUMPTIONS!$C$71)</f>
        <v/>
      </c>
      <c r="L1479" s="84">
        <f>(((ASSUMPTIONS!$C$18*J1479*(1-ASSUMPTIONS!$C$20)+ASSUMPTIONS!$C$18*ASSUMPTIONS!$C$21-ASSUMPTIONS!$C$18*ASSUMPTIONS!$C$22)*(1+H1479)*(1-((1+H1479)/(1+I1479))^5)/(I1479-H1479))+((ASSUMPTIONS!$C$18*J1479*(1-ASSUMPTIONS!$C$20)+ASSUMPTIONS!$C$18*ASSUMPTIONS!$C$21-ASSUMPTIONS!$C$18*ASSUMPTIONS!$C$22)*(1+H1479)^5*(1+K1479)/(I1479-K1479)/(1+I1479)^5)-DCF!$C$12)/ASSUMPTIONS!$C$7</f>
        <v/>
      </c>
    </row>
    <row r="1480">
      <c r="H1480" s="83">
        <f>_xlfn.NORM.INV(RAND(),AVERAGE(ASSUMPTIONS!$C$38,ASSUMPTIONS!$C$39,ASSUMPTIONS!$C$40,ASSUMPTIONS!$C$41,ASSUMPTIONS!$C$42),ASSUMPTIONS!$C$68)</f>
        <v/>
      </c>
      <c r="I1480" s="83">
        <f>MAX(_xlfn.NORM.INV(RAND(),DCF!$C$11,ASSUMPTIONS!$C$69),K1480+0.005)</f>
        <v/>
      </c>
      <c r="J1480" s="83">
        <f>_xlfn.NORM.INV(RAND(),ASSUMPTIONS!$C$19,ASSUMPTIONS!$C$70)</f>
        <v/>
      </c>
      <c r="K1480" s="83">
        <f>_xlfn.NORM.INV(RAND(),ASSUMPTIONS!$C$43,ASSUMPTIONS!$C$71)</f>
        <v/>
      </c>
      <c r="L1480" s="84">
        <f>(((ASSUMPTIONS!$C$18*J1480*(1-ASSUMPTIONS!$C$20)+ASSUMPTIONS!$C$18*ASSUMPTIONS!$C$21-ASSUMPTIONS!$C$18*ASSUMPTIONS!$C$22)*(1+H1480)*(1-((1+H1480)/(1+I1480))^5)/(I1480-H1480))+((ASSUMPTIONS!$C$18*J1480*(1-ASSUMPTIONS!$C$20)+ASSUMPTIONS!$C$18*ASSUMPTIONS!$C$21-ASSUMPTIONS!$C$18*ASSUMPTIONS!$C$22)*(1+H1480)^5*(1+K1480)/(I1480-K1480)/(1+I1480)^5)-DCF!$C$12)/ASSUMPTIONS!$C$7</f>
        <v/>
      </c>
    </row>
    <row r="1481">
      <c r="H1481" s="83">
        <f>_xlfn.NORM.INV(RAND(),AVERAGE(ASSUMPTIONS!$C$38,ASSUMPTIONS!$C$39,ASSUMPTIONS!$C$40,ASSUMPTIONS!$C$41,ASSUMPTIONS!$C$42),ASSUMPTIONS!$C$68)</f>
        <v/>
      </c>
      <c r="I1481" s="83">
        <f>MAX(_xlfn.NORM.INV(RAND(),DCF!$C$11,ASSUMPTIONS!$C$69),K1481+0.005)</f>
        <v/>
      </c>
      <c r="J1481" s="83">
        <f>_xlfn.NORM.INV(RAND(),ASSUMPTIONS!$C$19,ASSUMPTIONS!$C$70)</f>
        <v/>
      </c>
      <c r="K1481" s="83">
        <f>_xlfn.NORM.INV(RAND(),ASSUMPTIONS!$C$43,ASSUMPTIONS!$C$71)</f>
        <v/>
      </c>
      <c r="L1481" s="84">
        <f>(((ASSUMPTIONS!$C$18*J1481*(1-ASSUMPTIONS!$C$20)+ASSUMPTIONS!$C$18*ASSUMPTIONS!$C$21-ASSUMPTIONS!$C$18*ASSUMPTIONS!$C$22)*(1+H1481)*(1-((1+H1481)/(1+I1481))^5)/(I1481-H1481))+((ASSUMPTIONS!$C$18*J1481*(1-ASSUMPTIONS!$C$20)+ASSUMPTIONS!$C$18*ASSUMPTIONS!$C$21-ASSUMPTIONS!$C$18*ASSUMPTIONS!$C$22)*(1+H1481)^5*(1+K1481)/(I1481-K1481)/(1+I1481)^5)-DCF!$C$12)/ASSUMPTIONS!$C$7</f>
        <v/>
      </c>
    </row>
    <row r="1482">
      <c r="H1482" s="83">
        <f>_xlfn.NORM.INV(RAND(),AVERAGE(ASSUMPTIONS!$C$38,ASSUMPTIONS!$C$39,ASSUMPTIONS!$C$40,ASSUMPTIONS!$C$41,ASSUMPTIONS!$C$42),ASSUMPTIONS!$C$68)</f>
        <v/>
      </c>
      <c r="I1482" s="83">
        <f>MAX(_xlfn.NORM.INV(RAND(),DCF!$C$11,ASSUMPTIONS!$C$69),K1482+0.005)</f>
        <v/>
      </c>
      <c r="J1482" s="83">
        <f>_xlfn.NORM.INV(RAND(),ASSUMPTIONS!$C$19,ASSUMPTIONS!$C$70)</f>
        <v/>
      </c>
      <c r="K1482" s="83">
        <f>_xlfn.NORM.INV(RAND(),ASSUMPTIONS!$C$43,ASSUMPTIONS!$C$71)</f>
        <v/>
      </c>
      <c r="L1482" s="84">
        <f>(((ASSUMPTIONS!$C$18*J1482*(1-ASSUMPTIONS!$C$20)+ASSUMPTIONS!$C$18*ASSUMPTIONS!$C$21-ASSUMPTIONS!$C$18*ASSUMPTIONS!$C$22)*(1+H1482)*(1-((1+H1482)/(1+I1482))^5)/(I1482-H1482))+((ASSUMPTIONS!$C$18*J1482*(1-ASSUMPTIONS!$C$20)+ASSUMPTIONS!$C$18*ASSUMPTIONS!$C$21-ASSUMPTIONS!$C$18*ASSUMPTIONS!$C$22)*(1+H1482)^5*(1+K1482)/(I1482-K1482)/(1+I1482)^5)-DCF!$C$12)/ASSUMPTIONS!$C$7</f>
        <v/>
      </c>
    </row>
    <row r="1483">
      <c r="H1483" s="83">
        <f>_xlfn.NORM.INV(RAND(),AVERAGE(ASSUMPTIONS!$C$38,ASSUMPTIONS!$C$39,ASSUMPTIONS!$C$40,ASSUMPTIONS!$C$41,ASSUMPTIONS!$C$42),ASSUMPTIONS!$C$68)</f>
        <v/>
      </c>
      <c r="I1483" s="83">
        <f>MAX(_xlfn.NORM.INV(RAND(),DCF!$C$11,ASSUMPTIONS!$C$69),K1483+0.005)</f>
        <v/>
      </c>
      <c r="J1483" s="83">
        <f>_xlfn.NORM.INV(RAND(),ASSUMPTIONS!$C$19,ASSUMPTIONS!$C$70)</f>
        <v/>
      </c>
      <c r="K1483" s="83">
        <f>_xlfn.NORM.INV(RAND(),ASSUMPTIONS!$C$43,ASSUMPTIONS!$C$71)</f>
        <v/>
      </c>
      <c r="L1483" s="84">
        <f>(((ASSUMPTIONS!$C$18*J1483*(1-ASSUMPTIONS!$C$20)+ASSUMPTIONS!$C$18*ASSUMPTIONS!$C$21-ASSUMPTIONS!$C$18*ASSUMPTIONS!$C$22)*(1+H1483)*(1-((1+H1483)/(1+I1483))^5)/(I1483-H1483))+((ASSUMPTIONS!$C$18*J1483*(1-ASSUMPTIONS!$C$20)+ASSUMPTIONS!$C$18*ASSUMPTIONS!$C$21-ASSUMPTIONS!$C$18*ASSUMPTIONS!$C$22)*(1+H1483)^5*(1+K1483)/(I1483-K1483)/(1+I1483)^5)-DCF!$C$12)/ASSUMPTIONS!$C$7</f>
        <v/>
      </c>
    </row>
    <row r="1484">
      <c r="H1484" s="83">
        <f>_xlfn.NORM.INV(RAND(),AVERAGE(ASSUMPTIONS!$C$38,ASSUMPTIONS!$C$39,ASSUMPTIONS!$C$40,ASSUMPTIONS!$C$41,ASSUMPTIONS!$C$42),ASSUMPTIONS!$C$68)</f>
        <v/>
      </c>
      <c r="I1484" s="83">
        <f>MAX(_xlfn.NORM.INV(RAND(),DCF!$C$11,ASSUMPTIONS!$C$69),K1484+0.005)</f>
        <v/>
      </c>
      <c r="J1484" s="83">
        <f>_xlfn.NORM.INV(RAND(),ASSUMPTIONS!$C$19,ASSUMPTIONS!$C$70)</f>
        <v/>
      </c>
      <c r="K1484" s="83">
        <f>_xlfn.NORM.INV(RAND(),ASSUMPTIONS!$C$43,ASSUMPTIONS!$C$71)</f>
        <v/>
      </c>
      <c r="L1484" s="84">
        <f>(((ASSUMPTIONS!$C$18*J1484*(1-ASSUMPTIONS!$C$20)+ASSUMPTIONS!$C$18*ASSUMPTIONS!$C$21-ASSUMPTIONS!$C$18*ASSUMPTIONS!$C$22)*(1+H1484)*(1-((1+H1484)/(1+I1484))^5)/(I1484-H1484))+((ASSUMPTIONS!$C$18*J1484*(1-ASSUMPTIONS!$C$20)+ASSUMPTIONS!$C$18*ASSUMPTIONS!$C$21-ASSUMPTIONS!$C$18*ASSUMPTIONS!$C$22)*(1+H1484)^5*(1+K1484)/(I1484-K1484)/(1+I1484)^5)-DCF!$C$12)/ASSUMPTIONS!$C$7</f>
        <v/>
      </c>
    </row>
    <row r="1485">
      <c r="H1485" s="83">
        <f>_xlfn.NORM.INV(RAND(),AVERAGE(ASSUMPTIONS!$C$38,ASSUMPTIONS!$C$39,ASSUMPTIONS!$C$40,ASSUMPTIONS!$C$41,ASSUMPTIONS!$C$42),ASSUMPTIONS!$C$68)</f>
        <v/>
      </c>
      <c r="I1485" s="83">
        <f>MAX(_xlfn.NORM.INV(RAND(),DCF!$C$11,ASSUMPTIONS!$C$69),K1485+0.005)</f>
        <v/>
      </c>
      <c r="J1485" s="83">
        <f>_xlfn.NORM.INV(RAND(),ASSUMPTIONS!$C$19,ASSUMPTIONS!$C$70)</f>
        <v/>
      </c>
      <c r="K1485" s="83">
        <f>_xlfn.NORM.INV(RAND(),ASSUMPTIONS!$C$43,ASSUMPTIONS!$C$71)</f>
        <v/>
      </c>
      <c r="L1485" s="84">
        <f>(((ASSUMPTIONS!$C$18*J1485*(1-ASSUMPTIONS!$C$20)+ASSUMPTIONS!$C$18*ASSUMPTIONS!$C$21-ASSUMPTIONS!$C$18*ASSUMPTIONS!$C$22)*(1+H1485)*(1-((1+H1485)/(1+I1485))^5)/(I1485-H1485))+((ASSUMPTIONS!$C$18*J1485*(1-ASSUMPTIONS!$C$20)+ASSUMPTIONS!$C$18*ASSUMPTIONS!$C$21-ASSUMPTIONS!$C$18*ASSUMPTIONS!$C$22)*(1+H1485)^5*(1+K1485)/(I1485-K1485)/(1+I1485)^5)-DCF!$C$12)/ASSUMPTIONS!$C$7</f>
        <v/>
      </c>
    </row>
    <row r="1486">
      <c r="H1486" s="83">
        <f>_xlfn.NORM.INV(RAND(),AVERAGE(ASSUMPTIONS!$C$38,ASSUMPTIONS!$C$39,ASSUMPTIONS!$C$40,ASSUMPTIONS!$C$41,ASSUMPTIONS!$C$42),ASSUMPTIONS!$C$68)</f>
        <v/>
      </c>
      <c r="I1486" s="83">
        <f>MAX(_xlfn.NORM.INV(RAND(),DCF!$C$11,ASSUMPTIONS!$C$69),K1486+0.005)</f>
        <v/>
      </c>
      <c r="J1486" s="83">
        <f>_xlfn.NORM.INV(RAND(),ASSUMPTIONS!$C$19,ASSUMPTIONS!$C$70)</f>
        <v/>
      </c>
      <c r="K1486" s="83">
        <f>_xlfn.NORM.INV(RAND(),ASSUMPTIONS!$C$43,ASSUMPTIONS!$C$71)</f>
        <v/>
      </c>
      <c r="L1486" s="84">
        <f>(((ASSUMPTIONS!$C$18*J1486*(1-ASSUMPTIONS!$C$20)+ASSUMPTIONS!$C$18*ASSUMPTIONS!$C$21-ASSUMPTIONS!$C$18*ASSUMPTIONS!$C$22)*(1+H1486)*(1-((1+H1486)/(1+I1486))^5)/(I1486-H1486))+((ASSUMPTIONS!$C$18*J1486*(1-ASSUMPTIONS!$C$20)+ASSUMPTIONS!$C$18*ASSUMPTIONS!$C$21-ASSUMPTIONS!$C$18*ASSUMPTIONS!$C$22)*(1+H1486)^5*(1+K1486)/(I1486-K1486)/(1+I1486)^5)-DCF!$C$12)/ASSUMPTIONS!$C$7</f>
        <v/>
      </c>
    </row>
    <row r="1487">
      <c r="H1487" s="83">
        <f>_xlfn.NORM.INV(RAND(),AVERAGE(ASSUMPTIONS!$C$38,ASSUMPTIONS!$C$39,ASSUMPTIONS!$C$40,ASSUMPTIONS!$C$41,ASSUMPTIONS!$C$42),ASSUMPTIONS!$C$68)</f>
        <v/>
      </c>
      <c r="I1487" s="83">
        <f>MAX(_xlfn.NORM.INV(RAND(),DCF!$C$11,ASSUMPTIONS!$C$69),K1487+0.005)</f>
        <v/>
      </c>
      <c r="J1487" s="83">
        <f>_xlfn.NORM.INV(RAND(),ASSUMPTIONS!$C$19,ASSUMPTIONS!$C$70)</f>
        <v/>
      </c>
      <c r="K1487" s="83">
        <f>_xlfn.NORM.INV(RAND(),ASSUMPTIONS!$C$43,ASSUMPTIONS!$C$71)</f>
        <v/>
      </c>
      <c r="L1487" s="84">
        <f>(((ASSUMPTIONS!$C$18*J1487*(1-ASSUMPTIONS!$C$20)+ASSUMPTIONS!$C$18*ASSUMPTIONS!$C$21-ASSUMPTIONS!$C$18*ASSUMPTIONS!$C$22)*(1+H1487)*(1-((1+H1487)/(1+I1487))^5)/(I1487-H1487))+((ASSUMPTIONS!$C$18*J1487*(1-ASSUMPTIONS!$C$20)+ASSUMPTIONS!$C$18*ASSUMPTIONS!$C$21-ASSUMPTIONS!$C$18*ASSUMPTIONS!$C$22)*(1+H1487)^5*(1+K1487)/(I1487-K1487)/(1+I1487)^5)-DCF!$C$12)/ASSUMPTIONS!$C$7</f>
        <v/>
      </c>
    </row>
    <row r="1488">
      <c r="H1488" s="83">
        <f>_xlfn.NORM.INV(RAND(),AVERAGE(ASSUMPTIONS!$C$38,ASSUMPTIONS!$C$39,ASSUMPTIONS!$C$40,ASSUMPTIONS!$C$41,ASSUMPTIONS!$C$42),ASSUMPTIONS!$C$68)</f>
        <v/>
      </c>
      <c r="I1488" s="83">
        <f>MAX(_xlfn.NORM.INV(RAND(),DCF!$C$11,ASSUMPTIONS!$C$69),K1488+0.005)</f>
        <v/>
      </c>
      <c r="J1488" s="83">
        <f>_xlfn.NORM.INV(RAND(),ASSUMPTIONS!$C$19,ASSUMPTIONS!$C$70)</f>
        <v/>
      </c>
      <c r="K1488" s="83">
        <f>_xlfn.NORM.INV(RAND(),ASSUMPTIONS!$C$43,ASSUMPTIONS!$C$71)</f>
        <v/>
      </c>
      <c r="L1488" s="84">
        <f>(((ASSUMPTIONS!$C$18*J1488*(1-ASSUMPTIONS!$C$20)+ASSUMPTIONS!$C$18*ASSUMPTIONS!$C$21-ASSUMPTIONS!$C$18*ASSUMPTIONS!$C$22)*(1+H1488)*(1-((1+H1488)/(1+I1488))^5)/(I1488-H1488))+((ASSUMPTIONS!$C$18*J1488*(1-ASSUMPTIONS!$C$20)+ASSUMPTIONS!$C$18*ASSUMPTIONS!$C$21-ASSUMPTIONS!$C$18*ASSUMPTIONS!$C$22)*(1+H1488)^5*(1+K1488)/(I1488-K1488)/(1+I1488)^5)-DCF!$C$12)/ASSUMPTIONS!$C$7</f>
        <v/>
      </c>
    </row>
    <row r="1489">
      <c r="H1489" s="83">
        <f>_xlfn.NORM.INV(RAND(),AVERAGE(ASSUMPTIONS!$C$38,ASSUMPTIONS!$C$39,ASSUMPTIONS!$C$40,ASSUMPTIONS!$C$41,ASSUMPTIONS!$C$42),ASSUMPTIONS!$C$68)</f>
        <v/>
      </c>
      <c r="I1489" s="83">
        <f>MAX(_xlfn.NORM.INV(RAND(),DCF!$C$11,ASSUMPTIONS!$C$69),K1489+0.005)</f>
        <v/>
      </c>
      <c r="J1489" s="83">
        <f>_xlfn.NORM.INV(RAND(),ASSUMPTIONS!$C$19,ASSUMPTIONS!$C$70)</f>
        <v/>
      </c>
      <c r="K1489" s="83">
        <f>_xlfn.NORM.INV(RAND(),ASSUMPTIONS!$C$43,ASSUMPTIONS!$C$71)</f>
        <v/>
      </c>
      <c r="L1489" s="84">
        <f>(((ASSUMPTIONS!$C$18*J1489*(1-ASSUMPTIONS!$C$20)+ASSUMPTIONS!$C$18*ASSUMPTIONS!$C$21-ASSUMPTIONS!$C$18*ASSUMPTIONS!$C$22)*(1+H1489)*(1-((1+H1489)/(1+I1489))^5)/(I1489-H1489))+((ASSUMPTIONS!$C$18*J1489*(1-ASSUMPTIONS!$C$20)+ASSUMPTIONS!$C$18*ASSUMPTIONS!$C$21-ASSUMPTIONS!$C$18*ASSUMPTIONS!$C$22)*(1+H1489)^5*(1+K1489)/(I1489-K1489)/(1+I1489)^5)-DCF!$C$12)/ASSUMPTIONS!$C$7</f>
        <v/>
      </c>
    </row>
    <row r="1490">
      <c r="H1490" s="83">
        <f>_xlfn.NORM.INV(RAND(),AVERAGE(ASSUMPTIONS!$C$38,ASSUMPTIONS!$C$39,ASSUMPTIONS!$C$40,ASSUMPTIONS!$C$41,ASSUMPTIONS!$C$42),ASSUMPTIONS!$C$68)</f>
        <v/>
      </c>
      <c r="I1490" s="83">
        <f>MAX(_xlfn.NORM.INV(RAND(),DCF!$C$11,ASSUMPTIONS!$C$69),K1490+0.005)</f>
        <v/>
      </c>
      <c r="J1490" s="83">
        <f>_xlfn.NORM.INV(RAND(),ASSUMPTIONS!$C$19,ASSUMPTIONS!$C$70)</f>
        <v/>
      </c>
      <c r="K1490" s="83">
        <f>_xlfn.NORM.INV(RAND(),ASSUMPTIONS!$C$43,ASSUMPTIONS!$C$71)</f>
        <v/>
      </c>
      <c r="L1490" s="84">
        <f>(((ASSUMPTIONS!$C$18*J1490*(1-ASSUMPTIONS!$C$20)+ASSUMPTIONS!$C$18*ASSUMPTIONS!$C$21-ASSUMPTIONS!$C$18*ASSUMPTIONS!$C$22)*(1+H1490)*(1-((1+H1490)/(1+I1490))^5)/(I1490-H1490))+((ASSUMPTIONS!$C$18*J1490*(1-ASSUMPTIONS!$C$20)+ASSUMPTIONS!$C$18*ASSUMPTIONS!$C$21-ASSUMPTIONS!$C$18*ASSUMPTIONS!$C$22)*(1+H1490)^5*(1+K1490)/(I1490-K1490)/(1+I1490)^5)-DCF!$C$12)/ASSUMPTIONS!$C$7</f>
        <v/>
      </c>
    </row>
    <row r="1491">
      <c r="H1491" s="83">
        <f>_xlfn.NORM.INV(RAND(),AVERAGE(ASSUMPTIONS!$C$38,ASSUMPTIONS!$C$39,ASSUMPTIONS!$C$40,ASSUMPTIONS!$C$41,ASSUMPTIONS!$C$42),ASSUMPTIONS!$C$68)</f>
        <v/>
      </c>
      <c r="I1491" s="83">
        <f>MAX(_xlfn.NORM.INV(RAND(),DCF!$C$11,ASSUMPTIONS!$C$69),K1491+0.005)</f>
        <v/>
      </c>
      <c r="J1491" s="83">
        <f>_xlfn.NORM.INV(RAND(),ASSUMPTIONS!$C$19,ASSUMPTIONS!$C$70)</f>
        <v/>
      </c>
      <c r="K1491" s="83">
        <f>_xlfn.NORM.INV(RAND(),ASSUMPTIONS!$C$43,ASSUMPTIONS!$C$71)</f>
        <v/>
      </c>
      <c r="L1491" s="84">
        <f>(((ASSUMPTIONS!$C$18*J1491*(1-ASSUMPTIONS!$C$20)+ASSUMPTIONS!$C$18*ASSUMPTIONS!$C$21-ASSUMPTIONS!$C$18*ASSUMPTIONS!$C$22)*(1+H1491)*(1-((1+H1491)/(1+I1491))^5)/(I1491-H1491))+((ASSUMPTIONS!$C$18*J1491*(1-ASSUMPTIONS!$C$20)+ASSUMPTIONS!$C$18*ASSUMPTIONS!$C$21-ASSUMPTIONS!$C$18*ASSUMPTIONS!$C$22)*(1+H1491)^5*(1+K1491)/(I1491-K1491)/(1+I1491)^5)-DCF!$C$12)/ASSUMPTIONS!$C$7</f>
        <v/>
      </c>
    </row>
    <row r="1492">
      <c r="H1492" s="83">
        <f>_xlfn.NORM.INV(RAND(),AVERAGE(ASSUMPTIONS!$C$38,ASSUMPTIONS!$C$39,ASSUMPTIONS!$C$40,ASSUMPTIONS!$C$41,ASSUMPTIONS!$C$42),ASSUMPTIONS!$C$68)</f>
        <v/>
      </c>
      <c r="I1492" s="83">
        <f>MAX(_xlfn.NORM.INV(RAND(),DCF!$C$11,ASSUMPTIONS!$C$69),K1492+0.005)</f>
        <v/>
      </c>
      <c r="J1492" s="83">
        <f>_xlfn.NORM.INV(RAND(),ASSUMPTIONS!$C$19,ASSUMPTIONS!$C$70)</f>
        <v/>
      </c>
      <c r="K1492" s="83">
        <f>_xlfn.NORM.INV(RAND(),ASSUMPTIONS!$C$43,ASSUMPTIONS!$C$71)</f>
        <v/>
      </c>
      <c r="L1492" s="84">
        <f>(((ASSUMPTIONS!$C$18*J1492*(1-ASSUMPTIONS!$C$20)+ASSUMPTIONS!$C$18*ASSUMPTIONS!$C$21-ASSUMPTIONS!$C$18*ASSUMPTIONS!$C$22)*(1+H1492)*(1-((1+H1492)/(1+I1492))^5)/(I1492-H1492))+((ASSUMPTIONS!$C$18*J1492*(1-ASSUMPTIONS!$C$20)+ASSUMPTIONS!$C$18*ASSUMPTIONS!$C$21-ASSUMPTIONS!$C$18*ASSUMPTIONS!$C$22)*(1+H1492)^5*(1+K1492)/(I1492-K1492)/(1+I1492)^5)-DCF!$C$12)/ASSUMPTIONS!$C$7</f>
        <v/>
      </c>
    </row>
    <row r="1493">
      <c r="H1493" s="83">
        <f>_xlfn.NORM.INV(RAND(),AVERAGE(ASSUMPTIONS!$C$38,ASSUMPTIONS!$C$39,ASSUMPTIONS!$C$40,ASSUMPTIONS!$C$41,ASSUMPTIONS!$C$42),ASSUMPTIONS!$C$68)</f>
        <v/>
      </c>
      <c r="I1493" s="83">
        <f>MAX(_xlfn.NORM.INV(RAND(),DCF!$C$11,ASSUMPTIONS!$C$69),K1493+0.005)</f>
        <v/>
      </c>
      <c r="J1493" s="83">
        <f>_xlfn.NORM.INV(RAND(),ASSUMPTIONS!$C$19,ASSUMPTIONS!$C$70)</f>
        <v/>
      </c>
      <c r="K1493" s="83">
        <f>_xlfn.NORM.INV(RAND(),ASSUMPTIONS!$C$43,ASSUMPTIONS!$C$71)</f>
        <v/>
      </c>
      <c r="L1493" s="84">
        <f>(((ASSUMPTIONS!$C$18*J1493*(1-ASSUMPTIONS!$C$20)+ASSUMPTIONS!$C$18*ASSUMPTIONS!$C$21-ASSUMPTIONS!$C$18*ASSUMPTIONS!$C$22)*(1+H1493)*(1-((1+H1493)/(1+I1493))^5)/(I1493-H1493))+((ASSUMPTIONS!$C$18*J1493*(1-ASSUMPTIONS!$C$20)+ASSUMPTIONS!$C$18*ASSUMPTIONS!$C$21-ASSUMPTIONS!$C$18*ASSUMPTIONS!$C$22)*(1+H1493)^5*(1+K1493)/(I1493-K1493)/(1+I1493)^5)-DCF!$C$12)/ASSUMPTIONS!$C$7</f>
        <v/>
      </c>
    </row>
    <row r="1494">
      <c r="H1494" s="83">
        <f>_xlfn.NORM.INV(RAND(),AVERAGE(ASSUMPTIONS!$C$38,ASSUMPTIONS!$C$39,ASSUMPTIONS!$C$40,ASSUMPTIONS!$C$41,ASSUMPTIONS!$C$42),ASSUMPTIONS!$C$68)</f>
        <v/>
      </c>
      <c r="I1494" s="83">
        <f>MAX(_xlfn.NORM.INV(RAND(),DCF!$C$11,ASSUMPTIONS!$C$69),K1494+0.005)</f>
        <v/>
      </c>
      <c r="J1494" s="83">
        <f>_xlfn.NORM.INV(RAND(),ASSUMPTIONS!$C$19,ASSUMPTIONS!$C$70)</f>
        <v/>
      </c>
      <c r="K1494" s="83">
        <f>_xlfn.NORM.INV(RAND(),ASSUMPTIONS!$C$43,ASSUMPTIONS!$C$71)</f>
        <v/>
      </c>
      <c r="L1494" s="84">
        <f>(((ASSUMPTIONS!$C$18*J1494*(1-ASSUMPTIONS!$C$20)+ASSUMPTIONS!$C$18*ASSUMPTIONS!$C$21-ASSUMPTIONS!$C$18*ASSUMPTIONS!$C$22)*(1+H1494)*(1-((1+H1494)/(1+I1494))^5)/(I1494-H1494))+((ASSUMPTIONS!$C$18*J1494*(1-ASSUMPTIONS!$C$20)+ASSUMPTIONS!$C$18*ASSUMPTIONS!$C$21-ASSUMPTIONS!$C$18*ASSUMPTIONS!$C$22)*(1+H1494)^5*(1+K1494)/(I1494-K1494)/(1+I1494)^5)-DCF!$C$12)/ASSUMPTIONS!$C$7</f>
        <v/>
      </c>
    </row>
    <row r="1495">
      <c r="H1495" s="83">
        <f>_xlfn.NORM.INV(RAND(),AVERAGE(ASSUMPTIONS!$C$38,ASSUMPTIONS!$C$39,ASSUMPTIONS!$C$40,ASSUMPTIONS!$C$41,ASSUMPTIONS!$C$42),ASSUMPTIONS!$C$68)</f>
        <v/>
      </c>
      <c r="I1495" s="83">
        <f>MAX(_xlfn.NORM.INV(RAND(),DCF!$C$11,ASSUMPTIONS!$C$69),K1495+0.005)</f>
        <v/>
      </c>
      <c r="J1495" s="83">
        <f>_xlfn.NORM.INV(RAND(),ASSUMPTIONS!$C$19,ASSUMPTIONS!$C$70)</f>
        <v/>
      </c>
      <c r="K1495" s="83">
        <f>_xlfn.NORM.INV(RAND(),ASSUMPTIONS!$C$43,ASSUMPTIONS!$C$71)</f>
        <v/>
      </c>
      <c r="L1495" s="84">
        <f>(((ASSUMPTIONS!$C$18*J1495*(1-ASSUMPTIONS!$C$20)+ASSUMPTIONS!$C$18*ASSUMPTIONS!$C$21-ASSUMPTIONS!$C$18*ASSUMPTIONS!$C$22)*(1+H1495)*(1-((1+H1495)/(1+I1495))^5)/(I1495-H1495))+((ASSUMPTIONS!$C$18*J1495*(1-ASSUMPTIONS!$C$20)+ASSUMPTIONS!$C$18*ASSUMPTIONS!$C$21-ASSUMPTIONS!$C$18*ASSUMPTIONS!$C$22)*(1+H1495)^5*(1+K1495)/(I1495-K1495)/(1+I1495)^5)-DCF!$C$12)/ASSUMPTIONS!$C$7</f>
        <v/>
      </c>
    </row>
    <row r="1496">
      <c r="H1496" s="83">
        <f>_xlfn.NORM.INV(RAND(),AVERAGE(ASSUMPTIONS!$C$38,ASSUMPTIONS!$C$39,ASSUMPTIONS!$C$40,ASSUMPTIONS!$C$41,ASSUMPTIONS!$C$42),ASSUMPTIONS!$C$68)</f>
        <v/>
      </c>
      <c r="I1496" s="83">
        <f>MAX(_xlfn.NORM.INV(RAND(),DCF!$C$11,ASSUMPTIONS!$C$69),K1496+0.005)</f>
        <v/>
      </c>
      <c r="J1496" s="83">
        <f>_xlfn.NORM.INV(RAND(),ASSUMPTIONS!$C$19,ASSUMPTIONS!$C$70)</f>
        <v/>
      </c>
      <c r="K1496" s="83">
        <f>_xlfn.NORM.INV(RAND(),ASSUMPTIONS!$C$43,ASSUMPTIONS!$C$71)</f>
        <v/>
      </c>
      <c r="L1496" s="84">
        <f>(((ASSUMPTIONS!$C$18*J1496*(1-ASSUMPTIONS!$C$20)+ASSUMPTIONS!$C$18*ASSUMPTIONS!$C$21-ASSUMPTIONS!$C$18*ASSUMPTIONS!$C$22)*(1+H1496)*(1-((1+H1496)/(1+I1496))^5)/(I1496-H1496))+((ASSUMPTIONS!$C$18*J1496*(1-ASSUMPTIONS!$C$20)+ASSUMPTIONS!$C$18*ASSUMPTIONS!$C$21-ASSUMPTIONS!$C$18*ASSUMPTIONS!$C$22)*(1+H1496)^5*(1+K1496)/(I1496-K1496)/(1+I1496)^5)-DCF!$C$12)/ASSUMPTIONS!$C$7</f>
        <v/>
      </c>
    </row>
    <row r="1497">
      <c r="H1497" s="83">
        <f>_xlfn.NORM.INV(RAND(),AVERAGE(ASSUMPTIONS!$C$38,ASSUMPTIONS!$C$39,ASSUMPTIONS!$C$40,ASSUMPTIONS!$C$41,ASSUMPTIONS!$C$42),ASSUMPTIONS!$C$68)</f>
        <v/>
      </c>
      <c r="I1497" s="83">
        <f>MAX(_xlfn.NORM.INV(RAND(),DCF!$C$11,ASSUMPTIONS!$C$69),K1497+0.005)</f>
        <v/>
      </c>
      <c r="J1497" s="83">
        <f>_xlfn.NORM.INV(RAND(),ASSUMPTIONS!$C$19,ASSUMPTIONS!$C$70)</f>
        <v/>
      </c>
      <c r="K1497" s="83">
        <f>_xlfn.NORM.INV(RAND(),ASSUMPTIONS!$C$43,ASSUMPTIONS!$C$71)</f>
        <v/>
      </c>
      <c r="L1497" s="84">
        <f>(((ASSUMPTIONS!$C$18*J1497*(1-ASSUMPTIONS!$C$20)+ASSUMPTIONS!$C$18*ASSUMPTIONS!$C$21-ASSUMPTIONS!$C$18*ASSUMPTIONS!$C$22)*(1+H1497)*(1-((1+H1497)/(1+I1497))^5)/(I1497-H1497))+((ASSUMPTIONS!$C$18*J1497*(1-ASSUMPTIONS!$C$20)+ASSUMPTIONS!$C$18*ASSUMPTIONS!$C$21-ASSUMPTIONS!$C$18*ASSUMPTIONS!$C$22)*(1+H1497)^5*(1+K1497)/(I1497-K1497)/(1+I1497)^5)-DCF!$C$12)/ASSUMPTIONS!$C$7</f>
        <v/>
      </c>
    </row>
    <row r="1498">
      <c r="H1498" s="83">
        <f>_xlfn.NORM.INV(RAND(),AVERAGE(ASSUMPTIONS!$C$38,ASSUMPTIONS!$C$39,ASSUMPTIONS!$C$40,ASSUMPTIONS!$C$41,ASSUMPTIONS!$C$42),ASSUMPTIONS!$C$68)</f>
        <v/>
      </c>
      <c r="I1498" s="83">
        <f>MAX(_xlfn.NORM.INV(RAND(),DCF!$C$11,ASSUMPTIONS!$C$69),K1498+0.005)</f>
        <v/>
      </c>
      <c r="J1498" s="83">
        <f>_xlfn.NORM.INV(RAND(),ASSUMPTIONS!$C$19,ASSUMPTIONS!$C$70)</f>
        <v/>
      </c>
      <c r="K1498" s="83">
        <f>_xlfn.NORM.INV(RAND(),ASSUMPTIONS!$C$43,ASSUMPTIONS!$C$71)</f>
        <v/>
      </c>
      <c r="L1498" s="84">
        <f>(((ASSUMPTIONS!$C$18*J1498*(1-ASSUMPTIONS!$C$20)+ASSUMPTIONS!$C$18*ASSUMPTIONS!$C$21-ASSUMPTIONS!$C$18*ASSUMPTIONS!$C$22)*(1+H1498)*(1-((1+H1498)/(1+I1498))^5)/(I1498-H1498))+((ASSUMPTIONS!$C$18*J1498*(1-ASSUMPTIONS!$C$20)+ASSUMPTIONS!$C$18*ASSUMPTIONS!$C$21-ASSUMPTIONS!$C$18*ASSUMPTIONS!$C$22)*(1+H1498)^5*(1+K1498)/(I1498-K1498)/(1+I1498)^5)-DCF!$C$12)/ASSUMPTIONS!$C$7</f>
        <v/>
      </c>
    </row>
    <row r="1499">
      <c r="H1499" s="83">
        <f>_xlfn.NORM.INV(RAND(),AVERAGE(ASSUMPTIONS!$C$38,ASSUMPTIONS!$C$39,ASSUMPTIONS!$C$40,ASSUMPTIONS!$C$41,ASSUMPTIONS!$C$42),ASSUMPTIONS!$C$68)</f>
        <v/>
      </c>
      <c r="I1499" s="83">
        <f>MAX(_xlfn.NORM.INV(RAND(),DCF!$C$11,ASSUMPTIONS!$C$69),K1499+0.005)</f>
        <v/>
      </c>
      <c r="J1499" s="83">
        <f>_xlfn.NORM.INV(RAND(),ASSUMPTIONS!$C$19,ASSUMPTIONS!$C$70)</f>
        <v/>
      </c>
      <c r="K1499" s="83">
        <f>_xlfn.NORM.INV(RAND(),ASSUMPTIONS!$C$43,ASSUMPTIONS!$C$71)</f>
        <v/>
      </c>
      <c r="L1499" s="84">
        <f>(((ASSUMPTIONS!$C$18*J1499*(1-ASSUMPTIONS!$C$20)+ASSUMPTIONS!$C$18*ASSUMPTIONS!$C$21-ASSUMPTIONS!$C$18*ASSUMPTIONS!$C$22)*(1+H1499)*(1-((1+H1499)/(1+I1499))^5)/(I1499-H1499))+((ASSUMPTIONS!$C$18*J1499*(1-ASSUMPTIONS!$C$20)+ASSUMPTIONS!$C$18*ASSUMPTIONS!$C$21-ASSUMPTIONS!$C$18*ASSUMPTIONS!$C$22)*(1+H1499)^5*(1+K1499)/(I1499-K1499)/(1+I1499)^5)-DCF!$C$12)/ASSUMPTIONS!$C$7</f>
        <v/>
      </c>
    </row>
    <row r="1500">
      <c r="H1500" s="83">
        <f>_xlfn.NORM.INV(RAND(),AVERAGE(ASSUMPTIONS!$C$38,ASSUMPTIONS!$C$39,ASSUMPTIONS!$C$40,ASSUMPTIONS!$C$41,ASSUMPTIONS!$C$42),ASSUMPTIONS!$C$68)</f>
        <v/>
      </c>
      <c r="I1500" s="83">
        <f>MAX(_xlfn.NORM.INV(RAND(),DCF!$C$11,ASSUMPTIONS!$C$69),K1500+0.005)</f>
        <v/>
      </c>
      <c r="J1500" s="83">
        <f>_xlfn.NORM.INV(RAND(),ASSUMPTIONS!$C$19,ASSUMPTIONS!$C$70)</f>
        <v/>
      </c>
      <c r="K1500" s="83">
        <f>_xlfn.NORM.INV(RAND(),ASSUMPTIONS!$C$43,ASSUMPTIONS!$C$71)</f>
        <v/>
      </c>
      <c r="L1500" s="84">
        <f>(((ASSUMPTIONS!$C$18*J1500*(1-ASSUMPTIONS!$C$20)+ASSUMPTIONS!$C$18*ASSUMPTIONS!$C$21-ASSUMPTIONS!$C$18*ASSUMPTIONS!$C$22)*(1+H1500)*(1-((1+H1500)/(1+I1500))^5)/(I1500-H1500))+((ASSUMPTIONS!$C$18*J1500*(1-ASSUMPTIONS!$C$20)+ASSUMPTIONS!$C$18*ASSUMPTIONS!$C$21-ASSUMPTIONS!$C$18*ASSUMPTIONS!$C$22)*(1+H1500)^5*(1+K1500)/(I1500-K1500)/(1+I1500)^5)-DCF!$C$12)/ASSUMPTIONS!$C$7</f>
        <v/>
      </c>
    </row>
    <row r="1501">
      <c r="H1501" s="83">
        <f>_xlfn.NORM.INV(RAND(),AVERAGE(ASSUMPTIONS!$C$38,ASSUMPTIONS!$C$39,ASSUMPTIONS!$C$40,ASSUMPTIONS!$C$41,ASSUMPTIONS!$C$42),ASSUMPTIONS!$C$68)</f>
        <v/>
      </c>
      <c r="I1501" s="83">
        <f>MAX(_xlfn.NORM.INV(RAND(),DCF!$C$11,ASSUMPTIONS!$C$69),K1501+0.005)</f>
        <v/>
      </c>
      <c r="J1501" s="83">
        <f>_xlfn.NORM.INV(RAND(),ASSUMPTIONS!$C$19,ASSUMPTIONS!$C$70)</f>
        <v/>
      </c>
      <c r="K1501" s="83">
        <f>_xlfn.NORM.INV(RAND(),ASSUMPTIONS!$C$43,ASSUMPTIONS!$C$71)</f>
        <v/>
      </c>
      <c r="L1501" s="84">
        <f>(((ASSUMPTIONS!$C$18*J1501*(1-ASSUMPTIONS!$C$20)+ASSUMPTIONS!$C$18*ASSUMPTIONS!$C$21-ASSUMPTIONS!$C$18*ASSUMPTIONS!$C$22)*(1+H1501)*(1-((1+H1501)/(1+I1501))^5)/(I1501-H1501))+((ASSUMPTIONS!$C$18*J1501*(1-ASSUMPTIONS!$C$20)+ASSUMPTIONS!$C$18*ASSUMPTIONS!$C$21-ASSUMPTIONS!$C$18*ASSUMPTIONS!$C$22)*(1+H1501)^5*(1+K1501)/(I1501-K1501)/(1+I1501)^5)-DCF!$C$12)/ASSUMPTIONS!$C$7</f>
        <v/>
      </c>
    </row>
    <row r="1502">
      <c r="H1502" s="83">
        <f>_xlfn.NORM.INV(RAND(),AVERAGE(ASSUMPTIONS!$C$38,ASSUMPTIONS!$C$39,ASSUMPTIONS!$C$40,ASSUMPTIONS!$C$41,ASSUMPTIONS!$C$42),ASSUMPTIONS!$C$68)</f>
        <v/>
      </c>
      <c r="I1502" s="83">
        <f>MAX(_xlfn.NORM.INV(RAND(),DCF!$C$11,ASSUMPTIONS!$C$69),K1502+0.005)</f>
        <v/>
      </c>
      <c r="J1502" s="83">
        <f>_xlfn.NORM.INV(RAND(),ASSUMPTIONS!$C$19,ASSUMPTIONS!$C$70)</f>
        <v/>
      </c>
      <c r="K1502" s="83">
        <f>_xlfn.NORM.INV(RAND(),ASSUMPTIONS!$C$43,ASSUMPTIONS!$C$71)</f>
        <v/>
      </c>
      <c r="L1502" s="84">
        <f>(((ASSUMPTIONS!$C$18*J1502*(1-ASSUMPTIONS!$C$20)+ASSUMPTIONS!$C$18*ASSUMPTIONS!$C$21-ASSUMPTIONS!$C$18*ASSUMPTIONS!$C$22)*(1+H1502)*(1-((1+H1502)/(1+I1502))^5)/(I1502-H1502))+((ASSUMPTIONS!$C$18*J1502*(1-ASSUMPTIONS!$C$20)+ASSUMPTIONS!$C$18*ASSUMPTIONS!$C$21-ASSUMPTIONS!$C$18*ASSUMPTIONS!$C$22)*(1+H1502)^5*(1+K1502)/(I1502-K1502)/(1+I1502)^5)-DCF!$C$12)/ASSUMPTIONS!$C$7</f>
        <v/>
      </c>
    </row>
    <row r="1503">
      <c r="H1503" s="83">
        <f>_xlfn.NORM.INV(RAND(),AVERAGE(ASSUMPTIONS!$C$38,ASSUMPTIONS!$C$39,ASSUMPTIONS!$C$40,ASSUMPTIONS!$C$41,ASSUMPTIONS!$C$42),ASSUMPTIONS!$C$68)</f>
        <v/>
      </c>
      <c r="I1503" s="83">
        <f>MAX(_xlfn.NORM.INV(RAND(),DCF!$C$11,ASSUMPTIONS!$C$69),K1503+0.005)</f>
        <v/>
      </c>
      <c r="J1503" s="83">
        <f>_xlfn.NORM.INV(RAND(),ASSUMPTIONS!$C$19,ASSUMPTIONS!$C$70)</f>
        <v/>
      </c>
      <c r="K1503" s="83">
        <f>_xlfn.NORM.INV(RAND(),ASSUMPTIONS!$C$43,ASSUMPTIONS!$C$71)</f>
        <v/>
      </c>
      <c r="L1503" s="84">
        <f>(((ASSUMPTIONS!$C$18*J1503*(1-ASSUMPTIONS!$C$20)+ASSUMPTIONS!$C$18*ASSUMPTIONS!$C$21-ASSUMPTIONS!$C$18*ASSUMPTIONS!$C$22)*(1+H1503)*(1-((1+H1503)/(1+I1503))^5)/(I1503-H1503))+((ASSUMPTIONS!$C$18*J1503*(1-ASSUMPTIONS!$C$20)+ASSUMPTIONS!$C$18*ASSUMPTIONS!$C$21-ASSUMPTIONS!$C$18*ASSUMPTIONS!$C$22)*(1+H1503)^5*(1+K1503)/(I1503-K1503)/(1+I1503)^5)-DCF!$C$12)/ASSUMPTIONS!$C$7</f>
        <v/>
      </c>
    </row>
    <row r="1504">
      <c r="H1504" s="83">
        <f>_xlfn.NORM.INV(RAND(),AVERAGE(ASSUMPTIONS!$C$38,ASSUMPTIONS!$C$39,ASSUMPTIONS!$C$40,ASSUMPTIONS!$C$41,ASSUMPTIONS!$C$42),ASSUMPTIONS!$C$68)</f>
        <v/>
      </c>
      <c r="I1504" s="83">
        <f>MAX(_xlfn.NORM.INV(RAND(),DCF!$C$11,ASSUMPTIONS!$C$69),K1504+0.005)</f>
        <v/>
      </c>
      <c r="J1504" s="83">
        <f>_xlfn.NORM.INV(RAND(),ASSUMPTIONS!$C$19,ASSUMPTIONS!$C$70)</f>
        <v/>
      </c>
      <c r="K1504" s="83">
        <f>_xlfn.NORM.INV(RAND(),ASSUMPTIONS!$C$43,ASSUMPTIONS!$C$71)</f>
        <v/>
      </c>
      <c r="L1504" s="84">
        <f>(((ASSUMPTIONS!$C$18*J1504*(1-ASSUMPTIONS!$C$20)+ASSUMPTIONS!$C$18*ASSUMPTIONS!$C$21-ASSUMPTIONS!$C$18*ASSUMPTIONS!$C$22)*(1+H1504)*(1-((1+H1504)/(1+I1504))^5)/(I1504-H1504))+((ASSUMPTIONS!$C$18*J1504*(1-ASSUMPTIONS!$C$20)+ASSUMPTIONS!$C$18*ASSUMPTIONS!$C$21-ASSUMPTIONS!$C$18*ASSUMPTIONS!$C$22)*(1+H1504)^5*(1+K1504)/(I1504-K1504)/(1+I1504)^5)-DCF!$C$12)/ASSUMPTIONS!$C$7</f>
        <v/>
      </c>
    </row>
    <row r="1505">
      <c r="H1505" s="83">
        <f>_xlfn.NORM.INV(RAND(),AVERAGE(ASSUMPTIONS!$C$38,ASSUMPTIONS!$C$39,ASSUMPTIONS!$C$40,ASSUMPTIONS!$C$41,ASSUMPTIONS!$C$42),ASSUMPTIONS!$C$68)</f>
        <v/>
      </c>
      <c r="I1505" s="83">
        <f>MAX(_xlfn.NORM.INV(RAND(),DCF!$C$11,ASSUMPTIONS!$C$69),K1505+0.005)</f>
        <v/>
      </c>
      <c r="J1505" s="83">
        <f>_xlfn.NORM.INV(RAND(),ASSUMPTIONS!$C$19,ASSUMPTIONS!$C$70)</f>
        <v/>
      </c>
      <c r="K1505" s="83">
        <f>_xlfn.NORM.INV(RAND(),ASSUMPTIONS!$C$43,ASSUMPTIONS!$C$71)</f>
        <v/>
      </c>
      <c r="L1505" s="84">
        <f>(((ASSUMPTIONS!$C$18*J1505*(1-ASSUMPTIONS!$C$20)+ASSUMPTIONS!$C$18*ASSUMPTIONS!$C$21-ASSUMPTIONS!$C$18*ASSUMPTIONS!$C$22)*(1+H1505)*(1-((1+H1505)/(1+I1505))^5)/(I1505-H1505))+((ASSUMPTIONS!$C$18*J1505*(1-ASSUMPTIONS!$C$20)+ASSUMPTIONS!$C$18*ASSUMPTIONS!$C$21-ASSUMPTIONS!$C$18*ASSUMPTIONS!$C$22)*(1+H1505)^5*(1+K1505)/(I1505-K1505)/(1+I1505)^5)-DCF!$C$12)/ASSUMPTIONS!$C$7</f>
        <v/>
      </c>
    </row>
    <row r="1506">
      <c r="H1506" s="83">
        <f>_xlfn.NORM.INV(RAND(),AVERAGE(ASSUMPTIONS!$C$38,ASSUMPTIONS!$C$39,ASSUMPTIONS!$C$40,ASSUMPTIONS!$C$41,ASSUMPTIONS!$C$42),ASSUMPTIONS!$C$68)</f>
        <v/>
      </c>
      <c r="I1506" s="83">
        <f>MAX(_xlfn.NORM.INV(RAND(),DCF!$C$11,ASSUMPTIONS!$C$69),K1506+0.005)</f>
        <v/>
      </c>
      <c r="J1506" s="83">
        <f>_xlfn.NORM.INV(RAND(),ASSUMPTIONS!$C$19,ASSUMPTIONS!$C$70)</f>
        <v/>
      </c>
      <c r="K1506" s="83">
        <f>_xlfn.NORM.INV(RAND(),ASSUMPTIONS!$C$43,ASSUMPTIONS!$C$71)</f>
        <v/>
      </c>
      <c r="L1506" s="84">
        <f>(((ASSUMPTIONS!$C$18*J1506*(1-ASSUMPTIONS!$C$20)+ASSUMPTIONS!$C$18*ASSUMPTIONS!$C$21-ASSUMPTIONS!$C$18*ASSUMPTIONS!$C$22)*(1+H1506)*(1-((1+H1506)/(1+I1506))^5)/(I1506-H1506))+((ASSUMPTIONS!$C$18*J1506*(1-ASSUMPTIONS!$C$20)+ASSUMPTIONS!$C$18*ASSUMPTIONS!$C$21-ASSUMPTIONS!$C$18*ASSUMPTIONS!$C$22)*(1+H1506)^5*(1+K1506)/(I1506-K1506)/(1+I1506)^5)-DCF!$C$12)/ASSUMPTIONS!$C$7</f>
        <v/>
      </c>
    </row>
    <row r="1507">
      <c r="H1507" s="83">
        <f>_xlfn.NORM.INV(RAND(),AVERAGE(ASSUMPTIONS!$C$38,ASSUMPTIONS!$C$39,ASSUMPTIONS!$C$40,ASSUMPTIONS!$C$41,ASSUMPTIONS!$C$42),ASSUMPTIONS!$C$68)</f>
        <v/>
      </c>
      <c r="I1507" s="83">
        <f>MAX(_xlfn.NORM.INV(RAND(),DCF!$C$11,ASSUMPTIONS!$C$69),K1507+0.005)</f>
        <v/>
      </c>
      <c r="J1507" s="83">
        <f>_xlfn.NORM.INV(RAND(),ASSUMPTIONS!$C$19,ASSUMPTIONS!$C$70)</f>
        <v/>
      </c>
      <c r="K1507" s="83">
        <f>_xlfn.NORM.INV(RAND(),ASSUMPTIONS!$C$43,ASSUMPTIONS!$C$71)</f>
        <v/>
      </c>
      <c r="L1507" s="84">
        <f>(((ASSUMPTIONS!$C$18*J1507*(1-ASSUMPTIONS!$C$20)+ASSUMPTIONS!$C$18*ASSUMPTIONS!$C$21-ASSUMPTIONS!$C$18*ASSUMPTIONS!$C$22)*(1+H1507)*(1-((1+H1507)/(1+I1507))^5)/(I1507-H1507))+((ASSUMPTIONS!$C$18*J1507*(1-ASSUMPTIONS!$C$20)+ASSUMPTIONS!$C$18*ASSUMPTIONS!$C$21-ASSUMPTIONS!$C$18*ASSUMPTIONS!$C$22)*(1+H1507)^5*(1+K1507)/(I1507-K1507)/(1+I1507)^5)-DCF!$C$12)/ASSUMPTIONS!$C$7</f>
        <v/>
      </c>
    </row>
    <row r="1508">
      <c r="H1508" s="83">
        <f>_xlfn.NORM.INV(RAND(),AVERAGE(ASSUMPTIONS!$C$38,ASSUMPTIONS!$C$39,ASSUMPTIONS!$C$40,ASSUMPTIONS!$C$41,ASSUMPTIONS!$C$42),ASSUMPTIONS!$C$68)</f>
        <v/>
      </c>
      <c r="I1508" s="83">
        <f>MAX(_xlfn.NORM.INV(RAND(),DCF!$C$11,ASSUMPTIONS!$C$69),K1508+0.005)</f>
        <v/>
      </c>
      <c r="J1508" s="83">
        <f>_xlfn.NORM.INV(RAND(),ASSUMPTIONS!$C$19,ASSUMPTIONS!$C$70)</f>
        <v/>
      </c>
      <c r="K1508" s="83">
        <f>_xlfn.NORM.INV(RAND(),ASSUMPTIONS!$C$43,ASSUMPTIONS!$C$71)</f>
        <v/>
      </c>
      <c r="L1508" s="84">
        <f>(((ASSUMPTIONS!$C$18*J1508*(1-ASSUMPTIONS!$C$20)+ASSUMPTIONS!$C$18*ASSUMPTIONS!$C$21-ASSUMPTIONS!$C$18*ASSUMPTIONS!$C$22)*(1+H1508)*(1-((1+H1508)/(1+I1508))^5)/(I1508-H1508))+((ASSUMPTIONS!$C$18*J1508*(1-ASSUMPTIONS!$C$20)+ASSUMPTIONS!$C$18*ASSUMPTIONS!$C$21-ASSUMPTIONS!$C$18*ASSUMPTIONS!$C$22)*(1+H1508)^5*(1+K1508)/(I1508-K1508)/(1+I1508)^5)-DCF!$C$12)/ASSUMPTIONS!$C$7</f>
        <v/>
      </c>
    </row>
    <row r="1509">
      <c r="H1509" s="83">
        <f>_xlfn.NORM.INV(RAND(),AVERAGE(ASSUMPTIONS!$C$38,ASSUMPTIONS!$C$39,ASSUMPTIONS!$C$40,ASSUMPTIONS!$C$41,ASSUMPTIONS!$C$42),ASSUMPTIONS!$C$68)</f>
        <v/>
      </c>
      <c r="I1509" s="83">
        <f>MAX(_xlfn.NORM.INV(RAND(),DCF!$C$11,ASSUMPTIONS!$C$69),K1509+0.005)</f>
        <v/>
      </c>
      <c r="J1509" s="83">
        <f>_xlfn.NORM.INV(RAND(),ASSUMPTIONS!$C$19,ASSUMPTIONS!$C$70)</f>
        <v/>
      </c>
      <c r="K1509" s="83">
        <f>_xlfn.NORM.INV(RAND(),ASSUMPTIONS!$C$43,ASSUMPTIONS!$C$71)</f>
        <v/>
      </c>
      <c r="L1509" s="84">
        <f>(((ASSUMPTIONS!$C$18*J1509*(1-ASSUMPTIONS!$C$20)+ASSUMPTIONS!$C$18*ASSUMPTIONS!$C$21-ASSUMPTIONS!$C$18*ASSUMPTIONS!$C$22)*(1+H1509)*(1-((1+H1509)/(1+I1509))^5)/(I1509-H1509))+((ASSUMPTIONS!$C$18*J1509*(1-ASSUMPTIONS!$C$20)+ASSUMPTIONS!$C$18*ASSUMPTIONS!$C$21-ASSUMPTIONS!$C$18*ASSUMPTIONS!$C$22)*(1+H1509)^5*(1+K1509)/(I1509-K1509)/(1+I1509)^5)-DCF!$C$12)/ASSUMPTIONS!$C$7</f>
        <v/>
      </c>
    </row>
    <row r="1510">
      <c r="H1510" s="83">
        <f>_xlfn.NORM.INV(RAND(),AVERAGE(ASSUMPTIONS!$C$38,ASSUMPTIONS!$C$39,ASSUMPTIONS!$C$40,ASSUMPTIONS!$C$41,ASSUMPTIONS!$C$42),ASSUMPTIONS!$C$68)</f>
        <v/>
      </c>
      <c r="I1510" s="83">
        <f>MAX(_xlfn.NORM.INV(RAND(),DCF!$C$11,ASSUMPTIONS!$C$69),K1510+0.005)</f>
        <v/>
      </c>
      <c r="J1510" s="83">
        <f>_xlfn.NORM.INV(RAND(),ASSUMPTIONS!$C$19,ASSUMPTIONS!$C$70)</f>
        <v/>
      </c>
      <c r="K1510" s="83">
        <f>_xlfn.NORM.INV(RAND(),ASSUMPTIONS!$C$43,ASSUMPTIONS!$C$71)</f>
        <v/>
      </c>
      <c r="L1510" s="84">
        <f>(((ASSUMPTIONS!$C$18*J1510*(1-ASSUMPTIONS!$C$20)+ASSUMPTIONS!$C$18*ASSUMPTIONS!$C$21-ASSUMPTIONS!$C$18*ASSUMPTIONS!$C$22)*(1+H1510)*(1-((1+H1510)/(1+I1510))^5)/(I1510-H1510))+((ASSUMPTIONS!$C$18*J1510*(1-ASSUMPTIONS!$C$20)+ASSUMPTIONS!$C$18*ASSUMPTIONS!$C$21-ASSUMPTIONS!$C$18*ASSUMPTIONS!$C$22)*(1+H1510)^5*(1+K1510)/(I1510-K1510)/(1+I1510)^5)-DCF!$C$12)/ASSUMPTIONS!$C$7</f>
        <v/>
      </c>
    </row>
    <row r="1511">
      <c r="H1511" s="83">
        <f>_xlfn.NORM.INV(RAND(),AVERAGE(ASSUMPTIONS!$C$38,ASSUMPTIONS!$C$39,ASSUMPTIONS!$C$40,ASSUMPTIONS!$C$41,ASSUMPTIONS!$C$42),ASSUMPTIONS!$C$68)</f>
        <v/>
      </c>
      <c r="I1511" s="83">
        <f>MAX(_xlfn.NORM.INV(RAND(),DCF!$C$11,ASSUMPTIONS!$C$69),K1511+0.005)</f>
        <v/>
      </c>
      <c r="J1511" s="83">
        <f>_xlfn.NORM.INV(RAND(),ASSUMPTIONS!$C$19,ASSUMPTIONS!$C$70)</f>
        <v/>
      </c>
      <c r="K1511" s="83">
        <f>_xlfn.NORM.INV(RAND(),ASSUMPTIONS!$C$43,ASSUMPTIONS!$C$71)</f>
        <v/>
      </c>
      <c r="L1511" s="84">
        <f>(((ASSUMPTIONS!$C$18*J1511*(1-ASSUMPTIONS!$C$20)+ASSUMPTIONS!$C$18*ASSUMPTIONS!$C$21-ASSUMPTIONS!$C$18*ASSUMPTIONS!$C$22)*(1+H1511)*(1-((1+H1511)/(1+I1511))^5)/(I1511-H1511))+((ASSUMPTIONS!$C$18*J1511*(1-ASSUMPTIONS!$C$20)+ASSUMPTIONS!$C$18*ASSUMPTIONS!$C$21-ASSUMPTIONS!$C$18*ASSUMPTIONS!$C$22)*(1+H1511)^5*(1+K1511)/(I1511-K1511)/(1+I1511)^5)-DCF!$C$12)/ASSUMPTIONS!$C$7</f>
        <v/>
      </c>
    </row>
    <row r="1512">
      <c r="H1512" s="83">
        <f>_xlfn.NORM.INV(RAND(),AVERAGE(ASSUMPTIONS!$C$38,ASSUMPTIONS!$C$39,ASSUMPTIONS!$C$40,ASSUMPTIONS!$C$41,ASSUMPTIONS!$C$42),ASSUMPTIONS!$C$68)</f>
        <v/>
      </c>
      <c r="I1512" s="83">
        <f>MAX(_xlfn.NORM.INV(RAND(),DCF!$C$11,ASSUMPTIONS!$C$69),K1512+0.005)</f>
        <v/>
      </c>
      <c r="J1512" s="83">
        <f>_xlfn.NORM.INV(RAND(),ASSUMPTIONS!$C$19,ASSUMPTIONS!$C$70)</f>
        <v/>
      </c>
      <c r="K1512" s="83">
        <f>_xlfn.NORM.INV(RAND(),ASSUMPTIONS!$C$43,ASSUMPTIONS!$C$71)</f>
        <v/>
      </c>
      <c r="L1512" s="84">
        <f>(((ASSUMPTIONS!$C$18*J1512*(1-ASSUMPTIONS!$C$20)+ASSUMPTIONS!$C$18*ASSUMPTIONS!$C$21-ASSUMPTIONS!$C$18*ASSUMPTIONS!$C$22)*(1+H1512)*(1-((1+H1512)/(1+I1512))^5)/(I1512-H1512))+((ASSUMPTIONS!$C$18*J1512*(1-ASSUMPTIONS!$C$20)+ASSUMPTIONS!$C$18*ASSUMPTIONS!$C$21-ASSUMPTIONS!$C$18*ASSUMPTIONS!$C$22)*(1+H1512)^5*(1+K1512)/(I1512-K1512)/(1+I1512)^5)-DCF!$C$12)/ASSUMPTIONS!$C$7</f>
        <v/>
      </c>
    </row>
    <row r="1513">
      <c r="H1513" s="83">
        <f>_xlfn.NORM.INV(RAND(),AVERAGE(ASSUMPTIONS!$C$38,ASSUMPTIONS!$C$39,ASSUMPTIONS!$C$40,ASSUMPTIONS!$C$41,ASSUMPTIONS!$C$42),ASSUMPTIONS!$C$68)</f>
        <v/>
      </c>
      <c r="I1513" s="83">
        <f>MAX(_xlfn.NORM.INV(RAND(),DCF!$C$11,ASSUMPTIONS!$C$69),K1513+0.005)</f>
        <v/>
      </c>
      <c r="J1513" s="83">
        <f>_xlfn.NORM.INV(RAND(),ASSUMPTIONS!$C$19,ASSUMPTIONS!$C$70)</f>
        <v/>
      </c>
      <c r="K1513" s="83">
        <f>_xlfn.NORM.INV(RAND(),ASSUMPTIONS!$C$43,ASSUMPTIONS!$C$71)</f>
        <v/>
      </c>
      <c r="L1513" s="84">
        <f>(((ASSUMPTIONS!$C$18*J1513*(1-ASSUMPTIONS!$C$20)+ASSUMPTIONS!$C$18*ASSUMPTIONS!$C$21-ASSUMPTIONS!$C$18*ASSUMPTIONS!$C$22)*(1+H1513)*(1-((1+H1513)/(1+I1513))^5)/(I1513-H1513))+((ASSUMPTIONS!$C$18*J1513*(1-ASSUMPTIONS!$C$20)+ASSUMPTIONS!$C$18*ASSUMPTIONS!$C$21-ASSUMPTIONS!$C$18*ASSUMPTIONS!$C$22)*(1+H1513)^5*(1+K1513)/(I1513-K1513)/(1+I1513)^5)-DCF!$C$12)/ASSUMPTIONS!$C$7</f>
        <v/>
      </c>
    </row>
    <row r="1514">
      <c r="H1514" s="83">
        <f>_xlfn.NORM.INV(RAND(),AVERAGE(ASSUMPTIONS!$C$38,ASSUMPTIONS!$C$39,ASSUMPTIONS!$C$40,ASSUMPTIONS!$C$41,ASSUMPTIONS!$C$42),ASSUMPTIONS!$C$68)</f>
        <v/>
      </c>
      <c r="I1514" s="83">
        <f>MAX(_xlfn.NORM.INV(RAND(),DCF!$C$11,ASSUMPTIONS!$C$69),K1514+0.005)</f>
        <v/>
      </c>
      <c r="J1514" s="83">
        <f>_xlfn.NORM.INV(RAND(),ASSUMPTIONS!$C$19,ASSUMPTIONS!$C$70)</f>
        <v/>
      </c>
      <c r="K1514" s="83">
        <f>_xlfn.NORM.INV(RAND(),ASSUMPTIONS!$C$43,ASSUMPTIONS!$C$71)</f>
        <v/>
      </c>
      <c r="L1514" s="84">
        <f>(((ASSUMPTIONS!$C$18*J1514*(1-ASSUMPTIONS!$C$20)+ASSUMPTIONS!$C$18*ASSUMPTIONS!$C$21-ASSUMPTIONS!$C$18*ASSUMPTIONS!$C$22)*(1+H1514)*(1-((1+H1514)/(1+I1514))^5)/(I1514-H1514))+((ASSUMPTIONS!$C$18*J1514*(1-ASSUMPTIONS!$C$20)+ASSUMPTIONS!$C$18*ASSUMPTIONS!$C$21-ASSUMPTIONS!$C$18*ASSUMPTIONS!$C$22)*(1+H1514)^5*(1+K1514)/(I1514-K1514)/(1+I1514)^5)-DCF!$C$12)/ASSUMPTIONS!$C$7</f>
        <v/>
      </c>
    </row>
    <row r="1515">
      <c r="H1515" s="83">
        <f>_xlfn.NORM.INV(RAND(),AVERAGE(ASSUMPTIONS!$C$38,ASSUMPTIONS!$C$39,ASSUMPTIONS!$C$40,ASSUMPTIONS!$C$41,ASSUMPTIONS!$C$42),ASSUMPTIONS!$C$68)</f>
        <v/>
      </c>
      <c r="I1515" s="83">
        <f>MAX(_xlfn.NORM.INV(RAND(),DCF!$C$11,ASSUMPTIONS!$C$69),K1515+0.005)</f>
        <v/>
      </c>
      <c r="J1515" s="83">
        <f>_xlfn.NORM.INV(RAND(),ASSUMPTIONS!$C$19,ASSUMPTIONS!$C$70)</f>
        <v/>
      </c>
      <c r="K1515" s="83">
        <f>_xlfn.NORM.INV(RAND(),ASSUMPTIONS!$C$43,ASSUMPTIONS!$C$71)</f>
        <v/>
      </c>
      <c r="L1515" s="84">
        <f>(((ASSUMPTIONS!$C$18*J1515*(1-ASSUMPTIONS!$C$20)+ASSUMPTIONS!$C$18*ASSUMPTIONS!$C$21-ASSUMPTIONS!$C$18*ASSUMPTIONS!$C$22)*(1+H1515)*(1-((1+H1515)/(1+I1515))^5)/(I1515-H1515))+((ASSUMPTIONS!$C$18*J1515*(1-ASSUMPTIONS!$C$20)+ASSUMPTIONS!$C$18*ASSUMPTIONS!$C$21-ASSUMPTIONS!$C$18*ASSUMPTIONS!$C$22)*(1+H1515)^5*(1+K1515)/(I1515-K1515)/(1+I1515)^5)-DCF!$C$12)/ASSUMPTIONS!$C$7</f>
        <v/>
      </c>
    </row>
    <row r="1516">
      <c r="H1516" s="83">
        <f>_xlfn.NORM.INV(RAND(),AVERAGE(ASSUMPTIONS!$C$38,ASSUMPTIONS!$C$39,ASSUMPTIONS!$C$40,ASSUMPTIONS!$C$41,ASSUMPTIONS!$C$42),ASSUMPTIONS!$C$68)</f>
        <v/>
      </c>
      <c r="I1516" s="83">
        <f>MAX(_xlfn.NORM.INV(RAND(),DCF!$C$11,ASSUMPTIONS!$C$69),K1516+0.005)</f>
        <v/>
      </c>
      <c r="J1516" s="83">
        <f>_xlfn.NORM.INV(RAND(),ASSUMPTIONS!$C$19,ASSUMPTIONS!$C$70)</f>
        <v/>
      </c>
      <c r="K1516" s="83">
        <f>_xlfn.NORM.INV(RAND(),ASSUMPTIONS!$C$43,ASSUMPTIONS!$C$71)</f>
        <v/>
      </c>
      <c r="L1516" s="84">
        <f>(((ASSUMPTIONS!$C$18*J1516*(1-ASSUMPTIONS!$C$20)+ASSUMPTIONS!$C$18*ASSUMPTIONS!$C$21-ASSUMPTIONS!$C$18*ASSUMPTIONS!$C$22)*(1+H1516)*(1-((1+H1516)/(1+I1516))^5)/(I1516-H1516))+((ASSUMPTIONS!$C$18*J1516*(1-ASSUMPTIONS!$C$20)+ASSUMPTIONS!$C$18*ASSUMPTIONS!$C$21-ASSUMPTIONS!$C$18*ASSUMPTIONS!$C$22)*(1+H1516)^5*(1+K1516)/(I1516-K1516)/(1+I1516)^5)-DCF!$C$12)/ASSUMPTIONS!$C$7</f>
        <v/>
      </c>
    </row>
    <row r="1517">
      <c r="H1517" s="83">
        <f>_xlfn.NORM.INV(RAND(),AVERAGE(ASSUMPTIONS!$C$38,ASSUMPTIONS!$C$39,ASSUMPTIONS!$C$40,ASSUMPTIONS!$C$41,ASSUMPTIONS!$C$42),ASSUMPTIONS!$C$68)</f>
        <v/>
      </c>
      <c r="I1517" s="83">
        <f>MAX(_xlfn.NORM.INV(RAND(),DCF!$C$11,ASSUMPTIONS!$C$69),K1517+0.005)</f>
        <v/>
      </c>
      <c r="J1517" s="83">
        <f>_xlfn.NORM.INV(RAND(),ASSUMPTIONS!$C$19,ASSUMPTIONS!$C$70)</f>
        <v/>
      </c>
      <c r="K1517" s="83">
        <f>_xlfn.NORM.INV(RAND(),ASSUMPTIONS!$C$43,ASSUMPTIONS!$C$71)</f>
        <v/>
      </c>
      <c r="L1517" s="84">
        <f>(((ASSUMPTIONS!$C$18*J1517*(1-ASSUMPTIONS!$C$20)+ASSUMPTIONS!$C$18*ASSUMPTIONS!$C$21-ASSUMPTIONS!$C$18*ASSUMPTIONS!$C$22)*(1+H1517)*(1-((1+H1517)/(1+I1517))^5)/(I1517-H1517))+((ASSUMPTIONS!$C$18*J1517*(1-ASSUMPTIONS!$C$20)+ASSUMPTIONS!$C$18*ASSUMPTIONS!$C$21-ASSUMPTIONS!$C$18*ASSUMPTIONS!$C$22)*(1+H1517)^5*(1+K1517)/(I1517-K1517)/(1+I1517)^5)-DCF!$C$12)/ASSUMPTIONS!$C$7</f>
        <v/>
      </c>
    </row>
    <row r="1518">
      <c r="H1518" s="83">
        <f>_xlfn.NORM.INV(RAND(),AVERAGE(ASSUMPTIONS!$C$38,ASSUMPTIONS!$C$39,ASSUMPTIONS!$C$40,ASSUMPTIONS!$C$41,ASSUMPTIONS!$C$42),ASSUMPTIONS!$C$68)</f>
        <v/>
      </c>
      <c r="I1518" s="83">
        <f>MAX(_xlfn.NORM.INV(RAND(),DCF!$C$11,ASSUMPTIONS!$C$69),K1518+0.005)</f>
        <v/>
      </c>
      <c r="J1518" s="83">
        <f>_xlfn.NORM.INV(RAND(),ASSUMPTIONS!$C$19,ASSUMPTIONS!$C$70)</f>
        <v/>
      </c>
      <c r="K1518" s="83">
        <f>_xlfn.NORM.INV(RAND(),ASSUMPTIONS!$C$43,ASSUMPTIONS!$C$71)</f>
        <v/>
      </c>
      <c r="L1518" s="84">
        <f>(((ASSUMPTIONS!$C$18*J1518*(1-ASSUMPTIONS!$C$20)+ASSUMPTIONS!$C$18*ASSUMPTIONS!$C$21-ASSUMPTIONS!$C$18*ASSUMPTIONS!$C$22)*(1+H1518)*(1-((1+H1518)/(1+I1518))^5)/(I1518-H1518))+((ASSUMPTIONS!$C$18*J1518*(1-ASSUMPTIONS!$C$20)+ASSUMPTIONS!$C$18*ASSUMPTIONS!$C$21-ASSUMPTIONS!$C$18*ASSUMPTIONS!$C$22)*(1+H1518)^5*(1+K1518)/(I1518-K1518)/(1+I1518)^5)-DCF!$C$12)/ASSUMPTIONS!$C$7</f>
        <v/>
      </c>
    </row>
    <row r="1519">
      <c r="H1519" s="83">
        <f>_xlfn.NORM.INV(RAND(),AVERAGE(ASSUMPTIONS!$C$38,ASSUMPTIONS!$C$39,ASSUMPTIONS!$C$40,ASSUMPTIONS!$C$41,ASSUMPTIONS!$C$42),ASSUMPTIONS!$C$68)</f>
        <v/>
      </c>
      <c r="I1519" s="83">
        <f>MAX(_xlfn.NORM.INV(RAND(),DCF!$C$11,ASSUMPTIONS!$C$69),K1519+0.005)</f>
        <v/>
      </c>
      <c r="J1519" s="83">
        <f>_xlfn.NORM.INV(RAND(),ASSUMPTIONS!$C$19,ASSUMPTIONS!$C$70)</f>
        <v/>
      </c>
      <c r="K1519" s="83">
        <f>_xlfn.NORM.INV(RAND(),ASSUMPTIONS!$C$43,ASSUMPTIONS!$C$71)</f>
        <v/>
      </c>
      <c r="L1519" s="84">
        <f>(((ASSUMPTIONS!$C$18*J1519*(1-ASSUMPTIONS!$C$20)+ASSUMPTIONS!$C$18*ASSUMPTIONS!$C$21-ASSUMPTIONS!$C$18*ASSUMPTIONS!$C$22)*(1+H1519)*(1-((1+H1519)/(1+I1519))^5)/(I1519-H1519))+((ASSUMPTIONS!$C$18*J1519*(1-ASSUMPTIONS!$C$20)+ASSUMPTIONS!$C$18*ASSUMPTIONS!$C$21-ASSUMPTIONS!$C$18*ASSUMPTIONS!$C$22)*(1+H1519)^5*(1+K1519)/(I1519-K1519)/(1+I1519)^5)-DCF!$C$12)/ASSUMPTIONS!$C$7</f>
        <v/>
      </c>
    </row>
    <row r="1520">
      <c r="H1520" s="83">
        <f>_xlfn.NORM.INV(RAND(),AVERAGE(ASSUMPTIONS!$C$38,ASSUMPTIONS!$C$39,ASSUMPTIONS!$C$40,ASSUMPTIONS!$C$41,ASSUMPTIONS!$C$42),ASSUMPTIONS!$C$68)</f>
        <v/>
      </c>
      <c r="I1520" s="83">
        <f>MAX(_xlfn.NORM.INV(RAND(),DCF!$C$11,ASSUMPTIONS!$C$69),K1520+0.005)</f>
        <v/>
      </c>
      <c r="J1520" s="83">
        <f>_xlfn.NORM.INV(RAND(),ASSUMPTIONS!$C$19,ASSUMPTIONS!$C$70)</f>
        <v/>
      </c>
      <c r="K1520" s="83">
        <f>_xlfn.NORM.INV(RAND(),ASSUMPTIONS!$C$43,ASSUMPTIONS!$C$71)</f>
        <v/>
      </c>
      <c r="L1520" s="84">
        <f>(((ASSUMPTIONS!$C$18*J1520*(1-ASSUMPTIONS!$C$20)+ASSUMPTIONS!$C$18*ASSUMPTIONS!$C$21-ASSUMPTIONS!$C$18*ASSUMPTIONS!$C$22)*(1+H1520)*(1-((1+H1520)/(1+I1520))^5)/(I1520-H1520))+((ASSUMPTIONS!$C$18*J1520*(1-ASSUMPTIONS!$C$20)+ASSUMPTIONS!$C$18*ASSUMPTIONS!$C$21-ASSUMPTIONS!$C$18*ASSUMPTIONS!$C$22)*(1+H1520)^5*(1+K1520)/(I1520-K1520)/(1+I1520)^5)-DCF!$C$12)/ASSUMPTIONS!$C$7</f>
        <v/>
      </c>
    </row>
    <row r="1521">
      <c r="H1521" s="83">
        <f>_xlfn.NORM.INV(RAND(),AVERAGE(ASSUMPTIONS!$C$38,ASSUMPTIONS!$C$39,ASSUMPTIONS!$C$40,ASSUMPTIONS!$C$41,ASSUMPTIONS!$C$42),ASSUMPTIONS!$C$68)</f>
        <v/>
      </c>
      <c r="I1521" s="83">
        <f>MAX(_xlfn.NORM.INV(RAND(),DCF!$C$11,ASSUMPTIONS!$C$69),K1521+0.005)</f>
        <v/>
      </c>
      <c r="J1521" s="83">
        <f>_xlfn.NORM.INV(RAND(),ASSUMPTIONS!$C$19,ASSUMPTIONS!$C$70)</f>
        <v/>
      </c>
      <c r="K1521" s="83">
        <f>_xlfn.NORM.INV(RAND(),ASSUMPTIONS!$C$43,ASSUMPTIONS!$C$71)</f>
        <v/>
      </c>
      <c r="L1521" s="84">
        <f>(((ASSUMPTIONS!$C$18*J1521*(1-ASSUMPTIONS!$C$20)+ASSUMPTIONS!$C$18*ASSUMPTIONS!$C$21-ASSUMPTIONS!$C$18*ASSUMPTIONS!$C$22)*(1+H1521)*(1-((1+H1521)/(1+I1521))^5)/(I1521-H1521))+((ASSUMPTIONS!$C$18*J1521*(1-ASSUMPTIONS!$C$20)+ASSUMPTIONS!$C$18*ASSUMPTIONS!$C$21-ASSUMPTIONS!$C$18*ASSUMPTIONS!$C$22)*(1+H1521)^5*(1+K1521)/(I1521-K1521)/(1+I1521)^5)-DCF!$C$12)/ASSUMPTIONS!$C$7</f>
        <v/>
      </c>
    </row>
    <row r="1522">
      <c r="H1522" s="83">
        <f>_xlfn.NORM.INV(RAND(),AVERAGE(ASSUMPTIONS!$C$38,ASSUMPTIONS!$C$39,ASSUMPTIONS!$C$40,ASSUMPTIONS!$C$41,ASSUMPTIONS!$C$42),ASSUMPTIONS!$C$68)</f>
        <v/>
      </c>
      <c r="I1522" s="83">
        <f>MAX(_xlfn.NORM.INV(RAND(),DCF!$C$11,ASSUMPTIONS!$C$69),K1522+0.005)</f>
        <v/>
      </c>
      <c r="J1522" s="83">
        <f>_xlfn.NORM.INV(RAND(),ASSUMPTIONS!$C$19,ASSUMPTIONS!$C$70)</f>
        <v/>
      </c>
      <c r="K1522" s="83">
        <f>_xlfn.NORM.INV(RAND(),ASSUMPTIONS!$C$43,ASSUMPTIONS!$C$71)</f>
        <v/>
      </c>
      <c r="L1522" s="84">
        <f>(((ASSUMPTIONS!$C$18*J1522*(1-ASSUMPTIONS!$C$20)+ASSUMPTIONS!$C$18*ASSUMPTIONS!$C$21-ASSUMPTIONS!$C$18*ASSUMPTIONS!$C$22)*(1+H1522)*(1-((1+H1522)/(1+I1522))^5)/(I1522-H1522))+((ASSUMPTIONS!$C$18*J1522*(1-ASSUMPTIONS!$C$20)+ASSUMPTIONS!$C$18*ASSUMPTIONS!$C$21-ASSUMPTIONS!$C$18*ASSUMPTIONS!$C$22)*(1+H1522)^5*(1+K1522)/(I1522-K1522)/(1+I1522)^5)-DCF!$C$12)/ASSUMPTIONS!$C$7</f>
        <v/>
      </c>
    </row>
    <row r="1523">
      <c r="H1523" s="83">
        <f>_xlfn.NORM.INV(RAND(),AVERAGE(ASSUMPTIONS!$C$38,ASSUMPTIONS!$C$39,ASSUMPTIONS!$C$40,ASSUMPTIONS!$C$41,ASSUMPTIONS!$C$42),ASSUMPTIONS!$C$68)</f>
        <v/>
      </c>
      <c r="I1523" s="83">
        <f>MAX(_xlfn.NORM.INV(RAND(),DCF!$C$11,ASSUMPTIONS!$C$69),K1523+0.005)</f>
        <v/>
      </c>
      <c r="J1523" s="83">
        <f>_xlfn.NORM.INV(RAND(),ASSUMPTIONS!$C$19,ASSUMPTIONS!$C$70)</f>
        <v/>
      </c>
      <c r="K1523" s="83">
        <f>_xlfn.NORM.INV(RAND(),ASSUMPTIONS!$C$43,ASSUMPTIONS!$C$71)</f>
        <v/>
      </c>
      <c r="L1523" s="84">
        <f>(((ASSUMPTIONS!$C$18*J1523*(1-ASSUMPTIONS!$C$20)+ASSUMPTIONS!$C$18*ASSUMPTIONS!$C$21-ASSUMPTIONS!$C$18*ASSUMPTIONS!$C$22)*(1+H1523)*(1-((1+H1523)/(1+I1523))^5)/(I1523-H1523))+((ASSUMPTIONS!$C$18*J1523*(1-ASSUMPTIONS!$C$20)+ASSUMPTIONS!$C$18*ASSUMPTIONS!$C$21-ASSUMPTIONS!$C$18*ASSUMPTIONS!$C$22)*(1+H1523)^5*(1+K1523)/(I1523-K1523)/(1+I1523)^5)-DCF!$C$12)/ASSUMPTIONS!$C$7</f>
        <v/>
      </c>
    </row>
    <row r="1524">
      <c r="H1524" s="83">
        <f>_xlfn.NORM.INV(RAND(),AVERAGE(ASSUMPTIONS!$C$38,ASSUMPTIONS!$C$39,ASSUMPTIONS!$C$40,ASSUMPTIONS!$C$41,ASSUMPTIONS!$C$42),ASSUMPTIONS!$C$68)</f>
        <v/>
      </c>
      <c r="I1524" s="83">
        <f>MAX(_xlfn.NORM.INV(RAND(),DCF!$C$11,ASSUMPTIONS!$C$69),K1524+0.005)</f>
        <v/>
      </c>
      <c r="J1524" s="83">
        <f>_xlfn.NORM.INV(RAND(),ASSUMPTIONS!$C$19,ASSUMPTIONS!$C$70)</f>
        <v/>
      </c>
      <c r="K1524" s="83">
        <f>_xlfn.NORM.INV(RAND(),ASSUMPTIONS!$C$43,ASSUMPTIONS!$C$71)</f>
        <v/>
      </c>
      <c r="L1524" s="84">
        <f>(((ASSUMPTIONS!$C$18*J1524*(1-ASSUMPTIONS!$C$20)+ASSUMPTIONS!$C$18*ASSUMPTIONS!$C$21-ASSUMPTIONS!$C$18*ASSUMPTIONS!$C$22)*(1+H1524)*(1-((1+H1524)/(1+I1524))^5)/(I1524-H1524))+((ASSUMPTIONS!$C$18*J1524*(1-ASSUMPTIONS!$C$20)+ASSUMPTIONS!$C$18*ASSUMPTIONS!$C$21-ASSUMPTIONS!$C$18*ASSUMPTIONS!$C$22)*(1+H1524)^5*(1+K1524)/(I1524-K1524)/(1+I1524)^5)-DCF!$C$12)/ASSUMPTIONS!$C$7</f>
        <v/>
      </c>
    </row>
    <row r="1525">
      <c r="H1525" s="83">
        <f>_xlfn.NORM.INV(RAND(),AVERAGE(ASSUMPTIONS!$C$38,ASSUMPTIONS!$C$39,ASSUMPTIONS!$C$40,ASSUMPTIONS!$C$41,ASSUMPTIONS!$C$42),ASSUMPTIONS!$C$68)</f>
        <v/>
      </c>
      <c r="I1525" s="83">
        <f>MAX(_xlfn.NORM.INV(RAND(),DCF!$C$11,ASSUMPTIONS!$C$69),K1525+0.005)</f>
        <v/>
      </c>
      <c r="J1525" s="83">
        <f>_xlfn.NORM.INV(RAND(),ASSUMPTIONS!$C$19,ASSUMPTIONS!$C$70)</f>
        <v/>
      </c>
      <c r="K1525" s="83">
        <f>_xlfn.NORM.INV(RAND(),ASSUMPTIONS!$C$43,ASSUMPTIONS!$C$71)</f>
        <v/>
      </c>
      <c r="L1525" s="84">
        <f>(((ASSUMPTIONS!$C$18*J1525*(1-ASSUMPTIONS!$C$20)+ASSUMPTIONS!$C$18*ASSUMPTIONS!$C$21-ASSUMPTIONS!$C$18*ASSUMPTIONS!$C$22)*(1+H1525)*(1-((1+H1525)/(1+I1525))^5)/(I1525-H1525))+((ASSUMPTIONS!$C$18*J1525*(1-ASSUMPTIONS!$C$20)+ASSUMPTIONS!$C$18*ASSUMPTIONS!$C$21-ASSUMPTIONS!$C$18*ASSUMPTIONS!$C$22)*(1+H1525)^5*(1+K1525)/(I1525-K1525)/(1+I1525)^5)-DCF!$C$12)/ASSUMPTIONS!$C$7</f>
        <v/>
      </c>
    </row>
    <row r="1526">
      <c r="H1526" s="83">
        <f>_xlfn.NORM.INV(RAND(),AVERAGE(ASSUMPTIONS!$C$38,ASSUMPTIONS!$C$39,ASSUMPTIONS!$C$40,ASSUMPTIONS!$C$41,ASSUMPTIONS!$C$42),ASSUMPTIONS!$C$68)</f>
        <v/>
      </c>
      <c r="I1526" s="83">
        <f>MAX(_xlfn.NORM.INV(RAND(),DCF!$C$11,ASSUMPTIONS!$C$69),K1526+0.005)</f>
        <v/>
      </c>
      <c r="J1526" s="83">
        <f>_xlfn.NORM.INV(RAND(),ASSUMPTIONS!$C$19,ASSUMPTIONS!$C$70)</f>
        <v/>
      </c>
      <c r="K1526" s="83">
        <f>_xlfn.NORM.INV(RAND(),ASSUMPTIONS!$C$43,ASSUMPTIONS!$C$71)</f>
        <v/>
      </c>
      <c r="L1526" s="84">
        <f>(((ASSUMPTIONS!$C$18*J1526*(1-ASSUMPTIONS!$C$20)+ASSUMPTIONS!$C$18*ASSUMPTIONS!$C$21-ASSUMPTIONS!$C$18*ASSUMPTIONS!$C$22)*(1+H1526)*(1-((1+H1526)/(1+I1526))^5)/(I1526-H1526))+((ASSUMPTIONS!$C$18*J1526*(1-ASSUMPTIONS!$C$20)+ASSUMPTIONS!$C$18*ASSUMPTIONS!$C$21-ASSUMPTIONS!$C$18*ASSUMPTIONS!$C$22)*(1+H1526)^5*(1+K1526)/(I1526-K1526)/(1+I1526)^5)-DCF!$C$12)/ASSUMPTIONS!$C$7</f>
        <v/>
      </c>
    </row>
    <row r="1527">
      <c r="H1527" s="83">
        <f>_xlfn.NORM.INV(RAND(),AVERAGE(ASSUMPTIONS!$C$38,ASSUMPTIONS!$C$39,ASSUMPTIONS!$C$40,ASSUMPTIONS!$C$41,ASSUMPTIONS!$C$42),ASSUMPTIONS!$C$68)</f>
        <v/>
      </c>
      <c r="I1527" s="83">
        <f>MAX(_xlfn.NORM.INV(RAND(),DCF!$C$11,ASSUMPTIONS!$C$69),K1527+0.005)</f>
        <v/>
      </c>
      <c r="J1527" s="83">
        <f>_xlfn.NORM.INV(RAND(),ASSUMPTIONS!$C$19,ASSUMPTIONS!$C$70)</f>
        <v/>
      </c>
      <c r="K1527" s="83">
        <f>_xlfn.NORM.INV(RAND(),ASSUMPTIONS!$C$43,ASSUMPTIONS!$C$71)</f>
        <v/>
      </c>
      <c r="L1527" s="84">
        <f>(((ASSUMPTIONS!$C$18*J1527*(1-ASSUMPTIONS!$C$20)+ASSUMPTIONS!$C$18*ASSUMPTIONS!$C$21-ASSUMPTIONS!$C$18*ASSUMPTIONS!$C$22)*(1+H1527)*(1-((1+H1527)/(1+I1527))^5)/(I1527-H1527))+((ASSUMPTIONS!$C$18*J1527*(1-ASSUMPTIONS!$C$20)+ASSUMPTIONS!$C$18*ASSUMPTIONS!$C$21-ASSUMPTIONS!$C$18*ASSUMPTIONS!$C$22)*(1+H1527)^5*(1+K1527)/(I1527-K1527)/(1+I1527)^5)-DCF!$C$12)/ASSUMPTIONS!$C$7</f>
        <v/>
      </c>
    </row>
    <row r="1528">
      <c r="H1528" s="83">
        <f>_xlfn.NORM.INV(RAND(),AVERAGE(ASSUMPTIONS!$C$38,ASSUMPTIONS!$C$39,ASSUMPTIONS!$C$40,ASSUMPTIONS!$C$41,ASSUMPTIONS!$C$42),ASSUMPTIONS!$C$68)</f>
        <v/>
      </c>
      <c r="I1528" s="83">
        <f>MAX(_xlfn.NORM.INV(RAND(),DCF!$C$11,ASSUMPTIONS!$C$69),K1528+0.005)</f>
        <v/>
      </c>
      <c r="J1528" s="83">
        <f>_xlfn.NORM.INV(RAND(),ASSUMPTIONS!$C$19,ASSUMPTIONS!$C$70)</f>
        <v/>
      </c>
      <c r="K1528" s="83">
        <f>_xlfn.NORM.INV(RAND(),ASSUMPTIONS!$C$43,ASSUMPTIONS!$C$71)</f>
        <v/>
      </c>
      <c r="L1528" s="84">
        <f>(((ASSUMPTIONS!$C$18*J1528*(1-ASSUMPTIONS!$C$20)+ASSUMPTIONS!$C$18*ASSUMPTIONS!$C$21-ASSUMPTIONS!$C$18*ASSUMPTIONS!$C$22)*(1+H1528)*(1-((1+H1528)/(1+I1528))^5)/(I1528-H1528))+((ASSUMPTIONS!$C$18*J1528*(1-ASSUMPTIONS!$C$20)+ASSUMPTIONS!$C$18*ASSUMPTIONS!$C$21-ASSUMPTIONS!$C$18*ASSUMPTIONS!$C$22)*(1+H1528)^5*(1+K1528)/(I1528-K1528)/(1+I1528)^5)-DCF!$C$12)/ASSUMPTIONS!$C$7</f>
        <v/>
      </c>
    </row>
    <row r="1529">
      <c r="H1529" s="83">
        <f>_xlfn.NORM.INV(RAND(),AVERAGE(ASSUMPTIONS!$C$38,ASSUMPTIONS!$C$39,ASSUMPTIONS!$C$40,ASSUMPTIONS!$C$41,ASSUMPTIONS!$C$42),ASSUMPTIONS!$C$68)</f>
        <v/>
      </c>
      <c r="I1529" s="83">
        <f>MAX(_xlfn.NORM.INV(RAND(),DCF!$C$11,ASSUMPTIONS!$C$69),K1529+0.005)</f>
        <v/>
      </c>
      <c r="J1529" s="83">
        <f>_xlfn.NORM.INV(RAND(),ASSUMPTIONS!$C$19,ASSUMPTIONS!$C$70)</f>
        <v/>
      </c>
      <c r="K1529" s="83">
        <f>_xlfn.NORM.INV(RAND(),ASSUMPTIONS!$C$43,ASSUMPTIONS!$C$71)</f>
        <v/>
      </c>
      <c r="L1529" s="84">
        <f>(((ASSUMPTIONS!$C$18*J1529*(1-ASSUMPTIONS!$C$20)+ASSUMPTIONS!$C$18*ASSUMPTIONS!$C$21-ASSUMPTIONS!$C$18*ASSUMPTIONS!$C$22)*(1+H1529)*(1-((1+H1529)/(1+I1529))^5)/(I1529-H1529))+((ASSUMPTIONS!$C$18*J1529*(1-ASSUMPTIONS!$C$20)+ASSUMPTIONS!$C$18*ASSUMPTIONS!$C$21-ASSUMPTIONS!$C$18*ASSUMPTIONS!$C$22)*(1+H1529)^5*(1+K1529)/(I1529-K1529)/(1+I1529)^5)-DCF!$C$12)/ASSUMPTIONS!$C$7</f>
        <v/>
      </c>
    </row>
    <row r="1530">
      <c r="H1530" s="83">
        <f>_xlfn.NORM.INV(RAND(),AVERAGE(ASSUMPTIONS!$C$38,ASSUMPTIONS!$C$39,ASSUMPTIONS!$C$40,ASSUMPTIONS!$C$41,ASSUMPTIONS!$C$42),ASSUMPTIONS!$C$68)</f>
        <v/>
      </c>
      <c r="I1530" s="83">
        <f>MAX(_xlfn.NORM.INV(RAND(),DCF!$C$11,ASSUMPTIONS!$C$69),K1530+0.005)</f>
        <v/>
      </c>
      <c r="J1530" s="83">
        <f>_xlfn.NORM.INV(RAND(),ASSUMPTIONS!$C$19,ASSUMPTIONS!$C$70)</f>
        <v/>
      </c>
      <c r="K1530" s="83">
        <f>_xlfn.NORM.INV(RAND(),ASSUMPTIONS!$C$43,ASSUMPTIONS!$C$71)</f>
        <v/>
      </c>
      <c r="L1530" s="84">
        <f>(((ASSUMPTIONS!$C$18*J1530*(1-ASSUMPTIONS!$C$20)+ASSUMPTIONS!$C$18*ASSUMPTIONS!$C$21-ASSUMPTIONS!$C$18*ASSUMPTIONS!$C$22)*(1+H1530)*(1-((1+H1530)/(1+I1530))^5)/(I1530-H1530))+((ASSUMPTIONS!$C$18*J1530*(1-ASSUMPTIONS!$C$20)+ASSUMPTIONS!$C$18*ASSUMPTIONS!$C$21-ASSUMPTIONS!$C$18*ASSUMPTIONS!$C$22)*(1+H1530)^5*(1+K1530)/(I1530-K1530)/(1+I1530)^5)-DCF!$C$12)/ASSUMPTIONS!$C$7</f>
        <v/>
      </c>
    </row>
    <row r="1531">
      <c r="H1531" s="83">
        <f>_xlfn.NORM.INV(RAND(),AVERAGE(ASSUMPTIONS!$C$38,ASSUMPTIONS!$C$39,ASSUMPTIONS!$C$40,ASSUMPTIONS!$C$41,ASSUMPTIONS!$C$42),ASSUMPTIONS!$C$68)</f>
        <v/>
      </c>
      <c r="I1531" s="83">
        <f>MAX(_xlfn.NORM.INV(RAND(),DCF!$C$11,ASSUMPTIONS!$C$69),K1531+0.005)</f>
        <v/>
      </c>
      <c r="J1531" s="83">
        <f>_xlfn.NORM.INV(RAND(),ASSUMPTIONS!$C$19,ASSUMPTIONS!$C$70)</f>
        <v/>
      </c>
      <c r="K1531" s="83">
        <f>_xlfn.NORM.INV(RAND(),ASSUMPTIONS!$C$43,ASSUMPTIONS!$C$71)</f>
        <v/>
      </c>
      <c r="L1531" s="84">
        <f>(((ASSUMPTIONS!$C$18*J1531*(1-ASSUMPTIONS!$C$20)+ASSUMPTIONS!$C$18*ASSUMPTIONS!$C$21-ASSUMPTIONS!$C$18*ASSUMPTIONS!$C$22)*(1+H1531)*(1-((1+H1531)/(1+I1531))^5)/(I1531-H1531))+((ASSUMPTIONS!$C$18*J1531*(1-ASSUMPTIONS!$C$20)+ASSUMPTIONS!$C$18*ASSUMPTIONS!$C$21-ASSUMPTIONS!$C$18*ASSUMPTIONS!$C$22)*(1+H1531)^5*(1+K1531)/(I1531-K1531)/(1+I1531)^5)-DCF!$C$12)/ASSUMPTIONS!$C$7</f>
        <v/>
      </c>
    </row>
    <row r="1532">
      <c r="H1532" s="83">
        <f>_xlfn.NORM.INV(RAND(),AVERAGE(ASSUMPTIONS!$C$38,ASSUMPTIONS!$C$39,ASSUMPTIONS!$C$40,ASSUMPTIONS!$C$41,ASSUMPTIONS!$C$42),ASSUMPTIONS!$C$68)</f>
        <v/>
      </c>
      <c r="I1532" s="83">
        <f>MAX(_xlfn.NORM.INV(RAND(),DCF!$C$11,ASSUMPTIONS!$C$69),K1532+0.005)</f>
        <v/>
      </c>
      <c r="J1532" s="83">
        <f>_xlfn.NORM.INV(RAND(),ASSUMPTIONS!$C$19,ASSUMPTIONS!$C$70)</f>
        <v/>
      </c>
      <c r="K1532" s="83">
        <f>_xlfn.NORM.INV(RAND(),ASSUMPTIONS!$C$43,ASSUMPTIONS!$C$71)</f>
        <v/>
      </c>
      <c r="L1532" s="84">
        <f>(((ASSUMPTIONS!$C$18*J1532*(1-ASSUMPTIONS!$C$20)+ASSUMPTIONS!$C$18*ASSUMPTIONS!$C$21-ASSUMPTIONS!$C$18*ASSUMPTIONS!$C$22)*(1+H1532)*(1-((1+H1532)/(1+I1532))^5)/(I1532-H1532))+((ASSUMPTIONS!$C$18*J1532*(1-ASSUMPTIONS!$C$20)+ASSUMPTIONS!$C$18*ASSUMPTIONS!$C$21-ASSUMPTIONS!$C$18*ASSUMPTIONS!$C$22)*(1+H1532)^5*(1+K1532)/(I1532-K1532)/(1+I1532)^5)-DCF!$C$12)/ASSUMPTIONS!$C$7</f>
        <v/>
      </c>
    </row>
    <row r="1533">
      <c r="H1533" s="83">
        <f>_xlfn.NORM.INV(RAND(),AVERAGE(ASSUMPTIONS!$C$38,ASSUMPTIONS!$C$39,ASSUMPTIONS!$C$40,ASSUMPTIONS!$C$41,ASSUMPTIONS!$C$42),ASSUMPTIONS!$C$68)</f>
        <v/>
      </c>
      <c r="I1533" s="83">
        <f>MAX(_xlfn.NORM.INV(RAND(),DCF!$C$11,ASSUMPTIONS!$C$69),K1533+0.005)</f>
        <v/>
      </c>
      <c r="J1533" s="83">
        <f>_xlfn.NORM.INV(RAND(),ASSUMPTIONS!$C$19,ASSUMPTIONS!$C$70)</f>
        <v/>
      </c>
      <c r="K1533" s="83">
        <f>_xlfn.NORM.INV(RAND(),ASSUMPTIONS!$C$43,ASSUMPTIONS!$C$71)</f>
        <v/>
      </c>
      <c r="L1533" s="84">
        <f>(((ASSUMPTIONS!$C$18*J1533*(1-ASSUMPTIONS!$C$20)+ASSUMPTIONS!$C$18*ASSUMPTIONS!$C$21-ASSUMPTIONS!$C$18*ASSUMPTIONS!$C$22)*(1+H1533)*(1-((1+H1533)/(1+I1533))^5)/(I1533-H1533))+((ASSUMPTIONS!$C$18*J1533*(1-ASSUMPTIONS!$C$20)+ASSUMPTIONS!$C$18*ASSUMPTIONS!$C$21-ASSUMPTIONS!$C$18*ASSUMPTIONS!$C$22)*(1+H1533)^5*(1+K1533)/(I1533-K1533)/(1+I1533)^5)-DCF!$C$12)/ASSUMPTIONS!$C$7</f>
        <v/>
      </c>
    </row>
    <row r="1534">
      <c r="H1534" s="83">
        <f>_xlfn.NORM.INV(RAND(),AVERAGE(ASSUMPTIONS!$C$38,ASSUMPTIONS!$C$39,ASSUMPTIONS!$C$40,ASSUMPTIONS!$C$41,ASSUMPTIONS!$C$42),ASSUMPTIONS!$C$68)</f>
        <v/>
      </c>
      <c r="I1534" s="83">
        <f>MAX(_xlfn.NORM.INV(RAND(),DCF!$C$11,ASSUMPTIONS!$C$69),K1534+0.005)</f>
        <v/>
      </c>
      <c r="J1534" s="83">
        <f>_xlfn.NORM.INV(RAND(),ASSUMPTIONS!$C$19,ASSUMPTIONS!$C$70)</f>
        <v/>
      </c>
      <c r="K1534" s="83">
        <f>_xlfn.NORM.INV(RAND(),ASSUMPTIONS!$C$43,ASSUMPTIONS!$C$71)</f>
        <v/>
      </c>
      <c r="L1534" s="84">
        <f>(((ASSUMPTIONS!$C$18*J1534*(1-ASSUMPTIONS!$C$20)+ASSUMPTIONS!$C$18*ASSUMPTIONS!$C$21-ASSUMPTIONS!$C$18*ASSUMPTIONS!$C$22)*(1+H1534)*(1-((1+H1534)/(1+I1534))^5)/(I1534-H1534))+((ASSUMPTIONS!$C$18*J1534*(1-ASSUMPTIONS!$C$20)+ASSUMPTIONS!$C$18*ASSUMPTIONS!$C$21-ASSUMPTIONS!$C$18*ASSUMPTIONS!$C$22)*(1+H1534)^5*(1+K1534)/(I1534-K1534)/(1+I1534)^5)-DCF!$C$12)/ASSUMPTIONS!$C$7</f>
        <v/>
      </c>
    </row>
    <row r="1535">
      <c r="H1535" s="83">
        <f>_xlfn.NORM.INV(RAND(),AVERAGE(ASSUMPTIONS!$C$38,ASSUMPTIONS!$C$39,ASSUMPTIONS!$C$40,ASSUMPTIONS!$C$41,ASSUMPTIONS!$C$42),ASSUMPTIONS!$C$68)</f>
        <v/>
      </c>
      <c r="I1535" s="83">
        <f>MAX(_xlfn.NORM.INV(RAND(),DCF!$C$11,ASSUMPTIONS!$C$69),K1535+0.005)</f>
        <v/>
      </c>
      <c r="J1535" s="83">
        <f>_xlfn.NORM.INV(RAND(),ASSUMPTIONS!$C$19,ASSUMPTIONS!$C$70)</f>
        <v/>
      </c>
      <c r="K1535" s="83">
        <f>_xlfn.NORM.INV(RAND(),ASSUMPTIONS!$C$43,ASSUMPTIONS!$C$71)</f>
        <v/>
      </c>
      <c r="L1535" s="84">
        <f>(((ASSUMPTIONS!$C$18*J1535*(1-ASSUMPTIONS!$C$20)+ASSUMPTIONS!$C$18*ASSUMPTIONS!$C$21-ASSUMPTIONS!$C$18*ASSUMPTIONS!$C$22)*(1+H1535)*(1-((1+H1535)/(1+I1535))^5)/(I1535-H1535))+((ASSUMPTIONS!$C$18*J1535*(1-ASSUMPTIONS!$C$20)+ASSUMPTIONS!$C$18*ASSUMPTIONS!$C$21-ASSUMPTIONS!$C$18*ASSUMPTIONS!$C$22)*(1+H1535)^5*(1+K1535)/(I1535-K1535)/(1+I1535)^5)-DCF!$C$12)/ASSUMPTIONS!$C$7</f>
        <v/>
      </c>
    </row>
    <row r="1536">
      <c r="H1536" s="83">
        <f>_xlfn.NORM.INV(RAND(),AVERAGE(ASSUMPTIONS!$C$38,ASSUMPTIONS!$C$39,ASSUMPTIONS!$C$40,ASSUMPTIONS!$C$41,ASSUMPTIONS!$C$42),ASSUMPTIONS!$C$68)</f>
        <v/>
      </c>
      <c r="I1536" s="83">
        <f>MAX(_xlfn.NORM.INV(RAND(),DCF!$C$11,ASSUMPTIONS!$C$69),K1536+0.005)</f>
        <v/>
      </c>
      <c r="J1536" s="83">
        <f>_xlfn.NORM.INV(RAND(),ASSUMPTIONS!$C$19,ASSUMPTIONS!$C$70)</f>
        <v/>
      </c>
      <c r="K1536" s="83">
        <f>_xlfn.NORM.INV(RAND(),ASSUMPTIONS!$C$43,ASSUMPTIONS!$C$71)</f>
        <v/>
      </c>
      <c r="L1536" s="84">
        <f>(((ASSUMPTIONS!$C$18*J1536*(1-ASSUMPTIONS!$C$20)+ASSUMPTIONS!$C$18*ASSUMPTIONS!$C$21-ASSUMPTIONS!$C$18*ASSUMPTIONS!$C$22)*(1+H1536)*(1-((1+H1536)/(1+I1536))^5)/(I1536-H1536))+((ASSUMPTIONS!$C$18*J1536*(1-ASSUMPTIONS!$C$20)+ASSUMPTIONS!$C$18*ASSUMPTIONS!$C$21-ASSUMPTIONS!$C$18*ASSUMPTIONS!$C$22)*(1+H1536)^5*(1+K1536)/(I1536-K1536)/(1+I1536)^5)-DCF!$C$12)/ASSUMPTIONS!$C$7</f>
        <v/>
      </c>
    </row>
    <row r="1537">
      <c r="H1537" s="83">
        <f>_xlfn.NORM.INV(RAND(),AVERAGE(ASSUMPTIONS!$C$38,ASSUMPTIONS!$C$39,ASSUMPTIONS!$C$40,ASSUMPTIONS!$C$41,ASSUMPTIONS!$C$42),ASSUMPTIONS!$C$68)</f>
        <v/>
      </c>
      <c r="I1537" s="83">
        <f>MAX(_xlfn.NORM.INV(RAND(),DCF!$C$11,ASSUMPTIONS!$C$69),K1537+0.005)</f>
        <v/>
      </c>
      <c r="J1537" s="83">
        <f>_xlfn.NORM.INV(RAND(),ASSUMPTIONS!$C$19,ASSUMPTIONS!$C$70)</f>
        <v/>
      </c>
      <c r="K1537" s="83">
        <f>_xlfn.NORM.INV(RAND(),ASSUMPTIONS!$C$43,ASSUMPTIONS!$C$71)</f>
        <v/>
      </c>
      <c r="L1537" s="84">
        <f>(((ASSUMPTIONS!$C$18*J1537*(1-ASSUMPTIONS!$C$20)+ASSUMPTIONS!$C$18*ASSUMPTIONS!$C$21-ASSUMPTIONS!$C$18*ASSUMPTIONS!$C$22)*(1+H1537)*(1-((1+H1537)/(1+I1537))^5)/(I1537-H1537))+((ASSUMPTIONS!$C$18*J1537*(1-ASSUMPTIONS!$C$20)+ASSUMPTIONS!$C$18*ASSUMPTIONS!$C$21-ASSUMPTIONS!$C$18*ASSUMPTIONS!$C$22)*(1+H1537)^5*(1+K1537)/(I1537-K1537)/(1+I1537)^5)-DCF!$C$12)/ASSUMPTIONS!$C$7</f>
        <v/>
      </c>
    </row>
    <row r="1538">
      <c r="H1538" s="83">
        <f>_xlfn.NORM.INV(RAND(),AVERAGE(ASSUMPTIONS!$C$38,ASSUMPTIONS!$C$39,ASSUMPTIONS!$C$40,ASSUMPTIONS!$C$41,ASSUMPTIONS!$C$42),ASSUMPTIONS!$C$68)</f>
        <v/>
      </c>
      <c r="I1538" s="83">
        <f>MAX(_xlfn.NORM.INV(RAND(),DCF!$C$11,ASSUMPTIONS!$C$69),K1538+0.005)</f>
        <v/>
      </c>
      <c r="J1538" s="83">
        <f>_xlfn.NORM.INV(RAND(),ASSUMPTIONS!$C$19,ASSUMPTIONS!$C$70)</f>
        <v/>
      </c>
      <c r="K1538" s="83">
        <f>_xlfn.NORM.INV(RAND(),ASSUMPTIONS!$C$43,ASSUMPTIONS!$C$71)</f>
        <v/>
      </c>
      <c r="L1538" s="84">
        <f>(((ASSUMPTIONS!$C$18*J1538*(1-ASSUMPTIONS!$C$20)+ASSUMPTIONS!$C$18*ASSUMPTIONS!$C$21-ASSUMPTIONS!$C$18*ASSUMPTIONS!$C$22)*(1+H1538)*(1-((1+H1538)/(1+I1538))^5)/(I1538-H1538))+((ASSUMPTIONS!$C$18*J1538*(1-ASSUMPTIONS!$C$20)+ASSUMPTIONS!$C$18*ASSUMPTIONS!$C$21-ASSUMPTIONS!$C$18*ASSUMPTIONS!$C$22)*(1+H1538)^5*(1+K1538)/(I1538-K1538)/(1+I1538)^5)-DCF!$C$12)/ASSUMPTIONS!$C$7</f>
        <v/>
      </c>
    </row>
    <row r="1539">
      <c r="H1539" s="83">
        <f>_xlfn.NORM.INV(RAND(),AVERAGE(ASSUMPTIONS!$C$38,ASSUMPTIONS!$C$39,ASSUMPTIONS!$C$40,ASSUMPTIONS!$C$41,ASSUMPTIONS!$C$42),ASSUMPTIONS!$C$68)</f>
        <v/>
      </c>
      <c r="I1539" s="83">
        <f>MAX(_xlfn.NORM.INV(RAND(),DCF!$C$11,ASSUMPTIONS!$C$69),K1539+0.005)</f>
        <v/>
      </c>
      <c r="J1539" s="83">
        <f>_xlfn.NORM.INV(RAND(),ASSUMPTIONS!$C$19,ASSUMPTIONS!$C$70)</f>
        <v/>
      </c>
      <c r="K1539" s="83">
        <f>_xlfn.NORM.INV(RAND(),ASSUMPTIONS!$C$43,ASSUMPTIONS!$C$71)</f>
        <v/>
      </c>
      <c r="L1539" s="84">
        <f>(((ASSUMPTIONS!$C$18*J1539*(1-ASSUMPTIONS!$C$20)+ASSUMPTIONS!$C$18*ASSUMPTIONS!$C$21-ASSUMPTIONS!$C$18*ASSUMPTIONS!$C$22)*(1+H1539)*(1-((1+H1539)/(1+I1539))^5)/(I1539-H1539))+((ASSUMPTIONS!$C$18*J1539*(1-ASSUMPTIONS!$C$20)+ASSUMPTIONS!$C$18*ASSUMPTIONS!$C$21-ASSUMPTIONS!$C$18*ASSUMPTIONS!$C$22)*(1+H1539)^5*(1+K1539)/(I1539-K1539)/(1+I1539)^5)-DCF!$C$12)/ASSUMPTIONS!$C$7</f>
        <v/>
      </c>
    </row>
    <row r="1540">
      <c r="H1540" s="83">
        <f>_xlfn.NORM.INV(RAND(),AVERAGE(ASSUMPTIONS!$C$38,ASSUMPTIONS!$C$39,ASSUMPTIONS!$C$40,ASSUMPTIONS!$C$41,ASSUMPTIONS!$C$42),ASSUMPTIONS!$C$68)</f>
        <v/>
      </c>
      <c r="I1540" s="83">
        <f>MAX(_xlfn.NORM.INV(RAND(),DCF!$C$11,ASSUMPTIONS!$C$69),K1540+0.005)</f>
        <v/>
      </c>
      <c r="J1540" s="83">
        <f>_xlfn.NORM.INV(RAND(),ASSUMPTIONS!$C$19,ASSUMPTIONS!$C$70)</f>
        <v/>
      </c>
      <c r="K1540" s="83">
        <f>_xlfn.NORM.INV(RAND(),ASSUMPTIONS!$C$43,ASSUMPTIONS!$C$71)</f>
        <v/>
      </c>
      <c r="L1540" s="84">
        <f>(((ASSUMPTIONS!$C$18*J1540*(1-ASSUMPTIONS!$C$20)+ASSUMPTIONS!$C$18*ASSUMPTIONS!$C$21-ASSUMPTIONS!$C$18*ASSUMPTIONS!$C$22)*(1+H1540)*(1-((1+H1540)/(1+I1540))^5)/(I1540-H1540))+((ASSUMPTIONS!$C$18*J1540*(1-ASSUMPTIONS!$C$20)+ASSUMPTIONS!$C$18*ASSUMPTIONS!$C$21-ASSUMPTIONS!$C$18*ASSUMPTIONS!$C$22)*(1+H1540)^5*(1+K1540)/(I1540-K1540)/(1+I1540)^5)-DCF!$C$12)/ASSUMPTIONS!$C$7</f>
        <v/>
      </c>
    </row>
    <row r="1541">
      <c r="H1541" s="83">
        <f>_xlfn.NORM.INV(RAND(),AVERAGE(ASSUMPTIONS!$C$38,ASSUMPTIONS!$C$39,ASSUMPTIONS!$C$40,ASSUMPTIONS!$C$41,ASSUMPTIONS!$C$42),ASSUMPTIONS!$C$68)</f>
        <v/>
      </c>
      <c r="I1541" s="83">
        <f>MAX(_xlfn.NORM.INV(RAND(),DCF!$C$11,ASSUMPTIONS!$C$69),K1541+0.005)</f>
        <v/>
      </c>
      <c r="J1541" s="83">
        <f>_xlfn.NORM.INV(RAND(),ASSUMPTIONS!$C$19,ASSUMPTIONS!$C$70)</f>
        <v/>
      </c>
      <c r="K1541" s="83">
        <f>_xlfn.NORM.INV(RAND(),ASSUMPTIONS!$C$43,ASSUMPTIONS!$C$71)</f>
        <v/>
      </c>
      <c r="L1541" s="84">
        <f>(((ASSUMPTIONS!$C$18*J1541*(1-ASSUMPTIONS!$C$20)+ASSUMPTIONS!$C$18*ASSUMPTIONS!$C$21-ASSUMPTIONS!$C$18*ASSUMPTIONS!$C$22)*(1+H1541)*(1-((1+H1541)/(1+I1541))^5)/(I1541-H1541))+((ASSUMPTIONS!$C$18*J1541*(1-ASSUMPTIONS!$C$20)+ASSUMPTIONS!$C$18*ASSUMPTIONS!$C$21-ASSUMPTIONS!$C$18*ASSUMPTIONS!$C$22)*(1+H1541)^5*(1+K1541)/(I1541-K1541)/(1+I1541)^5)-DCF!$C$12)/ASSUMPTIONS!$C$7</f>
        <v/>
      </c>
    </row>
    <row r="1542">
      <c r="H1542" s="83">
        <f>_xlfn.NORM.INV(RAND(),AVERAGE(ASSUMPTIONS!$C$38,ASSUMPTIONS!$C$39,ASSUMPTIONS!$C$40,ASSUMPTIONS!$C$41,ASSUMPTIONS!$C$42),ASSUMPTIONS!$C$68)</f>
        <v/>
      </c>
      <c r="I1542" s="83">
        <f>MAX(_xlfn.NORM.INV(RAND(),DCF!$C$11,ASSUMPTIONS!$C$69),K1542+0.005)</f>
        <v/>
      </c>
      <c r="J1542" s="83">
        <f>_xlfn.NORM.INV(RAND(),ASSUMPTIONS!$C$19,ASSUMPTIONS!$C$70)</f>
        <v/>
      </c>
      <c r="K1542" s="83">
        <f>_xlfn.NORM.INV(RAND(),ASSUMPTIONS!$C$43,ASSUMPTIONS!$C$71)</f>
        <v/>
      </c>
      <c r="L1542" s="84">
        <f>(((ASSUMPTIONS!$C$18*J1542*(1-ASSUMPTIONS!$C$20)+ASSUMPTIONS!$C$18*ASSUMPTIONS!$C$21-ASSUMPTIONS!$C$18*ASSUMPTIONS!$C$22)*(1+H1542)*(1-((1+H1542)/(1+I1542))^5)/(I1542-H1542))+((ASSUMPTIONS!$C$18*J1542*(1-ASSUMPTIONS!$C$20)+ASSUMPTIONS!$C$18*ASSUMPTIONS!$C$21-ASSUMPTIONS!$C$18*ASSUMPTIONS!$C$22)*(1+H1542)^5*(1+K1542)/(I1542-K1542)/(1+I1542)^5)-DCF!$C$12)/ASSUMPTIONS!$C$7</f>
        <v/>
      </c>
    </row>
    <row r="1543">
      <c r="H1543" s="83">
        <f>_xlfn.NORM.INV(RAND(),AVERAGE(ASSUMPTIONS!$C$38,ASSUMPTIONS!$C$39,ASSUMPTIONS!$C$40,ASSUMPTIONS!$C$41,ASSUMPTIONS!$C$42),ASSUMPTIONS!$C$68)</f>
        <v/>
      </c>
      <c r="I1543" s="83">
        <f>MAX(_xlfn.NORM.INV(RAND(),DCF!$C$11,ASSUMPTIONS!$C$69),K1543+0.005)</f>
        <v/>
      </c>
      <c r="J1543" s="83">
        <f>_xlfn.NORM.INV(RAND(),ASSUMPTIONS!$C$19,ASSUMPTIONS!$C$70)</f>
        <v/>
      </c>
      <c r="K1543" s="83">
        <f>_xlfn.NORM.INV(RAND(),ASSUMPTIONS!$C$43,ASSUMPTIONS!$C$71)</f>
        <v/>
      </c>
      <c r="L1543" s="84">
        <f>(((ASSUMPTIONS!$C$18*J1543*(1-ASSUMPTIONS!$C$20)+ASSUMPTIONS!$C$18*ASSUMPTIONS!$C$21-ASSUMPTIONS!$C$18*ASSUMPTIONS!$C$22)*(1+H1543)*(1-((1+H1543)/(1+I1543))^5)/(I1543-H1543))+((ASSUMPTIONS!$C$18*J1543*(1-ASSUMPTIONS!$C$20)+ASSUMPTIONS!$C$18*ASSUMPTIONS!$C$21-ASSUMPTIONS!$C$18*ASSUMPTIONS!$C$22)*(1+H1543)^5*(1+K1543)/(I1543-K1543)/(1+I1543)^5)-DCF!$C$12)/ASSUMPTIONS!$C$7</f>
        <v/>
      </c>
    </row>
    <row r="1544">
      <c r="H1544" s="83">
        <f>_xlfn.NORM.INV(RAND(),AVERAGE(ASSUMPTIONS!$C$38,ASSUMPTIONS!$C$39,ASSUMPTIONS!$C$40,ASSUMPTIONS!$C$41,ASSUMPTIONS!$C$42),ASSUMPTIONS!$C$68)</f>
        <v/>
      </c>
      <c r="I1544" s="83">
        <f>MAX(_xlfn.NORM.INV(RAND(),DCF!$C$11,ASSUMPTIONS!$C$69),K1544+0.005)</f>
        <v/>
      </c>
      <c r="J1544" s="83">
        <f>_xlfn.NORM.INV(RAND(),ASSUMPTIONS!$C$19,ASSUMPTIONS!$C$70)</f>
        <v/>
      </c>
      <c r="K1544" s="83">
        <f>_xlfn.NORM.INV(RAND(),ASSUMPTIONS!$C$43,ASSUMPTIONS!$C$71)</f>
        <v/>
      </c>
      <c r="L1544" s="84">
        <f>(((ASSUMPTIONS!$C$18*J1544*(1-ASSUMPTIONS!$C$20)+ASSUMPTIONS!$C$18*ASSUMPTIONS!$C$21-ASSUMPTIONS!$C$18*ASSUMPTIONS!$C$22)*(1+H1544)*(1-((1+H1544)/(1+I1544))^5)/(I1544-H1544))+((ASSUMPTIONS!$C$18*J1544*(1-ASSUMPTIONS!$C$20)+ASSUMPTIONS!$C$18*ASSUMPTIONS!$C$21-ASSUMPTIONS!$C$18*ASSUMPTIONS!$C$22)*(1+H1544)^5*(1+K1544)/(I1544-K1544)/(1+I1544)^5)-DCF!$C$12)/ASSUMPTIONS!$C$7</f>
        <v/>
      </c>
    </row>
    <row r="1545">
      <c r="H1545" s="83">
        <f>_xlfn.NORM.INV(RAND(),AVERAGE(ASSUMPTIONS!$C$38,ASSUMPTIONS!$C$39,ASSUMPTIONS!$C$40,ASSUMPTIONS!$C$41,ASSUMPTIONS!$C$42),ASSUMPTIONS!$C$68)</f>
        <v/>
      </c>
      <c r="I1545" s="83">
        <f>MAX(_xlfn.NORM.INV(RAND(),DCF!$C$11,ASSUMPTIONS!$C$69),K1545+0.005)</f>
        <v/>
      </c>
      <c r="J1545" s="83">
        <f>_xlfn.NORM.INV(RAND(),ASSUMPTIONS!$C$19,ASSUMPTIONS!$C$70)</f>
        <v/>
      </c>
      <c r="K1545" s="83">
        <f>_xlfn.NORM.INV(RAND(),ASSUMPTIONS!$C$43,ASSUMPTIONS!$C$71)</f>
        <v/>
      </c>
      <c r="L1545" s="84">
        <f>(((ASSUMPTIONS!$C$18*J1545*(1-ASSUMPTIONS!$C$20)+ASSUMPTIONS!$C$18*ASSUMPTIONS!$C$21-ASSUMPTIONS!$C$18*ASSUMPTIONS!$C$22)*(1+H1545)*(1-((1+H1545)/(1+I1545))^5)/(I1545-H1545))+((ASSUMPTIONS!$C$18*J1545*(1-ASSUMPTIONS!$C$20)+ASSUMPTIONS!$C$18*ASSUMPTIONS!$C$21-ASSUMPTIONS!$C$18*ASSUMPTIONS!$C$22)*(1+H1545)^5*(1+K1545)/(I1545-K1545)/(1+I1545)^5)-DCF!$C$12)/ASSUMPTIONS!$C$7</f>
        <v/>
      </c>
    </row>
    <row r="1546">
      <c r="H1546" s="83">
        <f>_xlfn.NORM.INV(RAND(),AVERAGE(ASSUMPTIONS!$C$38,ASSUMPTIONS!$C$39,ASSUMPTIONS!$C$40,ASSUMPTIONS!$C$41,ASSUMPTIONS!$C$42),ASSUMPTIONS!$C$68)</f>
        <v/>
      </c>
      <c r="I1546" s="83">
        <f>MAX(_xlfn.NORM.INV(RAND(),DCF!$C$11,ASSUMPTIONS!$C$69),K1546+0.005)</f>
        <v/>
      </c>
      <c r="J1546" s="83">
        <f>_xlfn.NORM.INV(RAND(),ASSUMPTIONS!$C$19,ASSUMPTIONS!$C$70)</f>
        <v/>
      </c>
      <c r="K1546" s="83">
        <f>_xlfn.NORM.INV(RAND(),ASSUMPTIONS!$C$43,ASSUMPTIONS!$C$71)</f>
        <v/>
      </c>
      <c r="L1546" s="84">
        <f>(((ASSUMPTIONS!$C$18*J1546*(1-ASSUMPTIONS!$C$20)+ASSUMPTIONS!$C$18*ASSUMPTIONS!$C$21-ASSUMPTIONS!$C$18*ASSUMPTIONS!$C$22)*(1+H1546)*(1-((1+H1546)/(1+I1546))^5)/(I1546-H1546))+((ASSUMPTIONS!$C$18*J1546*(1-ASSUMPTIONS!$C$20)+ASSUMPTIONS!$C$18*ASSUMPTIONS!$C$21-ASSUMPTIONS!$C$18*ASSUMPTIONS!$C$22)*(1+H1546)^5*(1+K1546)/(I1546-K1546)/(1+I1546)^5)-DCF!$C$12)/ASSUMPTIONS!$C$7</f>
        <v/>
      </c>
    </row>
    <row r="1547">
      <c r="H1547" s="83">
        <f>_xlfn.NORM.INV(RAND(),AVERAGE(ASSUMPTIONS!$C$38,ASSUMPTIONS!$C$39,ASSUMPTIONS!$C$40,ASSUMPTIONS!$C$41,ASSUMPTIONS!$C$42),ASSUMPTIONS!$C$68)</f>
        <v/>
      </c>
      <c r="I1547" s="83">
        <f>MAX(_xlfn.NORM.INV(RAND(),DCF!$C$11,ASSUMPTIONS!$C$69),K1547+0.005)</f>
        <v/>
      </c>
      <c r="J1547" s="83">
        <f>_xlfn.NORM.INV(RAND(),ASSUMPTIONS!$C$19,ASSUMPTIONS!$C$70)</f>
        <v/>
      </c>
      <c r="K1547" s="83">
        <f>_xlfn.NORM.INV(RAND(),ASSUMPTIONS!$C$43,ASSUMPTIONS!$C$71)</f>
        <v/>
      </c>
      <c r="L1547" s="84">
        <f>(((ASSUMPTIONS!$C$18*J1547*(1-ASSUMPTIONS!$C$20)+ASSUMPTIONS!$C$18*ASSUMPTIONS!$C$21-ASSUMPTIONS!$C$18*ASSUMPTIONS!$C$22)*(1+H1547)*(1-((1+H1547)/(1+I1547))^5)/(I1547-H1547))+((ASSUMPTIONS!$C$18*J1547*(1-ASSUMPTIONS!$C$20)+ASSUMPTIONS!$C$18*ASSUMPTIONS!$C$21-ASSUMPTIONS!$C$18*ASSUMPTIONS!$C$22)*(1+H1547)^5*(1+K1547)/(I1547-K1547)/(1+I1547)^5)-DCF!$C$12)/ASSUMPTIONS!$C$7</f>
        <v/>
      </c>
    </row>
    <row r="1548">
      <c r="H1548" s="83">
        <f>_xlfn.NORM.INV(RAND(),AVERAGE(ASSUMPTIONS!$C$38,ASSUMPTIONS!$C$39,ASSUMPTIONS!$C$40,ASSUMPTIONS!$C$41,ASSUMPTIONS!$C$42),ASSUMPTIONS!$C$68)</f>
        <v/>
      </c>
      <c r="I1548" s="83">
        <f>MAX(_xlfn.NORM.INV(RAND(),DCF!$C$11,ASSUMPTIONS!$C$69),K1548+0.005)</f>
        <v/>
      </c>
      <c r="J1548" s="83">
        <f>_xlfn.NORM.INV(RAND(),ASSUMPTIONS!$C$19,ASSUMPTIONS!$C$70)</f>
        <v/>
      </c>
      <c r="K1548" s="83">
        <f>_xlfn.NORM.INV(RAND(),ASSUMPTIONS!$C$43,ASSUMPTIONS!$C$71)</f>
        <v/>
      </c>
      <c r="L1548" s="84">
        <f>(((ASSUMPTIONS!$C$18*J1548*(1-ASSUMPTIONS!$C$20)+ASSUMPTIONS!$C$18*ASSUMPTIONS!$C$21-ASSUMPTIONS!$C$18*ASSUMPTIONS!$C$22)*(1+H1548)*(1-((1+H1548)/(1+I1548))^5)/(I1548-H1548))+((ASSUMPTIONS!$C$18*J1548*(1-ASSUMPTIONS!$C$20)+ASSUMPTIONS!$C$18*ASSUMPTIONS!$C$21-ASSUMPTIONS!$C$18*ASSUMPTIONS!$C$22)*(1+H1548)^5*(1+K1548)/(I1548-K1548)/(1+I1548)^5)-DCF!$C$12)/ASSUMPTIONS!$C$7</f>
        <v/>
      </c>
    </row>
    <row r="1549">
      <c r="H1549" s="83">
        <f>_xlfn.NORM.INV(RAND(),AVERAGE(ASSUMPTIONS!$C$38,ASSUMPTIONS!$C$39,ASSUMPTIONS!$C$40,ASSUMPTIONS!$C$41,ASSUMPTIONS!$C$42),ASSUMPTIONS!$C$68)</f>
        <v/>
      </c>
      <c r="I1549" s="83">
        <f>MAX(_xlfn.NORM.INV(RAND(),DCF!$C$11,ASSUMPTIONS!$C$69),K1549+0.005)</f>
        <v/>
      </c>
      <c r="J1549" s="83">
        <f>_xlfn.NORM.INV(RAND(),ASSUMPTIONS!$C$19,ASSUMPTIONS!$C$70)</f>
        <v/>
      </c>
      <c r="K1549" s="83">
        <f>_xlfn.NORM.INV(RAND(),ASSUMPTIONS!$C$43,ASSUMPTIONS!$C$71)</f>
        <v/>
      </c>
      <c r="L1549" s="84">
        <f>(((ASSUMPTIONS!$C$18*J1549*(1-ASSUMPTIONS!$C$20)+ASSUMPTIONS!$C$18*ASSUMPTIONS!$C$21-ASSUMPTIONS!$C$18*ASSUMPTIONS!$C$22)*(1+H1549)*(1-((1+H1549)/(1+I1549))^5)/(I1549-H1549))+((ASSUMPTIONS!$C$18*J1549*(1-ASSUMPTIONS!$C$20)+ASSUMPTIONS!$C$18*ASSUMPTIONS!$C$21-ASSUMPTIONS!$C$18*ASSUMPTIONS!$C$22)*(1+H1549)^5*(1+K1549)/(I1549-K1549)/(1+I1549)^5)-DCF!$C$12)/ASSUMPTIONS!$C$7</f>
        <v/>
      </c>
    </row>
    <row r="1550">
      <c r="H1550" s="83">
        <f>_xlfn.NORM.INV(RAND(),AVERAGE(ASSUMPTIONS!$C$38,ASSUMPTIONS!$C$39,ASSUMPTIONS!$C$40,ASSUMPTIONS!$C$41,ASSUMPTIONS!$C$42),ASSUMPTIONS!$C$68)</f>
        <v/>
      </c>
      <c r="I1550" s="83">
        <f>MAX(_xlfn.NORM.INV(RAND(),DCF!$C$11,ASSUMPTIONS!$C$69),K1550+0.005)</f>
        <v/>
      </c>
      <c r="J1550" s="83">
        <f>_xlfn.NORM.INV(RAND(),ASSUMPTIONS!$C$19,ASSUMPTIONS!$C$70)</f>
        <v/>
      </c>
      <c r="K1550" s="83">
        <f>_xlfn.NORM.INV(RAND(),ASSUMPTIONS!$C$43,ASSUMPTIONS!$C$71)</f>
        <v/>
      </c>
      <c r="L1550" s="84">
        <f>(((ASSUMPTIONS!$C$18*J1550*(1-ASSUMPTIONS!$C$20)+ASSUMPTIONS!$C$18*ASSUMPTIONS!$C$21-ASSUMPTIONS!$C$18*ASSUMPTIONS!$C$22)*(1+H1550)*(1-((1+H1550)/(1+I1550))^5)/(I1550-H1550))+((ASSUMPTIONS!$C$18*J1550*(1-ASSUMPTIONS!$C$20)+ASSUMPTIONS!$C$18*ASSUMPTIONS!$C$21-ASSUMPTIONS!$C$18*ASSUMPTIONS!$C$22)*(1+H1550)^5*(1+K1550)/(I1550-K1550)/(1+I1550)^5)-DCF!$C$12)/ASSUMPTIONS!$C$7</f>
        <v/>
      </c>
    </row>
    <row r="1551">
      <c r="H1551" s="83">
        <f>_xlfn.NORM.INV(RAND(),AVERAGE(ASSUMPTIONS!$C$38,ASSUMPTIONS!$C$39,ASSUMPTIONS!$C$40,ASSUMPTIONS!$C$41,ASSUMPTIONS!$C$42),ASSUMPTIONS!$C$68)</f>
        <v/>
      </c>
      <c r="I1551" s="83">
        <f>MAX(_xlfn.NORM.INV(RAND(),DCF!$C$11,ASSUMPTIONS!$C$69),K1551+0.005)</f>
        <v/>
      </c>
      <c r="J1551" s="83">
        <f>_xlfn.NORM.INV(RAND(),ASSUMPTIONS!$C$19,ASSUMPTIONS!$C$70)</f>
        <v/>
      </c>
      <c r="K1551" s="83">
        <f>_xlfn.NORM.INV(RAND(),ASSUMPTIONS!$C$43,ASSUMPTIONS!$C$71)</f>
        <v/>
      </c>
      <c r="L1551" s="84">
        <f>(((ASSUMPTIONS!$C$18*J1551*(1-ASSUMPTIONS!$C$20)+ASSUMPTIONS!$C$18*ASSUMPTIONS!$C$21-ASSUMPTIONS!$C$18*ASSUMPTIONS!$C$22)*(1+H1551)*(1-((1+H1551)/(1+I1551))^5)/(I1551-H1551))+((ASSUMPTIONS!$C$18*J1551*(1-ASSUMPTIONS!$C$20)+ASSUMPTIONS!$C$18*ASSUMPTIONS!$C$21-ASSUMPTIONS!$C$18*ASSUMPTIONS!$C$22)*(1+H1551)^5*(1+K1551)/(I1551-K1551)/(1+I1551)^5)-DCF!$C$12)/ASSUMPTIONS!$C$7</f>
        <v/>
      </c>
    </row>
    <row r="1552">
      <c r="H1552" s="83">
        <f>_xlfn.NORM.INV(RAND(),AVERAGE(ASSUMPTIONS!$C$38,ASSUMPTIONS!$C$39,ASSUMPTIONS!$C$40,ASSUMPTIONS!$C$41,ASSUMPTIONS!$C$42),ASSUMPTIONS!$C$68)</f>
        <v/>
      </c>
      <c r="I1552" s="83">
        <f>MAX(_xlfn.NORM.INV(RAND(),DCF!$C$11,ASSUMPTIONS!$C$69),K1552+0.005)</f>
        <v/>
      </c>
      <c r="J1552" s="83">
        <f>_xlfn.NORM.INV(RAND(),ASSUMPTIONS!$C$19,ASSUMPTIONS!$C$70)</f>
        <v/>
      </c>
      <c r="K1552" s="83">
        <f>_xlfn.NORM.INV(RAND(),ASSUMPTIONS!$C$43,ASSUMPTIONS!$C$71)</f>
        <v/>
      </c>
      <c r="L1552" s="84">
        <f>(((ASSUMPTIONS!$C$18*J1552*(1-ASSUMPTIONS!$C$20)+ASSUMPTIONS!$C$18*ASSUMPTIONS!$C$21-ASSUMPTIONS!$C$18*ASSUMPTIONS!$C$22)*(1+H1552)*(1-((1+H1552)/(1+I1552))^5)/(I1552-H1552))+((ASSUMPTIONS!$C$18*J1552*(1-ASSUMPTIONS!$C$20)+ASSUMPTIONS!$C$18*ASSUMPTIONS!$C$21-ASSUMPTIONS!$C$18*ASSUMPTIONS!$C$22)*(1+H1552)^5*(1+K1552)/(I1552-K1552)/(1+I1552)^5)-DCF!$C$12)/ASSUMPTIONS!$C$7</f>
        <v/>
      </c>
    </row>
    <row r="1553">
      <c r="H1553" s="83">
        <f>_xlfn.NORM.INV(RAND(),AVERAGE(ASSUMPTIONS!$C$38,ASSUMPTIONS!$C$39,ASSUMPTIONS!$C$40,ASSUMPTIONS!$C$41,ASSUMPTIONS!$C$42),ASSUMPTIONS!$C$68)</f>
        <v/>
      </c>
      <c r="I1553" s="83">
        <f>MAX(_xlfn.NORM.INV(RAND(),DCF!$C$11,ASSUMPTIONS!$C$69),K1553+0.005)</f>
        <v/>
      </c>
      <c r="J1553" s="83">
        <f>_xlfn.NORM.INV(RAND(),ASSUMPTIONS!$C$19,ASSUMPTIONS!$C$70)</f>
        <v/>
      </c>
      <c r="K1553" s="83">
        <f>_xlfn.NORM.INV(RAND(),ASSUMPTIONS!$C$43,ASSUMPTIONS!$C$71)</f>
        <v/>
      </c>
      <c r="L1553" s="84">
        <f>(((ASSUMPTIONS!$C$18*J1553*(1-ASSUMPTIONS!$C$20)+ASSUMPTIONS!$C$18*ASSUMPTIONS!$C$21-ASSUMPTIONS!$C$18*ASSUMPTIONS!$C$22)*(1+H1553)*(1-((1+H1553)/(1+I1553))^5)/(I1553-H1553))+((ASSUMPTIONS!$C$18*J1553*(1-ASSUMPTIONS!$C$20)+ASSUMPTIONS!$C$18*ASSUMPTIONS!$C$21-ASSUMPTIONS!$C$18*ASSUMPTIONS!$C$22)*(1+H1553)^5*(1+K1553)/(I1553-K1553)/(1+I1553)^5)-DCF!$C$12)/ASSUMPTIONS!$C$7</f>
        <v/>
      </c>
    </row>
    <row r="1554">
      <c r="H1554" s="83">
        <f>_xlfn.NORM.INV(RAND(),AVERAGE(ASSUMPTIONS!$C$38,ASSUMPTIONS!$C$39,ASSUMPTIONS!$C$40,ASSUMPTIONS!$C$41,ASSUMPTIONS!$C$42),ASSUMPTIONS!$C$68)</f>
        <v/>
      </c>
      <c r="I1554" s="83">
        <f>MAX(_xlfn.NORM.INV(RAND(),DCF!$C$11,ASSUMPTIONS!$C$69),K1554+0.005)</f>
        <v/>
      </c>
      <c r="J1554" s="83">
        <f>_xlfn.NORM.INV(RAND(),ASSUMPTIONS!$C$19,ASSUMPTIONS!$C$70)</f>
        <v/>
      </c>
      <c r="K1554" s="83">
        <f>_xlfn.NORM.INV(RAND(),ASSUMPTIONS!$C$43,ASSUMPTIONS!$C$71)</f>
        <v/>
      </c>
      <c r="L1554" s="84">
        <f>(((ASSUMPTIONS!$C$18*J1554*(1-ASSUMPTIONS!$C$20)+ASSUMPTIONS!$C$18*ASSUMPTIONS!$C$21-ASSUMPTIONS!$C$18*ASSUMPTIONS!$C$22)*(1+H1554)*(1-((1+H1554)/(1+I1554))^5)/(I1554-H1554))+((ASSUMPTIONS!$C$18*J1554*(1-ASSUMPTIONS!$C$20)+ASSUMPTIONS!$C$18*ASSUMPTIONS!$C$21-ASSUMPTIONS!$C$18*ASSUMPTIONS!$C$22)*(1+H1554)^5*(1+K1554)/(I1554-K1554)/(1+I1554)^5)-DCF!$C$12)/ASSUMPTIONS!$C$7</f>
        <v/>
      </c>
    </row>
    <row r="1555">
      <c r="H1555" s="83">
        <f>_xlfn.NORM.INV(RAND(),AVERAGE(ASSUMPTIONS!$C$38,ASSUMPTIONS!$C$39,ASSUMPTIONS!$C$40,ASSUMPTIONS!$C$41,ASSUMPTIONS!$C$42),ASSUMPTIONS!$C$68)</f>
        <v/>
      </c>
      <c r="I1555" s="83">
        <f>MAX(_xlfn.NORM.INV(RAND(),DCF!$C$11,ASSUMPTIONS!$C$69),K1555+0.005)</f>
        <v/>
      </c>
      <c r="J1555" s="83">
        <f>_xlfn.NORM.INV(RAND(),ASSUMPTIONS!$C$19,ASSUMPTIONS!$C$70)</f>
        <v/>
      </c>
      <c r="K1555" s="83">
        <f>_xlfn.NORM.INV(RAND(),ASSUMPTIONS!$C$43,ASSUMPTIONS!$C$71)</f>
        <v/>
      </c>
      <c r="L1555" s="84">
        <f>(((ASSUMPTIONS!$C$18*J1555*(1-ASSUMPTIONS!$C$20)+ASSUMPTIONS!$C$18*ASSUMPTIONS!$C$21-ASSUMPTIONS!$C$18*ASSUMPTIONS!$C$22)*(1+H1555)*(1-((1+H1555)/(1+I1555))^5)/(I1555-H1555))+((ASSUMPTIONS!$C$18*J1555*(1-ASSUMPTIONS!$C$20)+ASSUMPTIONS!$C$18*ASSUMPTIONS!$C$21-ASSUMPTIONS!$C$18*ASSUMPTIONS!$C$22)*(1+H1555)^5*(1+K1555)/(I1555-K1555)/(1+I1555)^5)-DCF!$C$12)/ASSUMPTIONS!$C$7</f>
        <v/>
      </c>
    </row>
    <row r="1556">
      <c r="H1556" s="83">
        <f>_xlfn.NORM.INV(RAND(),AVERAGE(ASSUMPTIONS!$C$38,ASSUMPTIONS!$C$39,ASSUMPTIONS!$C$40,ASSUMPTIONS!$C$41,ASSUMPTIONS!$C$42),ASSUMPTIONS!$C$68)</f>
        <v/>
      </c>
      <c r="I1556" s="83">
        <f>MAX(_xlfn.NORM.INV(RAND(),DCF!$C$11,ASSUMPTIONS!$C$69),K1556+0.005)</f>
        <v/>
      </c>
      <c r="J1556" s="83">
        <f>_xlfn.NORM.INV(RAND(),ASSUMPTIONS!$C$19,ASSUMPTIONS!$C$70)</f>
        <v/>
      </c>
      <c r="K1556" s="83">
        <f>_xlfn.NORM.INV(RAND(),ASSUMPTIONS!$C$43,ASSUMPTIONS!$C$71)</f>
        <v/>
      </c>
      <c r="L1556" s="84">
        <f>(((ASSUMPTIONS!$C$18*J1556*(1-ASSUMPTIONS!$C$20)+ASSUMPTIONS!$C$18*ASSUMPTIONS!$C$21-ASSUMPTIONS!$C$18*ASSUMPTIONS!$C$22)*(1+H1556)*(1-((1+H1556)/(1+I1556))^5)/(I1556-H1556))+((ASSUMPTIONS!$C$18*J1556*(1-ASSUMPTIONS!$C$20)+ASSUMPTIONS!$C$18*ASSUMPTIONS!$C$21-ASSUMPTIONS!$C$18*ASSUMPTIONS!$C$22)*(1+H1556)^5*(1+K1556)/(I1556-K1556)/(1+I1556)^5)-DCF!$C$12)/ASSUMPTIONS!$C$7</f>
        <v/>
      </c>
    </row>
    <row r="1557">
      <c r="H1557" s="83">
        <f>_xlfn.NORM.INV(RAND(),AVERAGE(ASSUMPTIONS!$C$38,ASSUMPTIONS!$C$39,ASSUMPTIONS!$C$40,ASSUMPTIONS!$C$41,ASSUMPTIONS!$C$42),ASSUMPTIONS!$C$68)</f>
        <v/>
      </c>
      <c r="I1557" s="83">
        <f>MAX(_xlfn.NORM.INV(RAND(),DCF!$C$11,ASSUMPTIONS!$C$69),K1557+0.005)</f>
        <v/>
      </c>
      <c r="J1557" s="83">
        <f>_xlfn.NORM.INV(RAND(),ASSUMPTIONS!$C$19,ASSUMPTIONS!$C$70)</f>
        <v/>
      </c>
      <c r="K1557" s="83">
        <f>_xlfn.NORM.INV(RAND(),ASSUMPTIONS!$C$43,ASSUMPTIONS!$C$71)</f>
        <v/>
      </c>
      <c r="L1557" s="84">
        <f>(((ASSUMPTIONS!$C$18*J1557*(1-ASSUMPTIONS!$C$20)+ASSUMPTIONS!$C$18*ASSUMPTIONS!$C$21-ASSUMPTIONS!$C$18*ASSUMPTIONS!$C$22)*(1+H1557)*(1-((1+H1557)/(1+I1557))^5)/(I1557-H1557))+((ASSUMPTIONS!$C$18*J1557*(1-ASSUMPTIONS!$C$20)+ASSUMPTIONS!$C$18*ASSUMPTIONS!$C$21-ASSUMPTIONS!$C$18*ASSUMPTIONS!$C$22)*(1+H1557)^5*(1+K1557)/(I1557-K1557)/(1+I1557)^5)-DCF!$C$12)/ASSUMPTIONS!$C$7</f>
        <v/>
      </c>
    </row>
    <row r="1558">
      <c r="H1558" s="83">
        <f>_xlfn.NORM.INV(RAND(),AVERAGE(ASSUMPTIONS!$C$38,ASSUMPTIONS!$C$39,ASSUMPTIONS!$C$40,ASSUMPTIONS!$C$41,ASSUMPTIONS!$C$42),ASSUMPTIONS!$C$68)</f>
        <v/>
      </c>
      <c r="I1558" s="83">
        <f>MAX(_xlfn.NORM.INV(RAND(),DCF!$C$11,ASSUMPTIONS!$C$69),K1558+0.005)</f>
        <v/>
      </c>
      <c r="J1558" s="83">
        <f>_xlfn.NORM.INV(RAND(),ASSUMPTIONS!$C$19,ASSUMPTIONS!$C$70)</f>
        <v/>
      </c>
      <c r="K1558" s="83">
        <f>_xlfn.NORM.INV(RAND(),ASSUMPTIONS!$C$43,ASSUMPTIONS!$C$71)</f>
        <v/>
      </c>
      <c r="L1558" s="84">
        <f>(((ASSUMPTIONS!$C$18*J1558*(1-ASSUMPTIONS!$C$20)+ASSUMPTIONS!$C$18*ASSUMPTIONS!$C$21-ASSUMPTIONS!$C$18*ASSUMPTIONS!$C$22)*(1+H1558)*(1-((1+H1558)/(1+I1558))^5)/(I1558-H1558))+((ASSUMPTIONS!$C$18*J1558*(1-ASSUMPTIONS!$C$20)+ASSUMPTIONS!$C$18*ASSUMPTIONS!$C$21-ASSUMPTIONS!$C$18*ASSUMPTIONS!$C$22)*(1+H1558)^5*(1+K1558)/(I1558-K1558)/(1+I1558)^5)-DCF!$C$12)/ASSUMPTIONS!$C$7</f>
        <v/>
      </c>
    </row>
    <row r="1559">
      <c r="H1559" s="83">
        <f>_xlfn.NORM.INV(RAND(),AVERAGE(ASSUMPTIONS!$C$38,ASSUMPTIONS!$C$39,ASSUMPTIONS!$C$40,ASSUMPTIONS!$C$41,ASSUMPTIONS!$C$42),ASSUMPTIONS!$C$68)</f>
        <v/>
      </c>
      <c r="I1559" s="83">
        <f>MAX(_xlfn.NORM.INV(RAND(),DCF!$C$11,ASSUMPTIONS!$C$69),K1559+0.005)</f>
        <v/>
      </c>
      <c r="J1559" s="83">
        <f>_xlfn.NORM.INV(RAND(),ASSUMPTIONS!$C$19,ASSUMPTIONS!$C$70)</f>
        <v/>
      </c>
      <c r="K1559" s="83">
        <f>_xlfn.NORM.INV(RAND(),ASSUMPTIONS!$C$43,ASSUMPTIONS!$C$71)</f>
        <v/>
      </c>
      <c r="L1559" s="84">
        <f>(((ASSUMPTIONS!$C$18*J1559*(1-ASSUMPTIONS!$C$20)+ASSUMPTIONS!$C$18*ASSUMPTIONS!$C$21-ASSUMPTIONS!$C$18*ASSUMPTIONS!$C$22)*(1+H1559)*(1-((1+H1559)/(1+I1559))^5)/(I1559-H1559))+((ASSUMPTIONS!$C$18*J1559*(1-ASSUMPTIONS!$C$20)+ASSUMPTIONS!$C$18*ASSUMPTIONS!$C$21-ASSUMPTIONS!$C$18*ASSUMPTIONS!$C$22)*(1+H1559)^5*(1+K1559)/(I1559-K1559)/(1+I1559)^5)-DCF!$C$12)/ASSUMPTIONS!$C$7</f>
        <v/>
      </c>
    </row>
    <row r="1560">
      <c r="H1560" s="83">
        <f>_xlfn.NORM.INV(RAND(),AVERAGE(ASSUMPTIONS!$C$38,ASSUMPTIONS!$C$39,ASSUMPTIONS!$C$40,ASSUMPTIONS!$C$41,ASSUMPTIONS!$C$42),ASSUMPTIONS!$C$68)</f>
        <v/>
      </c>
      <c r="I1560" s="83">
        <f>MAX(_xlfn.NORM.INV(RAND(),DCF!$C$11,ASSUMPTIONS!$C$69),K1560+0.005)</f>
        <v/>
      </c>
      <c r="J1560" s="83">
        <f>_xlfn.NORM.INV(RAND(),ASSUMPTIONS!$C$19,ASSUMPTIONS!$C$70)</f>
        <v/>
      </c>
      <c r="K1560" s="83">
        <f>_xlfn.NORM.INV(RAND(),ASSUMPTIONS!$C$43,ASSUMPTIONS!$C$71)</f>
        <v/>
      </c>
      <c r="L1560" s="84">
        <f>(((ASSUMPTIONS!$C$18*J1560*(1-ASSUMPTIONS!$C$20)+ASSUMPTIONS!$C$18*ASSUMPTIONS!$C$21-ASSUMPTIONS!$C$18*ASSUMPTIONS!$C$22)*(1+H1560)*(1-((1+H1560)/(1+I1560))^5)/(I1560-H1560))+((ASSUMPTIONS!$C$18*J1560*(1-ASSUMPTIONS!$C$20)+ASSUMPTIONS!$C$18*ASSUMPTIONS!$C$21-ASSUMPTIONS!$C$18*ASSUMPTIONS!$C$22)*(1+H1560)^5*(1+K1560)/(I1560-K1560)/(1+I1560)^5)-DCF!$C$12)/ASSUMPTIONS!$C$7</f>
        <v/>
      </c>
    </row>
    <row r="1561">
      <c r="H1561" s="83">
        <f>_xlfn.NORM.INV(RAND(),AVERAGE(ASSUMPTIONS!$C$38,ASSUMPTIONS!$C$39,ASSUMPTIONS!$C$40,ASSUMPTIONS!$C$41,ASSUMPTIONS!$C$42),ASSUMPTIONS!$C$68)</f>
        <v/>
      </c>
      <c r="I1561" s="83">
        <f>MAX(_xlfn.NORM.INV(RAND(),DCF!$C$11,ASSUMPTIONS!$C$69),K1561+0.005)</f>
        <v/>
      </c>
      <c r="J1561" s="83">
        <f>_xlfn.NORM.INV(RAND(),ASSUMPTIONS!$C$19,ASSUMPTIONS!$C$70)</f>
        <v/>
      </c>
      <c r="K1561" s="83">
        <f>_xlfn.NORM.INV(RAND(),ASSUMPTIONS!$C$43,ASSUMPTIONS!$C$71)</f>
        <v/>
      </c>
      <c r="L1561" s="84">
        <f>(((ASSUMPTIONS!$C$18*J1561*(1-ASSUMPTIONS!$C$20)+ASSUMPTIONS!$C$18*ASSUMPTIONS!$C$21-ASSUMPTIONS!$C$18*ASSUMPTIONS!$C$22)*(1+H1561)*(1-((1+H1561)/(1+I1561))^5)/(I1561-H1561))+((ASSUMPTIONS!$C$18*J1561*(1-ASSUMPTIONS!$C$20)+ASSUMPTIONS!$C$18*ASSUMPTIONS!$C$21-ASSUMPTIONS!$C$18*ASSUMPTIONS!$C$22)*(1+H1561)^5*(1+K1561)/(I1561-K1561)/(1+I1561)^5)-DCF!$C$12)/ASSUMPTIONS!$C$7</f>
        <v/>
      </c>
    </row>
    <row r="1562">
      <c r="H1562" s="83">
        <f>_xlfn.NORM.INV(RAND(),AVERAGE(ASSUMPTIONS!$C$38,ASSUMPTIONS!$C$39,ASSUMPTIONS!$C$40,ASSUMPTIONS!$C$41,ASSUMPTIONS!$C$42),ASSUMPTIONS!$C$68)</f>
        <v/>
      </c>
      <c r="I1562" s="83">
        <f>MAX(_xlfn.NORM.INV(RAND(),DCF!$C$11,ASSUMPTIONS!$C$69),K1562+0.005)</f>
        <v/>
      </c>
      <c r="J1562" s="83">
        <f>_xlfn.NORM.INV(RAND(),ASSUMPTIONS!$C$19,ASSUMPTIONS!$C$70)</f>
        <v/>
      </c>
      <c r="K1562" s="83">
        <f>_xlfn.NORM.INV(RAND(),ASSUMPTIONS!$C$43,ASSUMPTIONS!$C$71)</f>
        <v/>
      </c>
      <c r="L1562" s="84">
        <f>(((ASSUMPTIONS!$C$18*J1562*(1-ASSUMPTIONS!$C$20)+ASSUMPTIONS!$C$18*ASSUMPTIONS!$C$21-ASSUMPTIONS!$C$18*ASSUMPTIONS!$C$22)*(1+H1562)*(1-((1+H1562)/(1+I1562))^5)/(I1562-H1562))+((ASSUMPTIONS!$C$18*J1562*(1-ASSUMPTIONS!$C$20)+ASSUMPTIONS!$C$18*ASSUMPTIONS!$C$21-ASSUMPTIONS!$C$18*ASSUMPTIONS!$C$22)*(1+H1562)^5*(1+K1562)/(I1562-K1562)/(1+I1562)^5)-DCF!$C$12)/ASSUMPTIONS!$C$7</f>
        <v/>
      </c>
    </row>
    <row r="1563">
      <c r="H1563" s="83">
        <f>_xlfn.NORM.INV(RAND(),AVERAGE(ASSUMPTIONS!$C$38,ASSUMPTIONS!$C$39,ASSUMPTIONS!$C$40,ASSUMPTIONS!$C$41,ASSUMPTIONS!$C$42),ASSUMPTIONS!$C$68)</f>
        <v/>
      </c>
      <c r="I1563" s="83">
        <f>MAX(_xlfn.NORM.INV(RAND(),DCF!$C$11,ASSUMPTIONS!$C$69),K1563+0.005)</f>
        <v/>
      </c>
      <c r="J1563" s="83">
        <f>_xlfn.NORM.INV(RAND(),ASSUMPTIONS!$C$19,ASSUMPTIONS!$C$70)</f>
        <v/>
      </c>
      <c r="K1563" s="83">
        <f>_xlfn.NORM.INV(RAND(),ASSUMPTIONS!$C$43,ASSUMPTIONS!$C$71)</f>
        <v/>
      </c>
      <c r="L1563" s="84">
        <f>(((ASSUMPTIONS!$C$18*J1563*(1-ASSUMPTIONS!$C$20)+ASSUMPTIONS!$C$18*ASSUMPTIONS!$C$21-ASSUMPTIONS!$C$18*ASSUMPTIONS!$C$22)*(1+H1563)*(1-((1+H1563)/(1+I1563))^5)/(I1563-H1563))+((ASSUMPTIONS!$C$18*J1563*(1-ASSUMPTIONS!$C$20)+ASSUMPTIONS!$C$18*ASSUMPTIONS!$C$21-ASSUMPTIONS!$C$18*ASSUMPTIONS!$C$22)*(1+H1563)^5*(1+K1563)/(I1563-K1563)/(1+I1563)^5)-DCF!$C$12)/ASSUMPTIONS!$C$7</f>
        <v/>
      </c>
    </row>
    <row r="1564">
      <c r="H1564" s="83">
        <f>_xlfn.NORM.INV(RAND(),AVERAGE(ASSUMPTIONS!$C$38,ASSUMPTIONS!$C$39,ASSUMPTIONS!$C$40,ASSUMPTIONS!$C$41,ASSUMPTIONS!$C$42),ASSUMPTIONS!$C$68)</f>
        <v/>
      </c>
      <c r="I1564" s="83">
        <f>MAX(_xlfn.NORM.INV(RAND(),DCF!$C$11,ASSUMPTIONS!$C$69),K1564+0.005)</f>
        <v/>
      </c>
      <c r="J1564" s="83">
        <f>_xlfn.NORM.INV(RAND(),ASSUMPTIONS!$C$19,ASSUMPTIONS!$C$70)</f>
        <v/>
      </c>
      <c r="K1564" s="83">
        <f>_xlfn.NORM.INV(RAND(),ASSUMPTIONS!$C$43,ASSUMPTIONS!$C$71)</f>
        <v/>
      </c>
      <c r="L1564" s="84">
        <f>(((ASSUMPTIONS!$C$18*J1564*(1-ASSUMPTIONS!$C$20)+ASSUMPTIONS!$C$18*ASSUMPTIONS!$C$21-ASSUMPTIONS!$C$18*ASSUMPTIONS!$C$22)*(1+H1564)*(1-((1+H1564)/(1+I1564))^5)/(I1564-H1564))+((ASSUMPTIONS!$C$18*J1564*(1-ASSUMPTIONS!$C$20)+ASSUMPTIONS!$C$18*ASSUMPTIONS!$C$21-ASSUMPTIONS!$C$18*ASSUMPTIONS!$C$22)*(1+H1564)^5*(1+K1564)/(I1564-K1564)/(1+I1564)^5)-DCF!$C$12)/ASSUMPTIONS!$C$7</f>
        <v/>
      </c>
    </row>
    <row r="1565">
      <c r="H1565" s="83">
        <f>_xlfn.NORM.INV(RAND(),AVERAGE(ASSUMPTIONS!$C$38,ASSUMPTIONS!$C$39,ASSUMPTIONS!$C$40,ASSUMPTIONS!$C$41,ASSUMPTIONS!$C$42),ASSUMPTIONS!$C$68)</f>
        <v/>
      </c>
      <c r="I1565" s="83">
        <f>MAX(_xlfn.NORM.INV(RAND(),DCF!$C$11,ASSUMPTIONS!$C$69),K1565+0.005)</f>
        <v/>
      </c>
      <c r="J1565" s="83">
        <f>_xlfn.NORM.INV(RAND(),ASSUMPTIONS!$C$19,ASSUMPTIONS!$C$70)</f>
        <v/>
      </c>
      <c r="K1565" s="83">
        <f>_xlfn.NORM.INV(RAND(),ASSUMPTIONS!$C$43,ASSUMPTIONS!$C$71)</f>
        <v/>
      </c>
      <c r="L1565" s="84">
        <f>(((ASSUMPTIONS!$C$18*J1565*(1-ASSUMPTIONS!$C$20)+ASSUMPTIONS!$C$18*ASSUMPTIONS!$C$21-ASSUMPTIONS!$C$18*ASSUMPTIONS!$C$22)*(1+H1565)*(1-((1+H1565)/(1+I1565))^5)/(I1565-H1565))+((ASSUMPTIONS!$C$18*J1565*(1-ASSUMPTIONS!$C$20)+ASSUMPTIONS!$C$18*ASSUMPTIONS!$C$21-ASSUMPTIONS!$C$18*ASSUMPTIONS!$C$22)*(1+H1565)^5*(1+K1565)/(I1565-K1565)/(1+I1565)^5)-DCF!$C$12)/ASSUMPTIONS!$C$7</f>
        <v/>
      </c>
    </row>
    <row r="1566">
      <c r="H1566" s="83">
        <f>_xlfn.NORM.INV(RAND(),AVERAGE(ASSUMPTIONS!$C$38,ASSUMPTIONS!$C$39,ASSUMPTIONS!$C$40,ASSUMPTIONS!$C$41,ASSUMPTIONS!$C$42),ASSUMPTIONS!$C$68)</f>
        <v/>
      </c>
      <c r="I1566" s="83">
        <f>MAX(_xlfn.NORM.INV(RAND(),DCF!$C$11,ASSUMPTIONS!$C$69),K1566+0.005)</f>
        <v/>
      </c>
      <c r="J1566" s="83">
        <f>_xlfn.NORM.INV(RAND(),ASSUMPTIONS!$C$19,ASSUMPTIONS!$C$70)</f>
        <v/>
      </c>
      <c r="K1566" s="83">
        <f>_xlfn.NORM.INV(RAND(),ASSUMPTIONS!$C$43,ASSUMPTIONS!$C$71)</f>
        <v/>
      </c>
      <c r="L1566" s="84">
        <f>(((ASSUMPTIONS!$C$18*J1566*(1-ASSUMPTIONS!$C$20)+ASSUMPTIONS!$C$18*ASSUMPTIONS!$C$21-ASSUMPTIONS!$C$18*ASSUMPTIONS!$C$22)*(1+H1566)*(1-((1+H1566)/(1+I1566))^5)/(I1566-H1566))+((ASSUMPTIONS!$C$18*J1566*(1-ASSUMPTIONS!$C$20)+ASSUMPTIONS!$C$18*ASSUMPTIONS!$C$21-ASSUMPTIONS!$C$18*ASSUMPTIONS!$C$22)*(1+H1566)^5*(1+K1566)/(I1566-K1566)/(1+I1566)^5)-DCF!$C$12)/ASSUMPTIONS!$C$7</f>
        <v/>
      </c>
    </row>
    <row r="1567">
      <c r="H1567" s="83">
        <f>_xlfn.NORM.INV(RAND(),AVERAGE(ASSUMPTIONS!$C$38,ASSUMPTIONS!$C$39,ASSUMPTIONS!$C$40,ASSUMPTIONS!$C$41,ASSUMPTIONS!$C$42),ASSUMPTIONS!$C$68)</f>
        <v/>
      </c>
      <c r="I1567" s="83">
        <f>MAX(_xlfn.NORM.INV(RAND(),DCF!$C$11,ASSUMPTIONS!$C$69),K1567+0.005)</f>
        <v/>
      </c>
      <c r="J1567" s="83">
        <f>_xlfn.NORM.INV(RAND(),ASSUMPTIONS!$C$19,ASSUMPTIONS!$C$70)</f>
        <v/>
      </c>
      <c r="K1567" s="83">
        <f>_xlfn.NORM.INV(RAND(),ASSUMPTIONS!$C$43,ASSUMPTIONS!$C$71)</f>
        <v/>
      </c>
      <c r="L1567" s="84">
        <f>(((ASSUMPTIONS!$C$18*J1567*(1-ASSUMPTIONS!$C$20)+ASSUMPTIONS!$C$18*ASSUMPTIONS!$C$21-ASSUMPTIONS!$C$18*ASSUMPTIONS!$C$22)*(1+H1567)*(1-((1+H1567)/(1+I1567))^5)/(I1567-H1567))+((ASSUMPTIONS!$C$18*J1567*(1-ASSUMPTIONS!$C$20)+ASSUMPTIONS!$C$18*ASSUMPTIONS!$C$21-ASSUMPTIONS!$C$18*ASSUMPTIONS!$C$22)*(1+H1567)^5*(1+K1567)/(I1567-K1567)/(1+I1567)^5)-DCF!$C$12)/ASSUMPTIONS!$C$7</f>
        <v/>
      </c>
    </row>
    <row r="1568">
      <c r="H1568" s="83">
        <f>_xlfn.NORM.INV(RAND(),AVERAGE(ASSUMPTIONS!$C$38,ASSUMPTIONS!$C$39,ASSUMPTIONS!$C$40,ASSUMPTIONS!$C$41,ASSUMPTIONS!$C$42),ASSUMPTIONS!$C$68)</f>
        <v/>
      </c>
      <c r="I1568" s="83">
        <f>MAX(_xlfn.NORM.INV(RAND(),DCF!$C$11,ASSUMPTIONS!$C$69),K1568+0.005)</f>
        <v/>
      </c>
      <c r="J1568" s="83">
        <f>_xlfn.NORM.INV(RAND(),ASSUMPTIONS!$C$19,ASSUMPTIONS!$C$70)</f>
        <v/>
      </c>
      <c r="K1568" s="83">
        <f>_xlfn.NORM.INV(RAND(),ASSUMPTIONS!$C$43,ASSUMPTIONS!$C$71)</f>
        <v/>
      </c>
      <c r="L1568" s="84">
        <f>(((ASSUMPTIONS!$C$18*J1568*(1-ASSUMPTIONS!$C$20)+ASSUMPTIONS!$C$18*ASSUMPTIONS!$C$21-ASSUMPTIONS!$C$18*ASSUMPTIONS!$C$22)*(1+H1568)*(1-((1+H1568)/(1+I1568))^5)/(I1568-H1568))+((ASSUMPTIONS!$C$18*J1568*(1-ASSUMPTIONS!$C$20)+ASSUMPTIONS!$C$18*ASSUMPTIONS!$C$21-ASSUMPTIONS!$C$18*ASSUMPTIONS!$C$22)*(1+H1568)^5*(1+K1568)/(I1568-K1568)/(1+I1568)^5)-DCF!$C$12)/ASSUMPTIONS!$C$7</f>
        <v/>
      </c>
    </row>
    <row r="1569">
      <c r="H1569" s="83">
        <f>_xlfn.NORM.INV(RAND(),AVERAGE(ASSUMPTIONS!$C$38,ASSUMPTIONS!$C$39,ASSUMPTIONS!$C$40,ASSUMPTIONS!$C$41,ASSUMPTIONS!$C$42),ASSUMPTIONS!$C$68)</f>
        <v/>
      </c>
      <c r="I1569" s="83">
        <f>MAX(_xlfn.NORM.INV(RAND(),DCF!$C$11,ASSUMPTIONS!$C$69),K1569+0.005)</f>
        <v/>
      </c>
      <c r="J1569" s="83">
        <f>_xlfn.NORM.INV(RAND(),ASSUMPTIONS!$C$19,ASSUMPTIONS!$C$70)</f>
        <v/>
      </c>
      <c r="K1569" s="83">
        <f>_xlfn.NORM.INV(RAND(),ASSUMPTIONS!$C$43,ASSUMPTIONS!$C$71)</f>
        <v/>
      </c>
      <c r="L1569" s="84">
        <f>(((ASSUMPTIONS!$C$18*J1569*(1-ASSUMPTIONS!$C$20)+ASSUMPTIONS!$C$18*ASSUMPTIONS!$C$21-ASSUMPTIONS!$C$18*ASSUMPTIONS!$C$22)*(1+H1569)*(1-((1+H1569)/(1+I1569))^5)/(I1569-H1569))+((ASSUMPTIONS!$C$18*J1569*(1-ASSUMPTIONS!$C$20)+ASSUMPTIONS!$C$18*ASSUMPTIONS!$C$21-ASSUMPTIONS!$C$18*ASSUMPTIONS!$C$22)*(1+H1569)^5*(1+K1569)/(I1569-K1569)/(1+I1569)^5)-DCF!$C$12)/ASSUMPTIONS!$C$7</f>
        <v/>
      </c>
    </row>
    <row r="1570">
      <c r="H1570" s="83">
        <f>_xlfn.NORM.INV(RAND(),AVERAGE(ASSUMPTIONS!$C$38,ASSUMPTIONS!$C$39,ASSUMPTIONS!$C$40,ASSUMPTIONS!$C$41,ASSUMPTIONS!$C$42),ASSUMPTIONS!$C$68)</f>
        <v/>
      </c>
      <c r="I1570" s="83">
        <f>MAX(_xlfn.NORM.INV(RAND(),DCF!$C$11,ASSUMPTIONS!$C$69),K1570+0.005)</f>
        <v/>
      </c>
      <c r="J1570" s="83">
        <f>_xlfn.NORM.INV(RAND(),ASSUMPTIONS!$C$19,ASSUMPTIONS!$C$70)</f>
        <v/>
      </c>
      <c r="K1570" s="83">
        <f>_xlfn.NORM.INV(RAND(),ASSUMPTIONS!$C$43,ASSUMPTIONS!$C$71)</f>
        <v/>
      </c>
      <c r="L1570" s="84">
        <f>(((ASSUMPTIONS!$C$18*J1570*(1-ASSUMPTIONS!$C$20)+ASSUMPTIONS!$C$18*ASSUMPTIONS!$C$21-ASSUMPTIONS!$C$18*ASSUMPTIONS!$C$22)*(1+H1570)*(1-((1+H1570)/(1+I1570))^5)/(I1570-H1570))+((ASSUMPTIONS!$C$18*J1570*(1-ASSUMPTIONS!$C$20)+ASSUMPTIONS!$C$18*ASSUMPTIONS!$C$21-ASSUMPTIONS!$C$18*ASSUMPTIONS!$C$22)*(1+H1570)^5*(1+K1570)/(I1570-K1570)/(1+I1570)^5)-DCF!$C$12)/ASSUMPTIONS!$C$7</f>
        <v/>
      </c>
    </row>
    <row r="1571">
      <c r="H1571" s="83">
        <f>_xlfn.NORM.INV(RAND(),AVERAGE(ASSUMPTIONS!$C$38,ASSUMPTIONS!$C$39,ASSUMPTIONS!$C$40,ASSUMPTIONS!$C$41,ASSUMPTIONS!$C$42),ASSUMPTIONS!$C$68)</f>
        <v/>
      </c>
      <c r="I1571" s="83">
        <f>MAX(_xlfn.NORM.INV(RAND(),DCF!$C$11,ASSUMPTIONS!$C$69),K1571+0.005)</f>
        <v/>
      </c>
      <c r="J1571" s="83">
        <f>_xlfn.NORM.INV(RAND(),ASSUMPTIONS!$C$19,ASSUMPTIONS!$C$70)</f>
        <v/>
      </c>
      <c r="K1571" s="83">
        <f>_xlfn.NORM.INV(RAND(),ASSUMPTIONS!$C$43,ASSUMPTIONS!$C$71)</f>
        <v/>
      </c>
      <c r="L1571" s="84">
        <f>(((ASSUMPTIONS!$C$18*J1571*(1-ASSUMPTIONS!$C$20)+ASSUMPTIONS!$C$18*ASSUMPTIONS!$C$21-ASSUMPTIONS!$C$18*ASSUMPTIONS!$C$22)*(1+H1571)*(1-((1+H1571)/(1+I1571))^5)/(I1571-H1571))+((ASSUMPTIONS!$C$18*J1571*(1-ASSUMPTIONS!$C$20)+ASSUMPTIONS!$C$18*ASSUMPTIONS!$C$21-ASSUMPTIONS!$C$18*ASSUMPTIONS!$C$22)*(1+H1571)^5*(1+K1571)/(I1571-K1571)/(1+I1571)^5)-DCF!$C$12)/ASSUMPTIONS!$C$7</f>
        <v/>
      </c>
    </row>
    <row r="1572">
      <c r="H1572" s="83">
        <f>_xlfn.NORM.INV(RAND(),AVERAGE(ASSUMPTIONS!$C$38,ASSUMPTIONS!$C$39,ASSUMPTIONS!$C$40,ASSUMPTIONS!$C$41,ASSUMPTIONS!$C$42),ASSUMPTIONS!$C$68)</f>
        <v/>
      </c>
      <c r="I1572" s="83">
        <f>MAX(_xlfn.NORM.INV(RAND(),DCF!$C$11,ASSUMPTIONS!$C$69),K1572+0.005)</f>
        <v/>
      </c>
      <c r="J1572" s="83">
        <f>_xlfn.NORM.INV(RAND(),ASSUMPTIONS!$C$19,ASSUMPTIONS!$C$70)</f>
        <v/>
      </c>
      <c r="K1572" s="83">
        <f>_xlfn.NORM.INV(RAND(),ASSUMPTIONS!$C$43,ASSUMPTIONS!$C$71)</f>
        <v/>
      </c>
      <c r="L1572" s="84">
        <f>(((ASSUMPTIONS!$C$18*J1572*(1-ASSUMPTIONS!$C$20)+ASSUMPTIONS!$C$18*ASSUMPTIONS!$C$21-ASSUMPTIONS!$C$18*ASSUMPTIONS!$C$22)*(1+H1572)*(1-((1+H1572)/(1+I1572))^5)/(I1572-H1572))+((ASSUMPTIONS!$C$18*J1572*(1-ASSUMPTIONS!$C$20)+ASSUMPTIONS!$C$18*ASSUMPTIONS!$C$21-ASSUMPTIONS!$C$18*ASSUMPTIONS!$C$22)*(1+H1572)^5*(1+K1572)/(I1572-K1572)/(1+I1572)^5)-DCF!$C$12)/ASSUMPTIONS!$C$7</f>
        <v/>
      </c>
    </row>
    <row r="1573">
      <c r="H1573" s="83">
        <f>_xlfn.NORM.INV(RAND(),AVERAGE(ASSUMPTIONS!$C$38,ASSUMPTIONS!$C$39,ASSUMPTIONS!$C$40,ASSUMPTIONS!$C$41,ASSUMPTIONS!$C$42),ASSUMPTIONS!$C$68)</f>
        <v/>
      </c>
      <c r="I1573" s="83">
        <f>MAX(_xlfn.NORM.INV(RAND(),DCF!$C$11,ASSUMPTIONS!$C$69),K1573+0.005)</f>
        <v/>
      </c>
      <c r="J1573" s="83">
        <f>_xlfn.NORM.INV(RAND(),ASSUMPTIONS!$C$19,ASSUMPTIONS!$C$70)</f>
        <v/>
      </c>
      <c r="K1573" s="83">
        <f>_xlfn.NORM.INV(RAND(),ASSUMPTIONS!$C$43,ASSUMPTIONS!$C$71)</f>
        <v/>
      </c>
      <c r="L1573" s="84">
        <f>(((ASSUMPTIONS!$C$18*J1573*(1-ASSUMPTIONS!$C$20)+ASSUMPTIONS!$C$18*ASSUMPTIONS!$C$21-ASSUMPTIONS!$C$18*ASSUMPTIONS!$C$22)*(1+H1573)*(1-((1+H1573)/(1+I1573))^5)/(I1573-H1573))+((ASSUMPTIONS!$C$18*J1573*(1-ASSUMPTIONS!$C$20)+ASSUMPTIONS!$C$18*ASSUMPTIONS!$C$21-ASSUMPTIONS!$C$18*ASSUMPTIONS!$C$22)*(1+H1573)^5*(1+K1573)/(I1573-K1573)/(1+I1573)^5)-DCF!$C$12)/ASSUMPTIONS!$C$7</f>
        <v/>
      </c>
    </row>
    <row r="1574">
      <c r="H1574" s="83">
        <f>_xlfn.NORM.INV(RAND(),AVERAGE(ASSUMPTIONS!$C$38,ASSUMPTIONS!$C$39,ASSUMPTIONS!$C$40,ASSUMPTIONS!$C$41,ASSUMPTIONS!$C$42),ASSUMPTIONS!$C$68)</f>
        <v/>
      </c>
      <c r="I1574" s="83">
        <f>MAX(_xlfn.NORM.INV(RAND(),DCF!$C$11,ASSUMPTIONS!$C$69),K1574+0.005)</f>
        <v/>
      </c>
      <c r="J1574" s="83">
        <f>_xlfn.NORM.INV(RAND(),ASSUMPTIONS!$C$19,ASSUMPTIONS!$C$70)</f>
        <v/>
      </c>
      <c r="K1574" s="83">
        <f>_xlfn.NORM.INV(RAND(),ASSUMPTIONS!$C$43,ASSUMPTIONS!$C$71)</f>
        <v/>
      </c>
      <c r="L1574" s="84">
        <f>(((ASSUMPTIONS!$C$18*J1574*(1-ASSUMPTIONS!$C$20)+ASSUMPTIONS!$C$18*ASSUMPTIONS!$C$21-ASSUMPTIONS!$C$18*ASSUMPTIONS!$C$22)*(1+H1574)*(1-((1+H1574)/(1+I1574))^5)/(I1574-H1574))+((ASSUMPTIONS!$C$18*J1574*(1-ASSUMPTIONS!$C$20)+ASSUMPTIONS!$C$18*ASSUMPTIONS!$C$21-ASSUMPTIONS!$C$18*ASSUMPTIONS!$C$22)*(1+H1574)^5*(1+K1574)/(I1574-K1574)/(1+I1574)^5)-DCF!$C$12)/ASSUMPTIONS!$C$7</f>
        <v/>
      </c>
    </row>
    <row r="1575">
      <c r="H1575" s="83">
        <f>_xlfn.NORM.INV(RAND(),AVERAGE(ASSUMPTIONS!$C$38,ASSUMPTIONS!$C$39,ASSUMPTIONS!$C$40,ASSUMPTIONS!$C$41,ASSUMPTIONS!$C$42),ASSUMPTIONS!$C$68)</f>
        <v/>
      </c>
      <c r="I1575" s="83">
        <f>MAX(_xlfn.NORM.INV(RAND(),DCF!$C$11,ASSUMPTIONS!$C$69),K1575+0.005)</f>
        <v/>
      </c>
      <c r="J1575" s="83">
        <f>_xlfn.NORM.INV(RAND(),ASSUMPTIONS!$C$19,ASSUMPTIONS!$C$70)</f>
        <v/>
      </c>
      <c r="K1575" s="83">
        <f>_xlfn.NORM.INV(RAND(),ASSUMPTIONS!$C$43,ASSUMPTIONS!$C$71)</f>
        <v/>
      </c>
      <c r="L1575" s="84">
        <f>(((ASSUMPTIONS!$C$18*J1575*(1-ASSUMPTIONS!$C$20)+ASSUMPTIONS!$C$18*ASSUMPTIONS!$C$21-ASSUMPTIONS!$C$18*ASSUMPTIONS!$C$22)*(1+H1575)*(1-((1+H1575)/(1+I1575))^5)/(I1575-H1575))+((ASSUMPTIONS!$C$18*J1575*(1-ASSUMPTIONS!$C$20)+ASSUMPTIONS!$C$18*ASSUMPTIONS!$C$21-ASSUMPTIONS!$C$18*ASSUMPTIONS!$C$22)*(1+H1575)^5*(1+K1575)/(I1575-K1575)/(1+I1575)^5)-DCF!$C$12)/ASSUMPTIONS!$C$7</f>
        <v/>
      </c>
    </row>
    <row r="1576">
      <c r="H1576" s="83">
        <f>_xlfn.NORM.INV(RAND(),AVERAGE(ASSUMPTIONS!$C$38,ASSUMPTIONS!$C$39,ASSUMPTIONS!$C$40,ASSUMPTIONS!$C$41,ASSUMPTIONS!$C$42),ASSUMPTIONS!$C$68)</f>
        <v/>
      </c>
      <c r="I1576" s="83">
        <f>MAX(_xlfn.NORM.INV(RAND(),DCF!$C$11,ASSUMPTIONS!$C$69),K1576+0.005)</f>
        <v/>
      </c>
      <c r="J1576" s="83">
        <f>_xlfn.NORM.INV(RAND(),ASSUMPTIONS!$C$19,ASSUMPTIONS!$C$70)</f>
        <v/>
      </c>
      <c r="K1576" s="83">
        <f>_xlfn.NORM.INV(RAND(),ASSUMPTIONS!$C$43,ASSUMPTIONS!$C$71)</f>
        <v/>
      </c>
      <c r="L1576" s="84">
        <f>(((ASSUMPTIONS!$C$18*J1576*(1-ASSUMPTIONS!$C$20)+ASSUMPTIONS!$C$18*ASSUMPTIONS!$C$21-ASSUMPTIONS!$C$18*ASSUMPTIONS!$C$22)*(1+H1576)*(1-((1+H1576)/(1+I1576))^5)/(I1576-H1576))+((ASSUMPTIONS!$C$18*J1576*(1-ASSUMPTIONS!$C$20)+ASSUMPTIONS!$C$18*ASSUMPTIONS!$C$21-ASSUMPTIONS!$C$18*ASSUMPTIONS!$C$22)*(1+H1576)^5*(1+K1576)/(I1576-K1576)/(1+I1576)^5)-DCF!$C$12)/ASSUMPTIONS!$C$7</f>
        <v/>
      </c>
    </row>
    <row r="1577">
      <c r="H1577" s="83">
        <f>_xlfn.NORM.INV(RAND(),AVERAGE(ASSUMPTIONS!$C$38,ASSUMPTIONS!$C$39,ASSUMPTIONS!$C$40,ASSUMPTIONS!$C$41,ASSUMPTIONS!$C$42),ASSUMPTIONS!$C$68)</f>
        <v/>
      </c>
      <c r="I1577" s="83">
        <f>MAX(_xlfn.NORM.INV(RAND(),DCF!$C$11,ASSUMPTIONS!$C$69),K1577+0.005)</f>
        <v/>
      </c>
      <c r="J1577" s="83">
        <f>_xlfn.NORM.INV(RAND(),ASSUMPTIONS!$C$19,ASSUMPTIONS!$C$70)</f>
        <v/>
      </c>
      <c r="K1577" s="83">
        <f>_xlfn.NORM.INV(RAND(),ASSUMPTIONS!$C$43,ASSUMPTIONS!$C$71)</f>
        <v/>
      </c>
      <c r="L1577" s="84">
        <f>(((ASSUMPTIONS!$C$18*J1577*(1-ASSUMPTIONS!$C$20)+ASSUMPTIONS!$C$18*ASSUMPTIONS!$C$21-ASSUMPTIONS!$C$18*ASSUMPTIONS!$C$22)*(1+H1577)*(1-((1+H1577)/(1+I1577))^5)/(I1577-H1577))+((ASSUMPTIONS!$C$18*J1577*(1-ASSUMPTIONS!$C$20)+ASSUMPTIONS!$C$18*ASSUMPTIONS!$C$21-ASSUMPTIONS!$C$18*ASSUMPTIONS!$C$22)*(1+H1577)^5*(1+K1577)/(I1577-K1577)/(1+I1577)^5)-DCF!$C$12)/ASSUMPTIONS!$C$7</f>
        <v/>
      </c>
    </row>
    <row r="1578">
      <c r="H1578" s="83">
        <f>_xlfn.NORM.INV(RAND(),AVERAGE(ASSUMPTIONS!$C$38,ASSUMPTIONS!$C$39,ASSUMPTIONS!$C$40,ASSUMPTIONS!$C$41,ASSUMPTIONS!$C$42),ASSUMPTIONS!$C$68)</f>
        <v/>
      </c>
      <c r="I1578" s="83">
        <f>MAX(_xlfn.NORM.INV(RAND(),DCF!$C$11,ASSUMPTIONS!$C$69),K1578+0.005)</f>
        <v/>
      </c>
      <c r="J1578" s="83">
        <f>_xlfn.NORM.INV(RAND(),ASSUMPTIONS!$C$19,ASSUMPTIONS!$C$70)</f>
        <v/>
      </c>
      <c r="K1578" s="83">
        <f>_xlfn.NORM.INV(RAND(),ASSUMPTIONS!$C$43,ASSUMPTIONS!$C$71)</f>
        <v/>
      </c>
      <c r="L1578" s="84">
        <f>(((ASSUMPTIONS!$C$18*J1578*(1-ASSUMPTIONS!$C$20)+ASSUMPTIONS!$C$18*ASSUMPTIONS!$C$21-ASSUMPTIONS!$C$18*ASSUMPTIONS!$C$22)*(1+H1578)*(1-((1+H1578)/(1+I1578))^5)/(I1578-H1578))+((ASSUMPTIONS!$C$18*J1578*(1-ASSUMPTIONS!$C$20)+ASSUMPTIONS!$C$18*ASSUMPTIONS!$C$21-ASSUMPTIONS!$C$18*ASSUMPTIONS!$C$22)*(1+H1578)^5*(1+K1578)/(I1578-K1578)/(1+I1578)^5)-DCF!$C$12)/ASSUMPTIONS!$C$7</f>
        <v/>
      </c>
    </row>
    <row r="1579">
      <c r="H1579" s="83">
        <f>_xlfn.NORM.INV(RAND(),AVERAGE(ASSUMPTIONS!$C$38,ASSUMPTIONS!$C$39,ASSUMPTIONS!$C$40,ASSUMPTIONS!$C$41,ASSUMPTIONS!$C$42),ASSUMPTIONS!$C$68)</f>
        <v/>
      </c>
      <c r="I1579" s="83">
        <f>MAX(_xlfn.NORM.INV(RAND(),DCF!$C$11,ASSUMPTIONS!$C$69),K1579+0.005)</f>
        <v/>
      </c>
      <c r="J1579" s="83">
        <f>_xlfn.NORM.INV(RAND(),ASSUMPTIONS!$C$19,ASSUMPTIONS!$C$70)</f>
        <v/>
      </c>
      <c r="K1579" s="83">
        <f>_xlfn.NORM.INV(RAND(),ASSUMPTIONS!$C$43,ASSUMPTIONS!$C$71)</f>
        <v/>
      </c>
      <c r="L1579" s="84">
        <f>(((ASSUMPTIONS!$C$18*J1579*(1-ASSUMPTIONS!$C$20)+ASSUMPTIONS!$C$18*ASSUMPTIONS!$C$21-ASSUMPTIONS!$C$18*ASSUMPTIONS!$C$22)*(1+H1579)*(1-((1+H1579)/(1+I1579))^5)/(I1579-H1579))+((ASSUMPTIONS!$C$18*J1579*(1-ASSUMPTIONS!$C$20)+ASSUMPTIONS!$C$18*ASSUMPTIONS!$C$21-ASSUMPTIONS!$C$18*ASSUMPTIONS!$C$22)*(1+H1579)^5*(1+K1579)/(I1579-K1579)/(1+I1579)^5)-DCF!$C$12)/ASSUMPTIONS!$C$7</f>
        <v/>
      </c>
    </row>
    <row r="1580">
      <c r="H1580" s="83">
        <f>_xlfn.NORM.INV(RAND(),AVERAGE(ASSUMPTIONS!$C$38,ASSUMPTIONS!$C$39,ASSUMPTIONS!$C$40,ASSUMPTIONS!$C$41,ASSUMPTIONS!$C$42),ASSUMPTIONS!$C$68)</f>
        <v/>
      </c>
      <c r="I1580" s="83">
        <f>MAX(_xlfn.NORM.INV(RAND(),DCF!$C$11,ASSUMPTIONS!$C$69),K1580+0.005)</f>
        <v/>
      </c>
      <c r="J1580" s="83">
        <f>_xlfn.NORM.INV(RAND(),ASSUMPTIONS!$C$19,ASSUMPTIONS!$C$70)</f>
        <v/>
      </c>
      <c r="K1580" s="83">
        <f>_xlfn.NORM.INV(RAND(),ASSUMPTIONS!$C$43,ASSUMPTIONS!$C$71)</f>
        <v/>
      </c>
      <c r="L1580" s="84">
        <f>(((ASSUMPTIONS!$C$18*J1580*(1-ASSUMPTIONS!$C$20)+ASSUMPTIONS!$C$18*ASSUMPTIONS!$C$21-ASSUMPTIONS!$C$18*ASSUMPTIONS!$C$22)*(1+H1580)*(1-((1+H1580)/(1+I1580))^5)/(I1580-H1580))+((ASSUMPTIONS!$C$18*J1580*(1-ASSUMPTIONS!$C$20)+ASSUMPTIONS!$C$18*ASSUMPTIONS!$C$21-ASSUMPTIONS!$C$18*ASSUMPTIONS!$C$22)*(1+H1580)^5*(1+K1580)/(I1580-K1580)/(1+I1580)^5)-DCF!$C$12)/ASSUMPTIONS!$C$7</f>
        <v/>
      </c>
    </row>
    <row r="1581">
      <c r="H1581" s="83">
        <f>_xlfn.NORM.INV(RAND(),AVERAGE(ASSUMPTIONS!$C$38,ASSUMPTIONS!$C$39,ASSUMPTIONS!$C$40,ASSUMPTIONS!$C$41,ASSUMPTIONS!$C$42),ASSUMPTIONS!$C$68)</f>
        <v/>
      </c>
      <c r="I1581" s="83">
        <f>MAX(_xlfn.NORM.INV(RAND(),DCF!$C$11,ASSUMPTIONS!$C$69),K1581+0.005)</f>
        <v/>
      </c>
      <c r="J1581" s="83">
        <f>_xlfn.NORM.INV(RAND(),ASSUMPTIONS!$C$19,ASSUMPTIONS!$C$70)</f>
        <v/>
      </c>
      <c r="K1581" s="83">
        <f>_xlfn.NORM.INV(RAND(),ASSUMPTIONS!$C$43,ASSUMPTIONS!$C$71)</f>
        <v/>
      </c>
      <c r="L1581" s="84">
        <f>(((ASSUMPTIONS!$C$18*J1581*(1-ASSUMPTIONS!$C$20)+ASSUMPTIONS!$C$18*ASSUMPTIONS!$C$21-ASSUMPTIONS!$C$18*ASSUMPTIONS!$C$22)*(1+H1581)*(1-((1+H1581)/(1+I1581))^5)/(I1581-H1581))+((ASSUMPTIONS!$C$18*J1581*(1-ASSUMPTIONS!$C$20)+ASSUMPTIONS!$C$18*ASSUMPTIONS!$C$21-ASSUMPTIONS!$C$18*ASSUMPTIONS!$C$22)*(1+H1581)^5*(1+K1581)/(I1581-K1581)/(1+I1581)^5)-DCF!$C$12)/ASSUMPTIONS!$C$7</f>
        <v/>
      </c>
    </row>
    <row r="1582">
      <c r="H1582" s="83">
        <f>_xlfn.NORM.INV(RAND(),AVERAGE(ASSUMPTIONS!$C$38,ASSUMPTIONS!$C$39,ASSUMPTIONS!$C$40,ASSUMPTIONS!$C$41,ASSUMPTIONS!$C$42),ASSUMPTIONS!$C$68)</f>
        <v/>
      </c>
      <c r="I1582" s="83">
        <f>MAX(_xlfn.NORM.INV(RAND(),DCF!$C$11,ASSUMPTIONS!$C$69),K1582+0.005)</f>
        <v/>
      </c>
      <c r="J1582" s="83">
        <f>_xlfn.NORM.INV(RAND(),ASSUMPTIONS!$C$19,ASSUMPTIONS!$C$70)</f>
        <v/>
      </c>
      <c r="K1582" s="83">
        <f>_xlfn.NORM.INV(RAND(),ASSUMPTIONS!$C$43,ASSUMPTIONS!$C$71)</f>
        <v/>
      </c>
      <c r="L1582" s="84">
        <f>(((ASSUMPTIONS!$C$18*J1582*(1-ASSUMPTIONS!$C$20)+ASSUMPTIONS!$C$18*ASSUMPTIONS!$C$21-ASSUMPTIONS!$C$18*ASSUMPTIONS!$C$22)*(1+H1582)*(1-((1+H1582)/(1+I1582))^5)/(I1582-H1582))+((ASSUMPTIONS!$C$18*J1582*(1-ASSUMPTIONS!$C$20)+ASSUMPTIONS!$C$18*ASSUMPTIONS!$C$21-ASSUMPTIONS!$C$18*ASSUMPTIONS!$C$22)*(1+H1582)^5*(1+K1582)/(I1582-K1582)/(1+I1582)^5)-DCF!$C$12)/ASSUMPTIONS!$C$7</f>
        <v/>
      </c>
    </row>
    <row r="1583">
      <c r="H1583" s="83">
        <f>_xlfn.NORM.INV(RAND(),AVERAGE(ASSUMPTIONS!$C$38,ASSUMPTIONS!$C$39,ASSUMPTIONS!$C$40,ASSUMPTIONS!$C$41,ASSUMPTIONS!$C$42),ASSUMPTIONS!$C$68)</f>
        <v/>
      </c>
      <c r="I1583" s="83">
        <f>MAX(_xlfn.NORM.INV(RAND(),DCF!$C$11,ASSUMPTIONS!$C$69),K1583+0.005)</f>
        <v/>
      </c>
      <c r="J1583" s="83">
        <f>_xlfn.NORM.INV(RAND(),ASSUMPTIONS!$C$19,ASSUMPTIONS!$C$70)</f>
        <v/>
      </c>
      <c r="K1583" s="83">
        <f>_xlfn.NORM.INV(RAND(),ASSUMPTIONS!$C$43,ASSUMPTIONS!$C$71)</f>
        <v/>
      </c>
      <c r="L1583" s="84">
        <f>(((ASSUMPTIONS!$C$18*J1583*(1-ASSUMPTIONS!$C$20)+ASSUMPTIONS!$C$18*ASSUMPTIONS!$C$21-ASSUMPTIONS!$C$18*ASSUMPTIONS!$C$22)*(1+H1583)*(1-((1+H1583)/(1+I1583))^5)/(I1583-H1583))+((ASSUMPTIONS!$C$18*J1583*(1-ASSUMPTIONS!$C$20)+ASSUMPTIONS!$C$18*ASSUMPTIONS!$C$21-ASSUMPTIONS!$C$18*ASSUMPTIONS!$C$22)*(1+H1583)^5*(1+K1583)/(I1583-K1583)/(1+I1583)^5)-DCF!$C$12)/ASSUMPTIONS!$C$7</f>
        <v/>
      </c>
    </row>
    <row r="1584">
      <c r="H1584" s="83">
        <f>_xlfn.NORM.INV(RAND(),AVERAGE(ASSUMPTIONS!$C$38,ASSUMPTIONS!$C$39,ASSUMPTIONS!$C$40,ASSUMPTIONS!$C$41,ASSUMPTIONS!$C$42),ASSUMPTIONS!$C$68)</f>
        <v/>
      </c>
      <c r="I1584" s="83">
        <f>MAX(_xlfn.NORM.INV(RAND(),DCF!$C$11,ASSUMPTIONS!$C$69),K1584+0.005)</f>
        <v/>
      </c>
      <c r="J1584" s="83">
        <f>_xlfn.NORM.INV(RAND(),ASSUMPTIONS!$C$19,ASSUMPTIONS!$C$70)</f>
        <v/>
      </c>
      <c r="K1584" s="83">
        <f>_xlfn.NORM.INV(RAND(),ASSUMPTIONS!$C$43,ASSUMPTIONS!$C$71)</f>
        <v/>
      </c>
      <c r="L1584" s="84">
        <f>(((ASSUMPTIONS!$C$18*J1584*(1-ASSUMPTIONS!$C$20)+ASSUMPTIONS!$C$18*ASSUMPTIONS!$C$21-ASSUMPTIONS!$C$18*ASSUMPTIONS!$C$22)*(1+H1584)*(1-((1+H1584)/(1+I1584))^5)/(I1584-H1584))+((ASSUMPTIONS!$C$18*J1584*(1-ASSUMPTIONS!$C$20)+ASSUMPTIONS!$C$18*ASSUMPTIONS!$C$21-ASSUMPTIONS!$C$18*ASSUMPTIONS!$C$22)*(1+H1584)^5*(1+K1584)/(I1584-K1584)/(1+I1584)^5)-DCF!$C$12)/ASSUMPTIONS!$C$7</f>
        <v/>
      </c>
    </row>
    <row r="1585">
      <c r="H1585" s="83">
        <f>_xlfn.NORM.INV(RAND(),AVERAGE(ASSUMPTIONS!$C$38,ASSUMPTIONS!$C$39,ASSUMPTIONS!$C$40,ASSUMPTIONS!$C$41,ASSUMPTIONS!$C$42),ASSUMPTIONS!$C$68)</f>
        <v/>
      </c>
      <c r="I1585" s="83">
        <f>MAX(_xlfn.NORM.INV(RAND(),DCF!$C$11,ASSUMPTIONS!$C$69),K1585+0.005)</f>
        <v/>
      </c>
      <c r="J1585" s="83">
        <f>_xlfn.NORM.INV(RAND(),ASSUMPTIONS!$C$19,ASSUMPTIONS!$C$70)</f>
        <v/>
      </c>
      <c r="K1585" s="83">
        <f>_xlfn.NORM.INV(RAND(),ASSUMPTIONS!$C$43,ASSUMPTIONS!$C$71)</f>
        <v/>
      </c>
      <c r="L1585" s="84">
        <f>(((ASSUMPTIONS!$C$18*J1585*(1-ASSUMPTIONS!$C$20)+ASSUMPTIONS!$C$18*ASSUMPTIONS!$C$21-ASSUMPTIONS!$C$18*ASSUMPTIONS!$C$22)*(1+H1585)*(1-((1+H1585)/(1+I1585))^5)/(I1585-H1585))+((ASSUMPTIONS!$C$18*J1585*(1-ASSUMPTIONS!$C$20)+ASSUMPTIONS!$C$18*ASSUMPTIONS!$C$21-ASSUMPTIONS!$C$18*ASSUMPTIONS!$C$22)*(1+H1585)^5*(1+K1585)/(I1585-K1585)/(1+I1585)^5)-DCF!$C$12)/ASSUMPTIONS!$C$7</f>
        <v/>
      </c>
    </row>
    <row r="1586">
      <c r="H1586" s="83">
        <f>_xlfn.NORM.INV(RAND(),AVERAGE(ASSUMPTIONS!$C$38,ASSUMPTIONS!$C$39,ASSUMPTIONS!$C$40,ASSUMPTIONS!$C$41,ASSUMPTIONS!$C$42),ASSUMPTIONS!$C$68)</f>
        <v/>
      </c>
      <c r="I1586" s="83">
        <f>MAX(_xlfn.NORM.INV(RAND(),DCF!$C$11,ASSUMPTIONS!$C$69),K1586+0.005)</f>
        <v/>
      </c>
      <c r="J1586" s="83">
        <f>_xlfn.NORM.INV(RAND(),ASSUMPTIONS!$C$19,ASSUMPTIONS!$C$70)</f>
        <v/>
      </c>
      <c r="K1586" s="83">
        <f>_xlfn.NORM.INV(RAND(),ASSUMPTIONS!$C$43,ASSUMPTIONS!$C$71)</f>
        <v/>
      </c>
      <c r="L1586" s="84">
        <f>(((ASSUMPTIONS!$C$18*J1586*(1-ASSUMPTIONS!$C$20)+ASSUMPTIONS!$C$18*ASSUMPTIONS!$C$21-ASSUMPTIONS!$C$18*ASSUMPTIONS!$C$22)*(1+H1586)*(1-((1+H1586)/(1+I1586))^5)/(I1586-H1586))+((ASSUMPTIONS!$C$18*J1586*(1-ASSUMPTIONS!$C$20)+ASSUMPTIONS!$C$18*ASSUMPTIONS!$C$21-ASSUMPTIONS!$C$18*ASSUMPTIONS!$C$22)*(1+H1586)^5*(1+K1586)/(I1586-K1586)/(1+I1586)^5)-DCF!$C$12)/ASSUMPTIONS!$C$7</f>
        <v/>
      </c>
    </row>
    <row r="1587">
      <c r="H1587" s="83">
        <f>_xlfn.NORM.INV(RAND(),AVERAGE(ASSUMPTIONS!$C$38,ASSUMPTIONS!$C$39,ASSUMPTIONS!$C$40,ASSUMPTIONS!$C$41,ASSUMPTIONS!$C$42),ASSUMPTIONS!$C$68)</f>
        <v/>
      </c>
      <c r="I1587" s="83">
        <f>MAX(_xlfn.NORM.INV(RAND(),DCF!$C$11,ASSUMPTIONS!$C$69),K1587+0.005)</f>
        <v/>
      </c>
      <c r="J1587" s="83">
        <f>_xlfn.NORM.INV(RAND(),ASSUMPTIONS!$C$19,ASSUMPTIONS!$C$70)</f>
        <v/>
      </c>
      <c r="K1587" s="83">
        <f>_xlfn.NORM.INV(RAND(),ASSUMPTIONS!$C$43,ASSUMPTIONS!$C$71)</f>
        <v/>
      </c>
      <c r="L1587" s="84">
        <f>(((ASSUMPTIONS!$C$18*J1587*(1-ASSUMPTIONS!$C$20)+ASSUMPTIONS!$C$18*ASSUMPTIONS!$C$21-ASSUMPTIONS!$C$18*ASSUMPTIONS!$C$22)*(1+H1587)*(1-((1+H1587)/(1+I1587))^5)/(I1587-H1587))+((ASSUMPTIONS!$C$18*J1587*(1-ASSUMPTIONS!$C$20)+ASSUMPTIONS!$C$18*ASSUMPTIONS!$C$21-ASSUMPTIONS!$C$18*ASSUMPTIONS!$C$22)*(1+H1587)^5*(1+K1587)/(I1587-K1587)/(1+I1587)^5)-DCF!$C$12)/ASSUMPTIONS!$C$7</f>
        <v/>
      </c>
    </row>
    <row r="1588">
      <c r="H1588" s="83">
        <f>_xlfn.NORM.INV(RAND(),AVERAGE(ASSUMPTIONS!$C$38,ASSUMPTIONS!$C$39,ASSUMPTIONS!$C$40,ASSUMPTIONS!$C$41,ASSUMPTIONS!$C$42),ASSUMPTIONS!$C$68)</f>
        <v/>
      </c>
      <c r="I1588" s="83">
        <f>MAX(_xlfn.NORM.INV(RAND(),DCF!$C$11,ASSUMPTIONS!$C$69),K1588+0.005)</f>
        <v/>
      </c>
      <c r="J1588" s="83">
        <f>_xlfn.NORM.INV(RAND(),ASSUMPTIONS!$C$19,ASSUMPTIONS!$C$70)</f>
        <v/>
      </c>
      <c r="K1588" s="83">
        <f>_xlfn.NORM.INV(RAND(),ASSUMPTIONS!$C$43,ASSUMPTIONS!$C$71)</f>
        <v/>
      </c>
      <c r="L1588" s="84">
        <f>(((ASSUMPTIONS!$C$18*J1588*(1-ASSUMPTIONS!$C$20)+ASSUMPTIONS!$C$18*ASSUMPTIONS!$C$21-ASSUMPTIONS!$C$18*ASSUMPTIONS!$C$22)*(1+H1588)*(1-((1+H1588)/(1+I1588))^5)/(I1588-H1588))+((ASSUMPTIONS!$C$18*J1588*(1-ASSUMPTIONS!$C$20)+ASSUMPTIONS!$C$18*ASSUMPTIONS!$C$21-ASSUMPTIONS!$C$18*ASSUMPTIONS!$C$22)*(1+H1588)^5*(1+K1588)/(I1588-K1588)/(1+I1588)^5)-DCF!$C$12)/ASSUMPTIONS!$C$7</f>
        <v/>
      </c>
    </row>
    <row r="1589">
      <c r="H1589" s="83">
        <f>_xlfn.NORM.INV(RAND(),AVERAGE(ASSUMPTIONS!$C$38,ASSUMPTIONS!$C$39,ASSUMPTIONS!$C$40,ASSUMPTIONS!$C$41,ASSUMPTIONS!$C$42),ASSUMPTIONS!$C$68)</f>
        <v/>
      </c>
      <c r="I1589" s="83">
        <f>MAX(_xlfn.NORM.INV(RAND(),DCF!$C$11,ASSUMPTIONS!$C$69),K1589+0.005)</f>
        <v/>
      </c>
      <c r="J1589" s="83">
        <f>_xlfn.NORM.INV(RAND(),ASSUMPTIONS!$C$19,ASSUMPTIONS!$C$70)</f>
        <v/>
      </c>
      <c r="K1589" s="83">
        <f>_xlfn.NORM.INV(RAND(),ASSUMPTIONS!$C$43,ASSUMPTIONS!$C$71)</f>
        <v/>
      </c>
      <c r="L1589" s="84">
        <f>(((ASSUMPTIONS!$C$18*J1589*(1-ASSUMPTIONS!$C$20)+ASSUMPTIONS!$C$18*ASSUMPTIONS!$C$21-ASSUMPTIONS!$C$18*ASSUMPTIONS!$C$22)*(1+H1589)*(1-((1+H1589)/(1+I1589))^5)/(I1589-H1589))+((ASSUMPTIONS!$C$18*J1589*(1-ASSUMPTIONS!$C$20)+ASSUMPTIONS!$C$18*ASSUMPTIONS!$C$21-ASSUMPTIONS!$C$18*ASSUMPTIONS!$C$22)*(1+H1589)^5*(1+K1589)/(I1589-K1589)/(1+I1589)^5)-DCF!$C$12)/ASSUMPTIONS!$C$7</f>
        <v/>
      </c>
    </row>
    <row r="1590">
      <c r="H1590" s="83">
        <f>_xlfn.NORM.INV(RAND(),AVERAGE(ASSUMPTIONS!$C$38,ASSUMPTIONS!$C$39,ASSUMPTIONS!$C$40,ASSUMPTIONS!$C$41,ASSUMPTIONS!$C$42),ASSUMPTIONS!$C$68)</f>
        <v/>
      </c>
      <c r="I1590" s="83">
        <f>MAX(_xlfn.NORM.INV(RAND(),DCF!$C$11,ASSUMPTIONS!$C$69),K1590+0.005)</f>
        <v/>
      </c>
      <c r="J1590" s="83">
        <f>_xlfn.NORM.INV(RAND(),ASSUMPTIONS!$C$19,ASSUMPTIONS!$C$70)</f>
        <v/>
      </c>
      <c r="K1590" s="83">
        <f>_xlfn.NORM.INV(RAND(),ASSUMPTIONS!$C$43,ASSUMPTIONS!$C$71)</f>
        <v/>
      </c>
      <c r="L1590" s="84">
        <f>(((ASSUMPTIONS!$C$18*J1590*(1-ASSUMPTIONS!$C$20)+ASSUMPTIONS!$C$18*ASSUMPTIONS!$C$21-ASSUMPTIONS!$C$18*ASSUMPTIONS!$C$22)*(1+H1590)*(1-((1+H1590)/(1+I1590))^5)/(I1590-H1590))+((ASSUMPTIONS!$C$18*J1590*(1-ASSUMPTIONS!$C$20)+ASSUMPTIONS!$C$18*ASSUMPTIONS!$C$21-ASSUMPTIONS!$C$18*ASSUMPTIONS!$C$22)*(1+H1590)^5*(1+K1590)/(I1590-K1590)/(1+I1590)^5)-DCF!$C$12)/ASSUMPTIONS!$C$7</f>
        <v/>
      </c>
    </row>
    <row r="1591">
      <c r="H1591" s="83">
        <f>_xlfn.NORM.INV(RAND(),AVERAGE(ASSUMPTIONS!$C$38,ASSUMPTIONS!$C$39,ASSUMPTIONS!$C$40,ASSUMPTIONS!$C$41,ASSUMPTIONS!$C$42),ASSUMPTIONS!$C$68)</f>
        <v/>
      </c>
      <c r="I1591" s="83">
        <f>MAX(_xlfn.NORM.INV(RAND(),DCF!$C$11,ASSUMPTIONS!$C$69),K1591+0.005)</f>
        <v/>
      </c>
      <c r="J1591" s="83">
        <f>_xlfn.NORM.INV(RAND(),ASSUMPTIONS!$C$19,ASSUMPTIONS!$C$70)</f>
        <v/>
      </c>
      <c r="K1591" s="83">
        <f>_xlfn.NORM.INV(RAND(),ASSUMPTIONS!$C$43,ASSUMPTIONS!$C$71)</f>
        <v/>
      </c>
      <c r="L1591" s="84">
        <f>(((ASSUMPTIONS!$C$18*J1591*(1-ASSUMPTIONS!$C$20)+ASSUMPTIONS!$C$18*ASSUMPTIONS!$C$21-ASSUMPTIONS!$C$18*ASSUMPTIONS!$C$22)*(1+H1591)*(1-((1+H1591)/(1+I1591))^5)/(I1591-H1591))+((ASSUMPTIONS!$C$18*J1591*(1-ASSUMPTIONS!$C$20)+ASSUMPTIONS!$C$18*ASSUMPTIONS!$C$21-ASSUMPTIONS!$C$18*ASSUMPTIONS!$C$22)*(1+H1591)^5*(1+K1591)/(I1591-K1591)/(1+I1591)^5)-DCF!$C$12)/ASSUMPTIONS!$C$7</f>
        <v/>
      </c>
    </row>
    <row r="1592">
      <c r="H1592" s="83">
        <f>_xlfn.NORM.INV(RAND(),AVERAGE(ASSUMPTIONS!$C$38,ASSUMPTIONS!$C$39,ASSUMPTIONS!$C$40,ASSUMPTIONS!$C$41,ASSUMPTIONS!$C$42),ASSUMPTIONS!$C$68)</f>
        <v/>
      </c>
      <c r="I1592" s="83">
        <f>MAX(_xlfn.NORM.INV(RAND(),DCF!$C$11,ASSUMPTIONS!$C$69),K1592+0.005)</f>
        <v/>
      </c>
      <c r="J1592" s="83">
        <f>_xlfn.NORM.INV(RAND(),ASSUMPTIONS!$C$19,ASSUMPTIONS!$C$70)</f>
        <v/>
      </c>
      <c r="K1592" s="83">
        <f>_xlfn.NORM.INV(RAND(),ASSUMPTIONS!$C$43,ASSUMPTIONS!$C$71)</f>
        <v/>
      </c>
      <c r="L1592" s="84">
        <f>(((ASSUMPTIONS!$C$18*J1592*(1-ASSUMPTIONS!$C$20)+ASSUMPTIONS!$C$18*ASSUMPTIONS!$C$21-ASSUMPTIONS!$C$18*ASSUMPTIONS!$C$22)*(1+H1592)*(1-((1+H1592)/(1+I1592))^5)/(I1592-H1592))+((ASSUMPTIONS!$C$18*J1592*(1-ASSUMPTIONS!$C$20)+ASSUMPTIONS!$C$18*ASSUMPTIONS!$C$21-ASSUMPTIONS!$C$18*ASSUMPTIONS!$C$22)*(1+H1592)^5*(1+K1592)/(I1592-K1592)/(1+I1592)^5)-DCF!$C$12)/ASSUMPTIONS!$C$7</f>
        <v/>
      </c>
    </row>
    <row r="1593">
      <c r="H1593" s="83">
        <f>_xlfn.NORM.INV(RAND(),AVERAGE(ASSUMPTIONS!$C$38,ASSUMPTIONS!$C$39,ASSUMPTIONS!$C$40,ASSUMPTIONS!$C$41,ASSUMPTIONS!$C$42),ASSUMPTIONS!$C$68)</f>
        <v/>
      </c>
      <c r="I1593" s="83">
        <f>MAX(_xlfn.NORM.INV(RAND(),DCF!$C$11,ASSUMPTIONS!$C$69),K1593+0.005)</f>
        <v/>
      </c>
      <c r="J1593" s="83">
        <f>_xlfn.NORM.INV(RAND(),ASSUMPTIONS!$C$19,ASSUMPTIONS!$C$70)</f>
        <v/>
      </c>
      <c r="K1593" s="83">
        <f>_xlfn.NORM.INV(RAND(),ASSUMPTIONS!$C$43,ASSUMPTIONS!$C$71)</f>
        <v/>
      </c>
      <c r="L1593" s="84">
        <f>(((ASSUMPTIONS!$C$18*J1593*(1-ASSUMPTIONS!$C$20)+ASSUMPTIONS!$C$18*ASSUMPTIONS!$C$21-ASSUMPTIONS!$C$18*ASSUMPTIONS!$C$22)*(1+H1593)*(1-((1+H1593)/(1+I1593))^5)/(I1593-H1593))+((ASSUMPTIONS!$C$18*J1593*(1-ASSUMPTIONS!$C$20)+ASSUMPTIONS!$C$18*ASSUMPTIONS!$C$21-ASSUMPTIONS!$C$18*ASSUMPTIONS!$C$22)*(1+H1593)^5*(1+K1593)/(I1593-K1593)/(1+I1593)^5)-DCF!$C$12)/ASSUMPTIONS!$C$7</f>
        <v/>
      </c>
    </row>
    <row r="1594">
      <c r="H1594" s="83">
        <f>_xlfn.NORM.INV(RAND(),AVERAGE(ASSUMPTIONS!$C$38,ASSUMPTIONS!$C$39,ASSUMPTIONS!$C$40,ASSUMPTIONS!$C$41,ASSUMPTIONS!$C$42),ASSUMPTIONS!$C$68)</f>
        <v/>
      </c>
      <c r="I1594" s="83">
        <f>MAX(_xlfn.NORM.INV(RAND(),DCF!$C$11,ASSUMPTIONS!$C$69),K1594+0.005)</f>
        <v/>
      </c>
      <c r="J1594" s="83">
        <f>_xlfn.NORM.INV(RAND(),ASSUMPTIONS!$C$19,ASSUMPTIONS!$C$70)</f>
        <v/>
      </c>
      <c r="K1594" s="83">
        <f>_xlfn.NORM.INV(RAND(),ASSUMPTIONS!$C$43,ASSUMPTIONS!$C$71)</f>
        <v/>
      </c>
      <c r="L1594" s="84">
        <f>(((ASSUMPTIONS!$C$18*J1594*(1-ASSUMPTIONS!$C$20)+ASSUMPTIONS!$C$18*ASSUMPTIONS!$C$21-ASSUMPTIONS!$C$18*ASSUMPTIONS!$C$22)*(1+H1594)*(1-((1+H1594)/(1+I1594))^5)/(I1594-H1594))+((ASSUMPTIONS!$C$18*J1594*(1-ASSUMPTIONS!$C$20)+ASSUMPTIONS!$C$18*ASSUMPTIONS!$C$21-ASSUMPTIONS!$C$18*ASSUMPTIONS!$C$22)*(1+H1594)^5*(1+K1594)/(I1594-K1594)/(1+I1594)^5)-DCF!$C$12)/ASSUMPTIONS!$C$7</f>
        <v/>
      </c>
    </row>
    <row r="1595">
      <c r="H1595" s="83">
        <f>_xlfn.NORM.INV(RAND(),AVERAGE(ASSUMPTIONS!$C$38,ASSUMPTIONS!$C$39,ASSUMPTIONS!$C$40,ASSUMPTIONS!$C$41,ASSUMPTIONS!$C$42),ASSUMPTIONS!$C$68)</f>
        <v/>
      </c>
      <c r="I1595" s="83">
        <f>MAX(_xlfn.NORM.INV(RAND(),DCF!$C$11,ASSUMPTIONS!$C$69),K1595+0.005)</f>
        <v/>
      </c>
      <c r="J1595" s="83">
        <f>_xlfn.NORM.INV(RAND(),ASSUMPTIONS!$C$19,ASSUMPTIONS!$C$70)</f>
        <v/>
      </c>
      <c r="K1595" s="83">
        <f>_xlfn.NORM.INV(RAND(),ASSUMPTIONS!$C$43,ASSUMPTIONS!$C$71)</f>
        <v/>
      </c>
      <c r="L1595" s="84">
        <f>(((ASSUMPTIONS!$C$18*J1595*(1-ASSUMPTIONS!$C$20)+ASSUMPTIONS!$C$18*ASSUMPTIONS!$C$21-ASSUMPTIONS!$C$18*ASSUMPTIONS!$C$22)*(1+H1595)*(1-((1+H1595)/(1+I1595))^5)/(I1595-H1595))+((ASSUMPTIONS!$C$18*J1595*(1-ASSUMPTIONS!$C$20)+ASSUMPTIONS!$C$18*ASSUMPTIONS!$C$21-ASSUMPTIONS!$C$18*ASSUMPTIONS!$C$22)*(1+H1595)^5*(1+K1595)/(I1595-K1595)/(1+I1595)^5)-DCF!$C$12)/ASSUMPTIONS!$C$7</f>
        <v/>
      </c>
    </row>
    <row r="1596">
      <c r="H1596" s="83">
        <f>_xlfn.NORM.INV(RAND(),AVERAGE(ASSUMPTIONS!$C$38,ASSUMPTIONS!$C$39,ASSUMPTIONS!$C$40,ASSUMPTIONS!$C$41,ASSUMPTIONS!$C$42),ASSUMPTIONS!$C$68)</f>
        <v/>
      </c>
      <c r="I1596" s="83">
        <f>MAX(_xlfn.NORM.INV(RAND(),DCF!$C$11,ASSUMPTIONS!$C$69),K1596+0.005)</f>
        <v/>
      </c>
      <c r="J1596" s="83">
        <f>_xlfn.NORM.INV(RAND(),ASSUMPTIONS!$C$19,ASSUMPTIONS!$C$70)</f>
        <v/>
      </c>
      <c r="K1596" s="83">
        <f>_xlfn.NORM.INV(RAND(),ASSUMPTIONS!$C$43,ASSUMPTIONS!$C$71)</f>
        <v/>
      </c>
      <c r="L1596" s="84">
        <f>(((ASSUMPTIONS!$C$18*J1596*(1-ASSUMPTIONS!$C$20)+ASSUMPTIONS!$C$18*ASSUMPTIONS!$C$21-ASSUMPTIONS!$C$18*ASSUMPTIONS!$C$22)*(1+H1596)*(1-((1+H1596)/(1+I1596))^5)/(I1596-H1596))+((ASSUMPTIONS!$C$18*J1596*(1-ASSUMPTIONS!$C$20)+ASSUMPTIONS!$C$18*ASSUMPTIONS!$C$21-ASSUMPTIONS!$C$18*ASSUMPTIONS!$C$22)*(1+H1596)^5*(1+K1596)/(I1596-K1596)/(1+I1596)^5)-DCF!$C$12)/ASSUMPTIONS!$C$7</f>
        <v/>
      </c>
    </row>
    <row r="1597">
      <c r="H1597" s="83">
        <f>_xlfn.NORM.INV(RAND(),AVERAGE(ASSUMPTIONS!$C$38,ASSUMPTIONS!$C$39,ASSUMPTIONS!$C$40,ASSUMPTIONS!$C$41,ASSUMPTIONS!$C$42),ASSUMPTIONS!$C$68)</f>
        <v/>
      </c>
      <c r="I1597" s="83">
        <f>MAX(_xlfn.NORM.INV(RAND(),DCF!$C$11,ASSUMPTIONS!$C$69),K1597+0.005)</f>
        <v/>
      </c>
      <c r="J1597" s="83">
        <f>_xlfn.NORM.INV(RAND(),ASSUMPTIONS!$C$19,ASSUMPTIONS!$C$70)</f>
        <v/>
      </c>
      <c r="K1597" s="83">
        <f>_xlfn.NORM.INV(RAND(),ASSUMPTIONS!$C$43,ASSUMPTIONS!$C$71)</f>
        <v/>
      </c>
      <c r="L1597" s="84">
        <f>(((ASSUMPTIONS!$C$18*J1597*(1-ASSUMPTIONS!$C$20)+ASSUMPTIONS!$C$18*ASSUMPTIONS!$C$21-ASSUMPTIONS!$C$18*ASSUMPTIONS!$C$22)*(1+H1597)*(1-((1+H1597)/(1+I1597))^5)/(I1597-H1597))+((ASSUMPTIONS!$C$18*J1597*(1-ASSUMPTIONS!$C$20)+ASSUMPTIONS!$C$18*ASSUMPTIONS!$C$21-ASSUMPTIONS!$C$18*ASSUMPTIONS!$C$22)*(1+H1597)^5*(1+K1597)/(I1597-K1597)/(1+I1597)^5)-DCF!$C$12)/ASSUMPTIONS!$C$7</f>
        <v/>
      </c>
    </row>
    <row r="1598">
      <c r="H1598" s="83">
        <f>_xlfn.NORM.INV(RAND(),AVERAGE(ASSUMPTIONS!$C$38,ASSUMPTIONS!$C$39,ASSUMPTIONS!$C$40,ASSUMPTIONS!$C$41,ASSUMPTIONS!$C$42),ASSUMPTIONS!$C$68)</f>
        <v/>
      </c>
      <c r="I1598" s="83">
        <f>MAX(_xlfn.NORM.INV(RAND(),DCF!$C$11,ASSUMPTIONS!$C$69),K1598+0.005)</f>
        <v/>
      </c>
      <c r="J1598" s="83">
        <f>_xlfn.NORM.INV(RAND(),ASSUMPTIONS!$C$19,ASSUMPTIONS!$C$70)</f>
        <v/>
      </c>
      <c r="K1598" s="83">
        <f>_xlfn.NORM.INV(RAND(),ASSUMPTIONS!$C$43,ASSUMPTIONS!$C$71)</f>
        <v/>
      </c>
      <c r="L1598" s="84">
        <f>(((ASSUMPTIONS!$C$18*J1598*(1-ASSUMPTIONS!$C$20)+ASSUMPTIONS!$C$18*ASSUMPTIONS!$C$21-ASSUMPTIONS!$C$18*ASSUMPTIONS!$C$22)*(1+H1598)*(1-((1+H1598)/(1+I1598))^5)/(I1598-H1598))+((ASSUMPTIONS!$C$18*J1598*(1-ASSUMPTIONS!$C$20)+ASSUMPTIONS!$C$18*ASSUMPTIONS!$C$21-ASSUMPTIONS!$C$18*ASSUMPTIONS!$C$22)*(1+H1598)^5*(1+K1598)/(I1598-K1598)/(1+I1598)^5)-DCF!$C$12)/ASSUMPTIONS!$C$7</f>
        <v/>
      </c>
    </row>
    <row r="1599">
      <c r="H1599" s="83">
        <f>_xlfn.NORM.INV(RAND(),AVERAGE(ASSUMPTIONS!$C$38,ASSUMPTIONS!$C$39,ASSUMPTIONS!$C$40,ASSUMPTIONS!$C$41,ASSUMPTIONS!$C$42),ASSUMPTIONS!$C$68)</f>
        <v/>
      </c>
      <c r="I1599" s="83">
        <f>MAX(_xlfn.NORM.INV(RAND(),DCF!$C$11,ASSUMPTIONS!$C$69),K1599+0.005)</f>
        <v/>
      </c>
      <c r="J1599" s="83">
        <f>_xlfn.NORM.INV(RAND(),ASSUMPTIONS!$C$19,ASSUMPTIONS!$C$70)</f>
        <v/>
      </c>
      <c r="K1599" s="83">
        <f>_xlfn.NORM.INV(RAND(),ASSUMPTIONS!$C$43,ASSUMPTIONS!$C$71)</f>
        <v/>
      </c>
      <c r="L1599" s="84">
        <f>(((ASSUMPTIONS!$C$18*J1599*(1-ASSUMPTIONS!$C$20)+ASSUMPTIONS!$C$18*ASSUMPTIONS!$C$21-ASSUMPTIONS!$C$18*ASSUMPTIONS!$C$22)*(1+H1599)*(1-((1+H1599)/(1+I1599))^5)/(I1599-H1599))+((ASSUMPTIONS!$C$18*J1599*(1-ASSUMPTIONS!$C$20)+ASSUMPTIONS!$C$18*ASSUMPTIONS!$C$21-ASSUMPTIONS!$C$18*ASSUMPTIONS!$C$22)*(1+H1599)^5*(1+K1599)/(I1599-K1599)/(1+I1599)^5)-DCF!$C$12)/ASSUMPTIONS!$C$7</f>
        <v/>
      </c>
    </row>
    <row r="1600">
      <c r="H1600" s="83">
        <f>_xlfn.NORM.INV(RAND(),AVERAGE(ASSUMPTIONS!$C$38,ASSUMPTIONS!$C$39,ASSUMPTIONS!$C$40,ASSUMPTIONS!$C$41,ASSUMPTIONS!$C$42),ASSUMPTIONS!$C$68)</f>
        <v/>
      </c>
      <c r="I1600" s="83">
        <f>MAX(_xlfn.NORM.INV(RAND(),DCF!$C$11,ASSUMPTIONS!$C$69),K1600+0.005)</f>
        <v/>
      </c>
      <c r="J1600" s="83">
        <f>_xlfn.NORM.INV(RAND(),ASSUMPTIONS!$C$19,ASSUMPTIONS!$C$70)</f>
        <v/>
      </c>
      <c r="K1600" s="83">
        <f>_xlfn.NORM.INV(RAND(),ASSUMPTIONS!$C$43,ASSUMPTIONS!$C$71)</f>
        <v/>
      </c>
      <c r="L1600" s="84">
        <f>(((ASSUMPTIONS!$C$18*J1600*(1-ASSUMPTIONS!$C$20)+ASSUMPTIONS!$C$18*ASSUMPTIONS!$C$21-ASSUMPTIONS!$C$18*ASSUMPTIONS!$C$22)*(1+H1600)*(1-((1+H1600)/(1+I1600))^5)/(I1600-H1600))+((ASSUMPTIONS!$C$18*J1600*(1-ASSUMPTIONS!$C$20)+ASSUMPTIONS!$C$18*ASSUMPTIONS!$C$21-ASSUMPTIONS!$C$18*ASSUMPTIONS!$C$22)*(1+H1600)^5*(1+K1600)/(I1600-K1600)/(1+I1600)^5)-DCF!$C$12)/ASSUMPTIONS!$C$7</f>
        <v/>
      </c>
    </row>
    <row r="1601">
      <c r="H1601" s="83">
        <f>_xlfn.NORM.INV(RAND(),AVERAGE(ASSUMPTIONS!$C$38,ASSUMPTIONS!$C$39,ASSUMPTIONS!$C$40,ASSUMPTIONS!$C$41,ASSUMPTIONS!$C$42),ASSUMPTIONS!$C$68)</f>
        <v/>
      </c>
      <c r="I1601" s="83">
        <f>MAX(_xlfn.NORM.INV(RAND(),DCF!$C$11,ASSUMPTIONS!$C$69),K1601+0.005)</f>
        <v/>
      </c>
      <c r="J1601" s="83">
        <f>_xlfn.NORM.INV(RAND(),ASSUMPTIONS!$C$19,ASSUMPTIONS!$C$70)</f>
        <v/>
      </c>
      <c r="K1601" s="83">
        <f>_xlfn.NORM.INV(RAND(),ASSUMPTIONS!$C$43,ASSUMPTIONS!$C$71)</f>
        <v/>
      </c>
      <c r="L1601" s="84">
        <f>(((ASSUMPTIONS!$C$18*J1601*(1-ASSUMPTIONS!$C$20)+ASSUMPTIONS!$C$18*ASSUMPTIONS!$C$21-ASSUMPTIONS!$C$18*ASSUMPTIONS!$C$22)*(1+H1601)*(1-((1+H1601)/(1+I1601))^5)/(I1601-H1601))+((ASSUMPTIONS!$C$18*J1601*(1-ASSUMPTIONS!$C$20)+ASSUMPTIONS!$C$18*ASSUMPTIONS!$C$21-ASSUMPTIONS!$C$18*ASSUMPTIONS!$C$22)*(1+H1601)^5*(1+K1601)/(I1601-K1601)/(1+I1601)^5)-DCF!$C$12)/ASSUMPTIONS!$C$7</f>
        <v/>
      </c>
    </row>
    <row r="1602">
      <c r="H1602" s="83">
        <f>_xlfn.NORM.INV(RAND(),AVERAGE(ASSUMPTIONS!$C$38,ASSUMPTIONS!$C$39,ASSUMPTIONS!$C$40,ASSUMPTIONS!$C$41,ASSUMPTIONS!$C$42),ASSUMPTIONS!$C$68)</f>
        <v/>
      </c>
      <c r="I1602" s="83">
        <f>MAX(_xlfn.NORM.INV(RAND(),DCF!$C$11,ASSUMPTIONS!$C$69),K1602+0.005)</f>
        <v/>
      </c>
      <c r="J1602" s="83">
        <f>_xlfn.NORM.INV(RAND(),ASSUMPTIONS!$C$19,ASSUMPTIONS!$C$70)</f>
        <v/>
      </c>
      <c r="K1602" s="83">
        <f>_xlfn.NORM.INV(RAND(),ASSUMPTIONS!$C$43,ASSUMPTIONS!$C$71)</f>
        <v/>
      </c>
      <c r="L1602" s="84">
        <f>(((ASSUMPTIONS!$C$18*J1602*(1-ASSUMPTIONS!$C$20)+ASSUMPTIONS!$C$18*ASSUMPTIONS!$C$21-ASSUMPTIONS!$C$18*ASSUMPTIONS!$C$22)*(1+H1602)*(1-((1+H1602)/(1+I1602))^5)/(I1602-H1602))+((ASSUMPTIONS!$C$18*J1602*(1-ASSUMPTIONS!$C$20)+ASSUMPTIONS!$C$18*ASSUMPTIONS!$C$21-ASSUMPTIONS!$C$18*ASSUMPTIONS!$C$22)*(1+H1602)^5*(1+K1602)/(I1602-K1602)/(1+I1602)^5)-DCF!$C$12)/ASSUMPTIONS!$C$7</f>
        <v/>
      </c>
    </row>
    <row r="1603">
      <c r="H1603" s="83">
        <f>_xlfn.NORM.INV(RAND(),AVERAGE(ASSUMPTIONS!$C$38,ASSUMPTIONS!$C$39,ASSUMPTIONS!$C$40,ASSUMPTIONS!$C$41,ASSUMPTIONS!$C$42),ASSUMPTIONS!$C$68)</f>
        <v/>
      </c>
      <c r="I1603" s="83">
        <f>MAX(_xlfn.NORM.INV(RAND(),DCF!$C$11,ASSUMPTIONS!$C$69),K1603+0.005)</f>
        <v/>
      </c>
      <c r="J1603" s="83">
        <f>_xlfn.NORM.INV(RAND(),ASSUMPTIONS!$C$19,ASSUMPTIONS!$C$70)</f>
        <v/>
      </c>
      <c r="K1603" s="83">
        <f>_xlfn.NORM.INV(RAND(),ASSUMPTIONS!$C$43,ASSUMPTIONS!$C$71)</f>
        <v/>
      </c>
      <c r="L1603" s="84">
        <f>(((ASSUMPTIONS!$C$18*J1603*(1-ASSUMPTIONS!$C$20)+ASSUMPTIONS!$C$18*ASSUMPTIONS!$C$21-ASSUMPTIONS!$C$18*ASSUMPTIONS!$C$22)*(1+H1603)*(1-((1+H1603)/(1+I1603))^5)/(I1603-H1603))+((ASSUMPTIONS!$C$18*J1603*(1-ASSUMPTIONS!$C$20)+ASSUMPTIONS!$C$18*ASSUMPTIONS!$C$21-ASSUMPTIONS!$C$18*ASSUMPTIONS!$C$22)*(1+H1603)^5*(1+K1603)/(I1603-K1603)/(1+I1603)^5)-DCF!$C$12)/ASSUMPTIONS!$C$7</f>
        <v/>
      </c>
    </row>
    <row r="1604">
      <c r="H1604" s="83">
        <f>_xlfn.NORM.INV(RAND(),AVERAGE(ASSUMPTIONS!$C$38,ASSUMPTIONS!$C$39,ASSUMPTIONS!$C$40,ASSUMPTIONS!$C$41,ASSUMPTIONS!$C$42),ASSUMPTIONS!$C$68)</f>
        <v/>
      </c>
      <c r="I1604" s="83">
        <f>MAX(_xlfn.NORM.INV(RAND(),DCF!$C$11,ASSUMPTIONS!$C$69),K1604+0.005)</f>
        <v/>
      </c>
      <c r="J1604" s="83">
        <f>_xlfn.NORM.INV(RAND(),ASSUMPTIONS!$C$19,ASSUMPTIONS!$C$70)</f>
        <v/>
      </c>
      <c r="K1604" s="83">
        <f>_xlfn.NORM.INV(RAND(),ASSUMPTIONS!$C$43,ASSUMPTIONS!$C$71)</f>
        <v/>
      </c>
      <c r="L1604" s="84">
        <f>(((ASSUMPTIONS!$C$18*J1604*(1-ASSUMPTIONS!$C$20)+ASSUMPTIONS!$C$18*ASSUMPTIONS!$C$21-ASSUMPTIONS!$C$18*ASSUMPTIONS!$C$22)*(1+H1604)*(1-((1+H1604)/(1+I1604))^5)/(I1604-H1604))+((ASSUMPTIONS!$C$18*J1604*(1-ASSUMPTIONS!$C$20)+ASSUMPTIONS!$C$18*ASSUMPTIONS!$C$21-ASSUMPTIONS!$C$18*ASSUMPTIONS!$C$22)*(1+H1604)^5*(1+K1604)/(I1604-K1604)/(1+I1604)^5)-DCF!$C$12)/ASSUMPTIONS!$C$7</f>
        <v/>
      </c>
    </row>
    <row r="1605">
      <c r="H1605" s="83">
        <f>_xlfn.NORM.INV(RAND(),AVERAGE(ASSUMPTIONS!$C$38,ASSUMPTIONS!$C$39,ASSUMPTIONS!$C$40,ASSUMPTIONS!$C$41,ASSUMPTIONS!$C$42),ASSUMPTIONS!$C$68)</f>
        <v/>
      </c>
      <c r="I1605" s="83">
        <f>MAX(_xlfn.NORM.INV(RAND(),DCF!$C$11,ASSUMPTIONS!$C$69),K1605+0.005)</f>
        <v/>
      </c>
      <c r="J1605" s="83">
        <f>_xlfn.NORM.INV(RAND(),ASSUMPTIONS!$C$19,ASSUMPTIONS!$C$70)</f>
        <v/>
      </c>
      <c r="K1605" s="83">
        <f>_xlfn.NORM.INV(RAND(),ASSUMPTIONS!$C$43,ASSUMPTIONS!$C$71)</f>
        <v/>
      </c>
      <c r="L1605" s="84">
        <f>(((ASSUMPTIONS!$C$18*J1605*(1-ASSUMPTIONS!$C$20)+ASSUMPTIONS!$C$18*ASSUMPTIONS!$C$21-ASSUMPTIONS!$C$18*ASSUMPTIONS!$C$22)*(1+H1605)*(1-((1+H1605)/(1+I1605))^5)/(I1605-H1605))+((ASSUMPTIONS!$C$18*J1605*(1-ASSUMPTIONS!$C$20)+ASSUMPTIONS!$C$18*ASSUMPTIONS!$C$21-ASSUMPTIONS!$C$18*ASSUMPTIONS!$C$22)*(1+H1605)^5*(1+K1605)/(I1605-K1605)/(1+I1605)^5)-DCF!$C$12)/ASSUMPTIONS!$C$7</f>
        <v/>
      </c>
    </row>
    <row r="1606">
      <c r="H1606" s="83">
        <f>_xlfn.NORM.INV(RAND(),AVERAGE(ASSUMPTIONS!$C$38,ASSUMPTIONS!$C$39,ASSUMPTIONS!$C$40,ASSUMPTIONS!$C$41,ASSUMPTIONS!$C$42),ASSUMPTIONS!$C$68)</f>
        <v/>
      </c>
      <c r="I1606" s="83">
        <f>MAX(_xlfn.NORM.INV(RAND(),DCF!$C$11,ASSUMPTIONS!$C$69),K1606+0.005)</f>
        <v/>
      </c>
      <c r="J1606" s="83">
        <f>_xlfn.NORM.INV(RAND(),ASSUMPTIONS!$C$19,ASSUMPTIONS!$C$70)</f>
        <v/>
      </c>
      <c r="K1606" s="83">
        <f>_xlfn.NORM.INV(RAND(),ASSUMPTIONS!$C$43,ASSUMPTIONS!$C$71)</f>
        <v/>
      </c>
      <c r="L1606" s="84">
        <f>(((ASSUMPTIONS!$C$18*J1606*(1-ASSUMPTIONS!$C$20)+ASSUMPTIONS!$C$18*ASSUMPTIONS!$C$21-ASSUMPTIONS!$C$18*ASSUMPTIONS!$C$22)*(1+H1606)*(1-((1+H1606)/(1+I1606))^5)/(I1606-H1606))+((ASSUMPTIONS!$C$18*J1606*(1-ASSUMPTIONS!$C$20)+ASSUMPTIONS!$C$18*ASSUMPTIONS!$C$21-ASSUMPTIONS!$C$18*ASSUMPTIONS!$C$22)*(1+H1606)^5*(1+K1606)/(I1606-K1606)/(1+I1606)^5)-DCF!$C$12)/ASSUMPTIONS!$C$7</f>
        <v/>
      </c>
    </row>
    <row r="1607">
      <c r="H1607" s="83">
        <f>_xlfn.NORM.INV(RAND(),AVERAGE(ASSUMPTIONS!$C$38,ASSUMPTIONS!$C$39,ASSUMPTIONS!$C$40,ASSUMPTIONS!$C$41,ASSUMPTIONS!$C$42),ASSUMPTIONS!$C$68)</f>
        <v/>
      </c>
      <c r="I1607" s="83">
        <f>MAX(_xlfn.NORM.INV(RAND(),DCF!$C$11,ASSUMPTIONS!$C$69),K1607+0.005)</f>
        <v/>
      </c>
      <c r="J1607" s="83">
        <f>_xlfn.NORM.INV(RAND(),ASSUMPTIONS!$C$19,ASSUMPTIONS!$C$70)</f>
        <v/>
      </c>
      <c r="K1607" s="83">
        <f>_xlfn.NORM.INV(RAND(),ASSUMPTIONS!$C$43,ASSUMPTIONS!$C$71)</f>
        <v/>
      </c>
      <c r="L1607" s="84">
        <f>(((ASSUMPTIONS!$C$18*J1607*(1-ASSUMPTIONS!$C$20)+ASSUMPTIONS!$C$18*ASSUMPTIONS!$C$21-ASSUMPTIONS!$C$18*ASSUMPTIONS!$C$22)*(1+H1607)*(1-((1+H1607)/(1+I1607))^5)/(I1607-H1607))+((ASSUMPTIONS!$C$18*J1607*(1-ASSUMPTIONS!$C$20)+ASSUMPTIONS!$C$18*ASSUMPTIONS!$C$21-ASSUMPTIONS!$C$18*ASSUMPTIONS!$C$22)*(1+H1607)^5*(1+K1607)/(I1607-K1607)/(1+I1607)^5)-DCF!$C$12)/ASSUMPTIONS!$C$7</f>
        <v/>
      </c>
    </row>
    <row r="1608">
      <c r="H1608" s="83">
        <f>_xlfn.NORM.INV(RAND(),AVERAGE(ASSUMPTIONS!$C$38,ASSUMPTIONS!$C$39,ASSUMPTIONS!$C$40,ASSUMPTIONS!$C$41,ASSUMPTIONS!$C$42),ASSUMPTIONS!$C$68)</f>
        <v/>
      </c>
      <c r="I1608" s="83">
        <f>MAX(_xlfn.NORM.INV(RAND(),DCF!$C$11,ASSUMPTIONS!$C$69),K1608+0.005)</f>
        <v/>
      </c>
      <c r="J1608" s="83">
        <f>_xlfn.NORM.INV(RAND(),ASSUMPTIONS!$C$19,ASSUMPTIONS!$C$70)</f>
        <v/>
      </c>
      <c r="K1608" s="83">
        <f>_xlfn.NORM.INV(RAND(),ASSUMPTIONS!$C$43,ASSUMPTIONS!$C$71)</f>
        <v/>
      </c>
      <c r="L1608" s="84">
        <f>(((ASSUMPTIONS!$C$18*J1608*(1-ASSUMPTIONS!$C$20)+ASSUMPTIONS!$C$18*ASSUMPTIONS!$C$21-ASSUMPTIONS!$C$18*ASSUMPTIONS!$C$22)*(1+H1608)*(1-((1+H1608)/(1+I1608))^5)/(I1608-H1608))+((ASSUMPTIONS!$C$18*J1608*(1-ASSUMPTIONS!$C$20)+ASSUMPTIONS!$C$18*ASSUMPTIONS!$C$21-ASSUMPTIONS!$C$18*ASSUMPTIONS!$C$22)*(1+H1608)^5*(1+K1608)/(I1608-K1608)/(1+I1608)^5)-DCF!$C$12)/ASSUMPTIONS!$C$7</f>
        <v/>
      </c>
    </row>
    <row r="1609">
      <c r="H1609" s="83">
        <f>_xlfn.NORM.INV(RAND(),AVERAGE(ASSUMPTIONS!$C$38,ASSUMPTIONS!$C$39,ASSUMPTIONS!$C$40,ASSUMPTIONS!$C$41,ASSUMPTIONS!$C$42),ASSUMPTIONS!$C$68)</f>
        <v/>
      </c>
      <c r="I1609" s="83">
        <f>MAX(_xlfn.NORM.INV(RAND(),DCF!$C$11,ASSUMPTIONS!$C$69),K1609+0.005)</f>
        <v/>
      </c>
      <c r="J1609" s="83">
        <f>_xlfn.NORM.INV(RAND(),ASSUMPTIONS!$C$19,ASSUMPTIONS!$C$70)</f>
        <v/>
      </c>
      <c r="K1609" s="83">
        <f>_xlfn.NORM.INV(RAND(),ASSUMPTIONS!$C$43,ASSUMPTIONS!$C$71)</f>
        <v/>
      </c>
      <c r="L1609" s="84">
        <f>(((ASSUMPTIONS!$C$18*J1609*(1-ASSUMPTIONS!$C$20)+ASSUMPTIONS!$C$18*ASSUMPTIONS!$C$21-ASSUMPTIONS!$C$18*ASSUMPTIONS!$C$22)*(1+H1609)*(1-((1+H1609)/(1+I1609))^5)/(I1609-H1609))+((ASSUMPTIONS!$C$18*J1609*(1-ASSUMPTIONS!$C$20)+ASSUMPTIONS!$C$18*ASSUMPTIONS!$C$21-ASSUMPTIONS!$C$18*ASSUMPTIONS!$C$22)*(1+H1609)^5*(1+K1609)/(I1609-K1609)/(1+I1609)^5)-DCF!$C$12)/ASSUMPTIONS!$C$7</f>
        <v/>
      </c>
    </row>
    <row r="1610">
      <c r="H1610" s="83">
        <f>_xlfn.NORM.INV(RAND(),AVERAGE(ASSUMPTIONS!$C$38,ASSUMPTIONS!$C$39,ASSUMPTIONS!$C$40,ASSUMPTIONS!$C$41,ASSUMPTIONS!$C$42),ASSUMPTIONS!$C$68)</f>
        <v/>
      </c>
      <c r="I1610" s="83">
        <f>MAX(_xlfn.NORM.INV(RAND(),DCF!$C$11,ASSUMPTIONS!$C$69),K1610+0.005)</f>
        <v/>
      </c>
      <c r="J1610" s="83">
        <f>_xlfn.NORM.INV(RAND(),ASSUMPTIONS!$C$19,ASSUMPTIONS!$C$70)</f>
        <v/>
      </c>
      <c r="K1610" s="83">
        <f>_xlfn.NORM.INV(RAND(),ASSUMPTIONS!$C$43,ASSUMPTIONS!$C$71)</f>
        <v/>
      </c>
      <c r="L1610" s="84">
        <f>(((ASSUMPTIONS!$C$18*J1610*(1-ASSUMPTIONS!$C$20)+ASSUMPTIONS!$C$18*ASSUMPTIONS!$C$21-ASSUMPTIONS!$C$18*ASSUMPTIONS!$C$22)*(1+H1610)*(1-((1+H1610)/(1+I1610))^5)/(I1610-H1610))+((ASSUMPTIONS!$C$18*J1610*(1-ASSUMPTIONS!$C$20)+ASSUMPTIONS!$C$18*ASSUMPTIONS!$C$21-ASSUMPTIONS!$C$18*ASSUMPTIONS!$C$22)*(1+H1610)^5*(1+K1610)/(I1610-K1610)/(1+I1610)^5)-DCF!$C$12)/ASSUMPTIONS!$C$7</f>
        <v/>
      </c>
    </row>
    <row r="1611">
      <c r="H1611" s="83">
        <f>_xlfn.NORM.INV(RAND(),AVERAGE(ASSUMPTIONS!$C$38,ASSUMPTIONS!$C$39,ASSUMPTIONS!$C$40,ASSUMPTIONS!$C$41,ASSUMPTIONS!$C$42),ASSUMPTIONS!$C$68)</f>
        <v/>
      </c>
      <c r="I1611" s="83">
        <f>MAX(_xlfn.NORM.INV(RAND(),DCF!$C$11,ASSUMPTIONS!$C$69),K1611+0.005)</f>
        <v/>
      </c>
      <c r="J1611" s="83">
        <f>_xlfn.NORM.INV(RAND(),ASSUMPTIONS!$C$19,ASSUMPTIONS!$C$70)</f>
        <v/>
      </c>
      <c r="K1611" s="83">
        <f>_xlfn.NORM.INV(RAND(),ASSUMPTIONS!$C$43,ASSUMPTIONS!$C$71)</f>
        <v/>
      </c>
      <c r="L1611" s="84">
        <f>(((ASSUMPTIONS!$C$18*J1611*(1-ASSUMPTIONS!$C$20)+ASSUMPTIONS!$C$18*ASSUMPTIONS!$C$21-ASSUMPTIONS!$C$18*ASSUMPTIONS!$C$22)*(1+H1611)*(1-((1+H1611)/(1+I1611))^5)/(I1611-H1611))+((ASSUMPTIONS!$C$18*J1611*(1-ASSUMPTIONS!$C$20)+ASSUMPTIONS!$C$18*ASSUMPTIONS!$C$21-ASSUMPTIONS!$C$18*ASSUMPTIONS!$C$22)*(1+H1611)^5*(1+K1611)/(I1611-K1611)/(1+I1611)^5)-DCF!$C$12)/ASSUMPTIONS!$C$7</f>
        <v/>
      </c>
    </row>
    <row r="1612">
      <c r="H1612" s="83">
        <f>_xlfn.NORM.INV(RAND(),AVERAGE(ASSUMPTIONS!$C$38,ASSUMPTIONS!$C$39,ASSUMPTIONS!$C$40,ASSUMPTIONS!$C$41,ASSUMPTIONS!$C$42),ASSUMPTIONS!$C$68)</f>
        <v/>
      </c>
      <c r="I1612" s="83">
        <f>MAX(_xlfn.NORM.INV(RAND(),DCF!$C$11,ASSUMPTIONS!$C$69),K1612+0.005)</f>
        <v/>
      </c>
      <c r="J1612" s="83">
        <f>_xlfn.NORM.INV(RAND(),ASSUMPTIONS!$C$19,ASSUMPTIONS!$C$70)</f>
        <v/>
      </c>
      <c r="K1612" s="83">
        <f>_xlfn.NORM.INV(RAND(),ASSUMPTIONS!$C$43,ASSUMPTIONS!$C$71)</f>
        <v/>
      </c>
      <c r="L1612" s="84">
        <f>(((ASSUMPTIONS!$C$18*J1612*(1-ASSUMPTIONS!$C$20)+ASSUMPTIONS!$C$18*ASSUMPTIONS!$C$21-ASSUMPTIONS!$C$18*ASSUMPTIONS!$C$22)*(1+H1612)*(1-((1+H1612)/(1+I1612))^5)/(I1612-H1612))+((ASSUMPTIONS!$C$18*J1612*(1-ASSUMPTIONS!$C$20)+ASSUMPTIONS!$C$18*ASSUMPTIONS!$C$21-ASSUMPTIONS!$C$18*ASSUMPTIONS!$C$22)*(1+H1612)^5*(1+K1612)/(I1612-K1612)/(1+I1612)^5)-DCF!$C$12)/ASSUMPTIONS!$C$7</f>
        <v/>
      </c>
    </row>
    <row r="1613">
      <c r="H1613" s="83">
        <f>_xlfn.NORM.INV(RAND(),AVERAGE(ASSUMPTIONS!$C$38,ASSUMPTIONS!$C$39,ASSUMPTIONS!$C$40,ASSUMPTIONS!$C$41,ASSUMPTIONS!$C$42),ASSUMPTIONS!$C$68)</f>
        <v/>
      </c>
      <c r="I1613" s="83">
        <f>MAX(_xlfn.NORM.INV(RAND(),DCF!$C$11,ASSUMPTIONS!$C$69),K1613+0.005)</f>
        <v/>
      </c>
      <c r="J1613" s="83">
        <f>_xlfn.NORM.INV(RAND(),ASSUMPTIONS!$C$19,ASSUMPTIONS!$C$70)</f>
        <v/>
      </c>
      <c r="K1613" s="83">
        <f>_xlfn.NORM.INV(RAND(),ASSUMPTIONS!$C$43,ASSUMPTIONS!$C$71)</f>
        <v/>
      </c>
      <c r="L1613" s="84">
        <f>(((ASSUMPTIONS!$C$18*J1613*(1-ASSUMPTIONS!$C$20)+ASSUMPTIONS!$C$18*ASSUMPTIONS!$C$21-ASSUMPTIONS!$C$18*ASSUMPTIONS!$C$22)*(1+H1613)*(1-((1+H1613)/(1+I1613))^5)/(I1613-H1613))+((ASSUMPTIONS!$C$18*J1613*(1-ASSUMPTIONS!$C$20)+ASSUMPTIONS!$C$18*ASSUMPTIONS!$C$21-ASSUMPTIONS!$C$18*ASSUMPTIONS!$C$22)*(1+H1613)^5*(1+K1613)/(I1613-K1613)/(1+I1613)^5)-DCF!$C$12)/ASSUMPTIONS!$C$7</f>
        <v/>
      </c>
    </row>
    <row r="1614">
      <c r="H1614" s="83">
        <f>_xlfn.NORM.INV(RAND(),AVERAGE(ASSUMPTIONS!$C$38,ASSUMPTIONS!$C$39,ASSUMPTIONS!$C$40,ASSUMPTIONS!$C$41,ASSUMPTIONS!$C$42),ASSUMPTIONS!$C$68)</f>
        <v/>
      </c>
      <c r="I1614" s="83">
        <f>MAX(_xlfn.NORM.INV(RAND(),DCF!$C$11,ASSUMPTIONS!$C$69),K1614+0.005)</f>
        <v/>
      </c>
      <c r="J1614" s="83">
        <f>_xlfn.NORM.INV(RAND(),ASSUMPTIONS!$C$19,ASSUMPTIONS!$C$70)</f>
        <v/>
      </c>
      <c r="K1614" s="83">
        <f>_xlfn.NORM.INV(RAND(),ASSUMPTIONS!$C$43,ASSUMPTIONS!$C$71)</f>
        <v/>
      </c>
      <c r="L1614" s="84">
        <f>(((ASSUMPTIONS!$C$18*J1614*(1-ASSUMPTIONS!$C$20)+ASSUMPTIONS!$C$18*ASSUMPTIONS!$C$21-ASSUMPTIONS!$C$18*ASSUMPTIONS!$C$22)*(1+H1614)*(1-((1+H1614)/(1+I1614))^5)/(I1614-H1614))+((ASSUMPTIONS!$C$18*J1614*(1-ASSUMPTIONS!$C$20)+ASSUMPTIONS!$C$18*ASSUMPTIONS!$C$21-ASSUMPTIONS!$C$18*ASSUMPTIONS!$C$22)*(1+H1614)^5*(1+K1614)/(I1614-K1614)/(1+I1614)^5)-DCF!$C$12)/ASSUMPTIONS!$C$7</f>
        <v/>
      </c>
    </row>
    <row r="1615">
      <c r="H1615" s="83">
        <f>_xlfn.NORM.INV(RAND(),AVERAGE(ASSUMPTIONS!$C$38,ASSUMPTIONS!$C$39,ASSUMPTIONS!$C$40,ASSUMPTIONS!$C$41,ASSUMPTIONS!$C$42),ASSUMPTIONS!$C$68)</f>
        <v/>
      </c>
      <c r="I1615" s="83">
        <f>MAX(_xlfn.NORM.INV(RAND(),DCF!$C$11,ASSUMPTIONS!$C$69),K1615+0.005)</f>
        <v/>
      </c>
      <c r="J1615" s="83">
        <f>_xlfn.NORM.INV(RAND(),ASSUMPTIONS!$C$19,ASSUMPTIONS!$C$70)</f>
        <v/>
      </c>
      <c r="K1615" s="83">
        <f>_xlfn.NORM.INV(RAND(),ASSUMPTIONS!$C$43,ASSUMPTIONS!$C$71)</f>
        <v/>
      </c>
      <c r="L1615" s="84">
        <f>(((ASSUMPTIONS!$C$18*J1615*(1-ASSUMPTIONS!$C$20)+ASSUMPTIONS!$C$18*ASSUMPTIONS!$C$21-ASSUMPTIONS!$C$18*ASSUMPTIONS!$C$22)*(1+H1615)*(1-((1+H1615)/(1+I1615))^5)/(I1615-H1615))+((ASSUMPTIONS!$C$18*J1615*(1-ASSUMPTIONS!$C$20)+ASSUMPTIONS!$C$18*ASSUMPTIONS!$C$21-ASSUMPTIONS!$C$18*ASSUMPTIONS!$C$22)*(1+H1615)^5*(1+K1615)/(I1615-K1615)/(1+I1615)^5)-DCF!$C$12)/ASSUMPTIONS!$C$7</f>
        <v/>
      </c>
    </row>
    <row r="1616">
      <c r="H1616" s="83">
        <f>_xlfn.NORM.INV(RAND(),AVERAGE(ASSUMPTIONS!$C$38,ASSUMPTIONS!$C$39,ASSUMPTIONS!$C$40,ASSUMPTIONS!$C$41,ASSUMPTIONS!$C$42),ASSUMPTIONS!$C$68)</f>
        <v/>
      </c>
      <c r="I1616" s="83">
        <f>MAX(_xlfn.NORM.INV(RAND(),DCF!$C$11,ASSUMPTIONS!$C$69),K1616+0.005)</f>
        <v/>
      </c>
      <c r="J1616" s="83">
        <f>_xlfn.NORM.INV(RAND(),ASSUMPTIONS!$C$19,ASSUMPTIONS!$C$70)</f>
        <v/>
      </c>
      <c r="K1616" s="83">
        <f>_xlfn.NORM.INV(RAND(),ASSUMPTIONS!$C$43,ASSUMPTIONS!$C$71)</f>
        <v/>
      </c>
      <c r="L1616" s="84">
        <f>(((ASSUMPTIONS!$C$18*J1616*(1-ASSUMPTIONS!$C$20)+ASSUMPTIONS!$C$18*ASSUMPTIONS!$C$21-ASSUMPTIONS!$C$18*ASSUMPTIONS!$C$22)*(1+H1616)*(1-((1+H1616)/(1+I1616))^5)/(I1616-H1616))+((ASSUMPTIONS!$C$18*J1616*(1-ASSUMPTIONS!$C$20)+ASSUMPTIONS!$C$18*ASSUMPTIONS!$C$21-ASSUMPTIONS!$C$18*ASSUMPTIONS!$C$22)*(1+H1616)^5*(1+K1616)/(I1616-K1616)/(1+I1616)^5)-DCF!$C$12)/ASSUMPTIONS!$C$7</f>
        <v/>
      </c>
    </row>
    <row r="1617">
      <c r="H1617" s="83">
        <f>_xlfn.NORM.INV(RAND(),AVERAGE(ASSUMPTIONS!$C$38,ASSUMPTIONS!$C$39,ASSUMPTIONS!$C$40,ASSUMPTIONS!$C$41,ASSUMPTIONS!$C$42),ASSUMPTIONS!$C$68)</f>
        <v/>
      </c>
      <c r="I1617" s="83">
        <f>MAX(_xlfn.NORM.INV(RAND(),DCF!$C$11,ASSUMPTIONS!$C$69),K1617+0.005)</f>
        <v/>
      </c>
      <c r="J1617" s="83">
        <f>_xlfn.NORM.INV(RAND(),ASSUMPTIONS!$C$19,ASSUMPTIONS!$C$70)</f>
        <v/>
      </c>
      <c r="K1617" s="83">
        <f>_xlfn.NORM.INV(RAND(),ASSUMPTIONS!$C$43,ASSUMPTIONS!$C$71)</f>
        <v/>
      </c>
      <c r="L1617" s="84">
        <f>(((ASSUMPTIONS!$C$18*J1617*(1-ASSUMPTIONS!$C$20)+ASSUMPTIONS!$C$18*ASSUMPTIONS!$C$21-ASSUMPTIONS!$C$18*ASSUMPTIONS!$C$22)*(1+H1617)*(1-((1+H1617)/(1+I1617))^5)/(I1617-H1617))+((ASSUMPTIONS!$C$18*J1617*(1-ASSUMPTIONS!$C$20)+ASSUMPTIONS!$C$18*ASSUMPTIONS!$C$21-ASSUMPTIONS!$C$18*ASSUMPTIONS!$C$22)*(1+H1617)^5*(1+K1617)/(I1617-K1617)/(1+I1617)^5)-DCF!$C$12)/ASSUMPTIONS!$C$7</f>
        <v/>
      </c>
    </row>
    <row r="1618">
      <c r="H1618" s="83">
        <f>_xlfn.NORM.INV(RAND(),AVERAGE(ASSUMPTIONS!$C$38,ASSUMPTIONS!$C$39,ASSUMPTIONS!$C$40,ASSUMPTIONS!$C$41,ASSUMPTIONS!$C$42),ASSUMPTIONS!$C$68)</f>
        <v/>
      </c>
      <c r="I1618" s="83">
        <f>MAX(_xlfn.NORM.INV(RAND(),DCF!$C$11,ASSUMPTIONS!$C$69),K1618+0.005)</f>
        <v/>
      </c>
      <c r="J1618" s="83">
        <f>_xlfn.NORM.INV(RAND(),ASSUMPTIONS!$C$19,ASSUMPTIONS!$C$70)</f>
        <v/>
      </c>
      <c r="K1618" s="83">
        <f>_xlfn.NORM.INV(RAND(),ASSUMPTIONS!$C$43,ASSUMPTIONS!$C$71)</f>
        <v/>
      </c>
      <c r="L1618" s="84">
        <f>(((ASSUMPTIONS!$C$18*J1618*(1-ASSUMPTIONS!$C$20)+ASSUMPTIONS!$C$18*ASSUMPTIONS!$C$21-ASSUMPTIONS!$C$18*ASSUMPTIONS!$C$22)*(1+H1618)*(1-((1+H1618)/(1+I1618))^5)/(I1618-H1618))+((ASSUMPTIONS!$C$18*J1618*(1-ASSUMPTIONS!$C$20)+ASSUMPTIONS!$C$18*ASSUMPTIONS!$C$21-ASSUMPTIONS!$C$18*ASSUMPTIONS!$C$22)*(1+H1618)^5*(1+K1618)/(I1618-K1618)/(1+I1618)^5)-DCF!$C$12)/ASSUMPTIONS!$C$7</f>
        <v/>
      </c>
    </row>
    <row r="1619">
      <c r="H1619" s="83">
        <f>_xlfn.NORM.INV(RAND(),AVERAGE(ASSUMPTIONS!$C$38,ASSUMPTIONS!$C$39,ASSUMPTIONS!$C$40,ASSUMPTIONS!$C$41,ASSUMPTIONS!$C$42),ASSUMPTIONS!$C$68)</f>
        <v/>
      </c>
      <c r="I1619" s="83">
        <f>MAX(_xlfn.NORM.INV(RAND(),DCF!$C$11,ASSUMPTIONS!$C$69),K1619+0.005)</f>
        <v/>
      </c>
      <c r="J1619" s="83">
        <f>_xlfn.NORM.INV(RAND(),ASSUMPTIONS!$C$19,ASSUMPTIONS!$C$70)</f>
        <v/>
      </c>
      <c r="K1619" s="83">
        <f>_xlfn.NORM.INV(RAND(),ASSUMPTIONS!$C$43,ASSUMPTIONS!$C$71)</f>
        <v/>
      </c>
      <c r="L1619" s="84">
        <f>(((ASSUMPTIONS!$C$18*J1619*(1-ASSUMPTIONS!$C$20)+ASSUMPTIONS!$C$18*ASSUMPTIONS!$C$21-ASSUMPTIONS!$C$18*ASSUMPTIONS!$C$22)*(1+H1619)*(1-((1+H1619)/(1+I1619))^5)/(I1619-H1619))+((ASSUMPTIONS!$C$18*J1619*(1-ASSUMPTIONS!$C$20)+ASSUMPTIONS!$C$18*ASSUMPTIONS!$C$21-ASSUMPTIONS!$C$18*ASSUMPTIONS!$C$22)*(1+H1619)^5*(1+K1619)/(I1619-K1619)/(1+I1619)^5)-DCF!$C$12)/ASSUMPTIONS!$C$7</f>
        <v/>
      </c>
    </row>
    <row r="1620">
      <c r="H1620" s="83">
        <f>_xlfn.NORM.INV(RAND(),AVERAGE(ASSUMPTIONS!$C$38,ASSUMPTIONS!$C$39,ASSUMPTIONS!$C$40,ASSUMPTIONS!$C$41,ASSUMPTIONS!$C$42),ASSUMPTIONS!$C$68)</f>
        <v/>
      </c>
      <c r="I1620" s="83">
        <f>MAX(_xlfn.NORM.INV(RAND(),DCF!$C$11,ASSUMPTIONS!$C$69),K1620+0.005)</f>
        <v/>
      </c>
      <c r="J1620" s="83">
        <f>_xlfn.NORM.INV(RAND(),ASSUMPTIONS!$C$19,ASSUMPTIONS!$C$70)</f>
        <v/>
      </c>
      <c r="K1620" s="83">
        <f>_xlfn.NORM.INV(RAND(),ASSUMPTIONS!$C$43,ASSUMPTIONS!$C$71)</f>
        <v/>
      </c>
      <c r="L1620" s="84">
        <f>(((ASSUMPTIONS!$C$18*J1620*(1-ASSUMPTIONS!$C$20)+ASSUMPTIONS!$C$18*ASSUMPTIONS!$C$21-ASSUMPTIONS!$C$18*ASSUMPTIONS!$C$22)*(1+H1620)*(1-((1+H1620)/(1+I1620))^5)/(I1620-H1620))+((ASSUMPTIONS!$C$18*J1620*(1-ASSUMPTIONS!$C$20)+ASSUMPTIONS!$C$18*ASSUMPTIONS!$C$21-ASSUMPTIONS!$C$18*ASSUMPTIONS!$C$22)*(1+H1620)^5*(1+K1620)/(I1620-K1620)/(1+I1620)^5)-DCF!$C$12)/ASSUMPTIONS!$C$7</f>
        <v/>
      </c>
    </row>
    <row r="1621">
      <c r="H1621" s="83">
        <f>_xlfn.NORM.INV(RAND(),AVERAGE(ASSUMPTIONS!$C$38,ASSUMPTIONS!$C$39,ASSUMPTIONS!$C$40,ASSUMPTIONS!$C$41,ASSUMPTIONS!$C$42),ASSUMPTIONS!$C$68)</f>
        <v/>
      </c>
      <c r="I1621" s="83">
        <f>MAX(_xlfn.NORM.INV(RAND(),DCF!$C$11,ASSUMPTIONS!$C$69),K1621+0.005)</f>
        <v/>
      </c>
      <c r="J1621" s="83">
        <f>_xlfn.NORM.INV(RAND(),ASSUMPTIONS!$C$19,ASSUMPTIONS!$C$70)</f>
        <v/>
      </c>
      <c r="K1621" s="83">
        <f>_xlfn.NORM.INV(RAND(),ASSUMPTIONS!$C$43,ASSUMPTIONS!$C$71)</f>
        <v/>
      </c>
      <c r="L1621" s="84">
        <f>(((ASSUMPTIONS!$C$18*J1621*(1-ASSUMPTIONS!$C$20)+ASSUMPTIONS!$C$18*ASSUMPTIONS!$C$21-ASSUMPTIONS!$C$18*ASSUMPTIONS!$C$22)*(1+H1621)*(1-((1+H1621)/(1+I1621))^5)/(I1621-H1621))+((ASSUMPTIONS!$C$18*J1621*(1-ASSUMPTIONS!$C$20)+ASSUMPTIONS!$C$18*ASSUMPTIONS!$C$21-ASSUMPTIONS!$C$18*ASSUMPTIONS!$C$22)*(1+H1621)^5*(1+K1621)/(I1621-K1621)/(1+I1621)^5)-DCF!$C$12)/ASSUMPTIONS!$C$7</f>
        <v/>
      </c>
    </row>
    <row r="1622">
      <c r="H1622" s="83">
        <f>_xlfn.NORM.INV(RAND(),AVERAGE(ASSUMPTIONS!$C$38,ASSUMPTIONS!$C$39,ASSUMPTIONS!$C$40,ASSUMPTIONS!$C$41,ASSUMPTIONS!$C$42),ASSUMPTIONS!$C$68)</f>
        <v/>
      </c>
      <c r="I1622" s="83">
        <f>MAX(_xlfn.NORM.INV(RAND(),DCF!$C$11,ASSUMPTIONS!$C$69),K1622+0.005)</f>
        <v/>
      </c>
      <c r="J1622" s="83">
        <f>_xlfn.NORM.INV(RAND(),ASSUMPTIONS!$C$19,ASSUMPTIONS!$C$70)</f>
        <v/>
      </c>
      <c r="K1622" s="83">
        <f>_xlfn.NORM.INV(RAND(),ASSUMPTIONS!$C$43,ASSUMPTIONS!$C$71)</f>
        <v/>
      </c>
      <c r="L1622" s="84">
        <f>(((ASSUMPTIONS!$C$18*J1622*(1-ASSUMPTIONS!$C$20)+ASSUMPTIONS!$C$18*ASSUMPTIONS!$C$21-ASSUMPTIONS!$C$18*ASSUMPTIONS!$C$22)*(1+H1622)*(1-((1+H1622)/(1+I1622))^5)/(I1622-H1622))+((ASSUMPTIONS!$C$18*J1622*(1-ASSUMPTIONS!$C$20)+ASSUMPTIONS!$C$18*ASSUMPTIONS!$C$21-ASSUMPTIONS!$C$18*ASSUMPTIONS!$C$22)*(1+H1622)^5*(1+K1622)/(I1622-K1622)/(1+I1622)^5)-DCF!$C$12)/ASSUMPTIONS!$C$7</f>
        <v/>
      </c>
    </row>
    <row r="1623">
      <c r="H1623" s="83">
        <f>_xlfn.NORM.INV(RAND(),AVERAGE(ASSUMPTIONS!$C$38,ASSUMPTIONS!$C$39,ASSUMPTIONS!$C$40,ASSUMPTIONS!$C$41,ASSUMPTIONS!$C$42),ASSUMPTIONS!$C$68)</f>
        <v/>
      </c>
      <c r="I1623" s="83">
        <f>MAX(_xlfn.NORM.INV(RAND(),DCF!$C$11,ASSUMPTIONS!$C$69),K1623+0.005)</f>
        <v/>
      </c>
      <c r="J1623" s="83">
        <f>_xlfn.NORM.INV(RAND(),ASSUMPTIONS!$C$19,ASSUMPTIONS!$C$70)</f>
        <v/>
      </c>
      <c r="K1623" s="83">
        <f>_xlfn.NORM.INV(RAND(),ASSUMPTIONS!$C$43,ASSUMPTIONS!$C$71)</f>
        <v/>
      </c>
      <c r="L1623" s="84">
        <f>(((ASSUMPTIONS!$C$18*J1623*(1-ASSUMPTIONS!$C$20)+ASSUMPTIONS!$C$18*ASSUMPTIONS!$C$21-ASSUMPTIONS!$C$18*ASSUMPTIONS!$C$22)*(1+H1623)*(1-((1+H1623)/(1+I1623))^5)/(I1623-H1623))+((ASSUMPTIONS!$C$18*J1623*(1-ASSUMPTIONS!$C$20)+ASSUMPTIONS!$C$18*ASSUMPTIONS!$C$21-ASSUMPTIONS!$C$18*ASSUMPTIONS!$C$22)*(1+H1623)^5*(1+K1623)/(I1623-K1623)/(1+I1623)^5)-DCF!$C$12)/ASSUMPTIONS!$C$7</f>
        <v/>
      </c>
    </row>
    <row r="1624">
      <c r="H1624" s="83">
        <f>_xlfn.NORM.INV(RAND(),AVERAGE(ASSUMPTIONS!$C$38,ASSUMPTIONS!$C$39,ASSUMPTIONS!$C$40,ASSUMPTIONS!$C$41,ASSUMPTIONS!$C$42),ASSUMPTIONS!$C$68)</f>
        <v/>
      </c>
      <c r="I1624" s="83">
        <f>MAX(_xlfn.NORM.INV(RAND(),DCF!$C$11,ASSUMPTIONS!$C$69),K1624+0.005)</f>
        <v/>
      </c>
      <c r="J1624" s="83">
        <f>_xlfn.NORM.INV(RAND(),ASSUMPTIONS!$C$19,ASSUMPTIONS!$C$70)</f>
        <v/>
      </c>
      <c r="K1624" s="83">
        <f>_xlfn.NORM.INV(RAND(),ASSUMPTIONS!$C$43,ASSUMPTIONS!$C$71)</f>
        <v/>
      </c>
      <c r="L1624" s="84">
        <f>(((ASSUMPTIONS!$C$18*J1624*(1-ASSUMPTIONS!$C$20)+ASSUMPTIONS!$C$18*ASSUMPTIONS!$C$21-ASSUMPTIONS!$C$18*ASSUMPTIONS!$C$22)*(1+H1624)*(1-((1+H1624)/(1+I1624))^5)/(I1624-H1624))+((ASSUMPTIONS!$C$18*J1624*(1-ASSUMPTIONS!$C$20)+ASSUMPTIONS!$C$18*ASSUMPTIONS!$C$21-ASSUMPTIONS!$C$18*ASSUMPTIONS!$C$22)*(1+H1624)^5*(1+K1624)/(I1624-K1624)/(1+I1624)^5)-DCF!$C$12)/ASSUMPTIONS!$C$7</f>
        <v/>
      </c>
    </row>
    <row r="1625">
      <c r="H1625" s="83">
        <f>_xlfn.NORM.INV(RAND(),AVERAGE(ASSUMPTIONS!$C$38,ASSUMPTIONS!$C$39,ASSUMPTIONS!$C$40,ASSUMPTIONS!$C$41,ASSUMPTIONS!$C$42),ASSUMPTIONS!$C$68)</f>
        <v/>
      </c>
      <c r="I1625" s="83">
        <f>MAX(_xlfn.NORM.INV(RAND(),DCF!$C$11,ASSUMPTIONS!$C$69),K1625+0.005)</f>
        <v/>
      </c>
      <c r="J1625" s="83">
        <f>_xlfn.NORM.INV(RAND(),ASSUMPTIONS!$C$19,ASSUMPTIONS!$C$70)</f>
        <v/>
      </c>
      <c r="K1625" s="83">
        <f>_xlfn.NORM.INV(RAND(),ASSUMPTIONS!$C$43,ASSUMPTIONS!$C$71)</f>
        <v/>
      </c>
      <c r="L1625" s="84">
        <f>(((ASSUMPTIONS!$C$18*J1625*(1-ASSUMPTIONS!$C$20)+ASSUMPTIONS!$C$18*ASSUMPTIONS!$C$21-ASSUMPTIONS!$C$18*ASSUMPTIONS!$C$22)*(1+H1625)*(1-((1+H1625)/(1+I1625))^5)/(I1625-H1625))+((ASSUMPTIONS!$C$18*J1625*(1-ASSUMPTIONS!$C$20)+ASSUMPTIONS!$C$18*ASSUMPTIONS!$C$21-ASSUMPTIONS!$C$18*ASSUMPTIONS!$C$22)*(1+H1625)^5*(1+K1625)/(I1625-K1625)/(1+I1625)^5)-DCF!$C$12)/ASSUMPTIONS!$C$7</f>
        <v/>
      </c>
    </row>
    <row r="1626">
      <c r="H1626" s="83">
        <f>_xlfn.NORM.INV(RAND(),AVERAGE(ASSUMPTIONS!$C$38,ASSUMPTIONS!$C$39,ASSUMPTIONS!$C$40,ASSUMPTIONS!$C$41,ASSUMPTIONS!$C$42),ASSUMPTIONS!$C$68)</f>
        <v/>
      </c>
      <c r="I1626" s="83">
        <f>MAX(_xlfn.NORM.INV(RAND(),DCF!$C$11,ASSUMPTIONS!$C$69),K1626+0.005)</f>
        <v/>
      </c>
      <c r="J1626" s="83">
        <f>_xlfn.NORM.INV(RAND(),ASSUMPTIONS!$C$19,ASSUMPTIONS!$C$70)</f>
        <v/>
      </c>
      <c r="K1626" s="83">
        <f>_xlfn.NORM.INV(RAND(),ASSUMPTIONS!$C$43,ASSUMPTIONS!$C$71)</f>
        <v/>
      </c>
      <c r="L1626" s="84">
        <f>(((ASSUMPTIONS!$C$18*J1626*(1-ASSUMPTIONS!$C$20)+ASSUMPTIONS!$C$18*ASSUMPTIONS!$C$21-ASSUMPTIONS!$C$18*ASSUMPTIONS!$C$22)*(1+H1626)*(1-((1+H1626)/(1+I1626))^5)/(I1626-H1626))+((ASSUMPTIONS!$C$18*J1626*(1-ASSUMPTIONS!$C$20)+ASSUMPTIONS!$C$18*ASSUMPTIONS!$C$21-ASSUMPTIONS!$C$18*ASSUMPTIONS!$C$22)*(1+H1626)^5*(1+K1626)/(I1626-K1626)/(1+I1626)^5)-DCF!$C$12)/ASSUMPTIONS!$C$7</f>
        <v/>
      </c>
    </row>
    <row r="1627">
      <c r="H1627" s="83">
        <f>_xlfn.NORM.INV(RAND(),AVERAGE(ASSUMPTIONS!$C$38,ASSUMPTIONS!$C$39,ASSUMPTIONS!$C$40,ASSUMPTIONS!$C$41,ASSUMPTIONS!$C$42),ASSUMPTIONS!$C$68)</f>
        <v/>
      </c>
      <c r="I1627" s="83">
        <f>MAX(_xlfn.NORM.INV(RAND(),DCF!$C$11,ASSUMPTIONS!$C$69),K1627+0.005)</f>
        <v/>
      </c>
      <c r="J1627" s="83">
        <f>_xlfn.NORM.INV(RAND(),ASSUMPTIONS!$C$19,ASSUMPTIONS!$C$70)</f>
        <v/>
      </c>
      <c r="K1627" s="83">
        <f>_xlfn.NORM.INV(RAND(),ASSUMPTIONS!$C$43,ASSUMPTIONS!$C$71)</f>
        <v/>
      </c>
      <c r="L1627" s="84">
        <f>(((ASSUMPTIONS!$C$18*J1627*(1-ASSUMPTIONS!$C$20)+ASSUMPTIONS!$C$18*ASSUMPTIONS!$C$21-ASSUMPTIONS!$C$18*ASSUMPTIONS!$C$22)*(1+H1627)*(1-((1+H1627)/(1+I1627))^5)/(I1627-H1627))+((ASSUMPTIONS!$C$18*J1627*(1-ASSUMPTIONS!$C$20)+ASSUMPTIONS!$C$18*ASSUMPTIONS!$C$21-ASSUMPTIONS!$C$18*ASSUMPTIONS!$C$22)*(1+H1627)^5*(1+K1627)/(I1627-K1627)/(1+I1627)^5)-DCF!$C$12)/ASSUMPTIONS!$C$7</f>
        <v/>
      </c>
    </row>
    <row r="1628">
      <c r="H1628" s="83">
        <f>_xlfn.NORM.INV(RAND(),AVERAGE(ASSUMPTIONS!$C$38,ASSUMPTIONS!$C$39,ASSUMPTIONS!$C$40,ASSUMPTIONS!$C$41,ASSUMPTIONS!$C$42),ASSUMPTIONS!$C$68)</f>
        <v/>
      </c>
      <c r="I1628" s="83">
        <f>MAX(_xlfn.NORM.INV(RAND(),DCF!$C$11,ASSUMPTIONS!$C$69),K1628+0.005)</f>
        <v/>
      </c>
      <c r="J1628" s="83">
        <f>_xlfn.NORM.INV(RAND(),ASSUMPTIONS!$C$19,ASSUMPTIONS!$C$70)</f>
        <v/>
      </c>
      <c r="K1628" s="83">
        <f>_xlfn.NORM.INV(RAND(),ASSUMPTIONS!$C$43,ASSUMPTIONS!$C$71)</f>
        <v/>
      </c>
      <c r="L1628" s="84">
        <f>(((ASSUMPTIONS!$C$18*J1628*(1-ASSUMPTIONS!$C$20)+ASSUMPTIONS!$C$18*ASSUMPTIONS!$C$21-ASSUMPTIONS!$C$18*ASSUMPTIONS!$C$22)*(1+H1628)*(1-((1+H1628)/(1+I1628))^5)/(I1628-H1628))+((ASSUMPTIONS!$C$18*J1628*(1-ASSUMPTIONS!$C$20)+ASSUMPTIONS!$C$18*ASSUMPTIONS!$C$21-ASSUMPTIONS!$C$18*ASSUMPTIONS!$C$22)*(1+H1628)^5*(1+K1628)/(I1628-K1628)/(1+I1628)^5)-DCF!$C$12)/ASSUMPTIONS!$C$7</f>
        <v/>
      </c>
    </row>
    <row r="1629">
      <c r="H1629" s="83">
        <f>_xlfn.NORM.INV(RAND(),AVERAGE(ASSUMPTIONS!$C$38,ASSUMPTIONS!$C$39,ASSUMPTIONS!$C$40,ASSUMPTIONS!$C$41,ASSUMPTIONS!$C$42),ASSUMPTIONS!$C$68)</f>
        <v/>
      </c>
      <c r="I1629" s="83">
        <f>MAX(_xlfn.NORM.INV(RAND(),DCF!$C$11,ASSUMPTIONS!$C$69),K1629+0.005)</f>
        <v/>
      </c>
      <c r="J1629" s="83">
        <f>_xlfn.NORM.INV(RAND(),ASSUMPTIONS!$C$19,ASSUMPTIONS!$C$70)</f>
        <v/>
      </c>
      <c r="K1629" s="83">
        <f>_xlfn.NORM.INV(RAND(),ASSUMPTIONS!$C$43,ASSUMPTIONS!$C$71)</f>
        <v/>
      </c>
      <c r="L1629" s="84">
        <f>(((ASSUMPTIONS!$C$18*J1629*(1-ASSUMPTIONS!$C$20)+ASSUMPTIONS!$C$18*ASSUMPTIONS!$C$21-ASSUMPTIONS!$C$18*ASSUMPTIONS!$C$22)*(1+H1629)*(1-((1+H1629)/(1+I1629))^5)/(I1629-H1629))+((ASSUMPTIONS!$C$18*J1629*(1-ASSUMPTIONS!$C$20)+ASSUMPTIONS!$C$18*ASSUMPTIONS!$C$21-ASSUMPTIONS!$C$18*ASSUMPTIONS!$C$22)*(1+H1629)^5*(1+K1629)/(I1629-K1629)/(1+I1629)^5)-DCF!$C$12)/ASSUMPTIONS!$C$7</f>
        <v/>
      </c>
    </row>
    <row r="1630">
      <c r="H1630" s="83">
        <f>_xlfn.NORM.INV(RAND(),AVERAGE(ASSUMPTIONS!$C$38,ASSUMPTIONS!$C$39,ASSUMPTIONS!$C$40,ASSUMPTIONS!$C$41,ASSUMPTIONS!$C$42),ASSUMPTIONS!$C$68)</f>
        <v/>
      </c>
      <c r="I1630" s="83">
        <f>MAX(_xlfn.NORM.INV(RAND(),DCF!$C$11,ASSUMPTIONS!$C$69),K1630+0.005)</f>
        <v/>
      </c>
      <c r="J1630" s="83">
        <f>_xlfn.NORM.INV(RAND(),ASSUMPTIONS!$C$19,ASSUMPTIONS!$C$70)</f>
        <v/>
      </c>
      <c r="K1630" s="83">
        <f>_xlfn.NORM.INV(RAND(),ASSUMPTIONS!$C$43,ASSUMPTIONS!$C$71)</f>
        <v/>
      </c>
      <c r="L1630" s="84">
        <f>(((ASSUMPTIONS!$C$18*J1630*(1-ASSUMPTIONS!$C$20)+ASSUMPTIONS!$C$18*ASSUMPTIONS!$C$21-ASSUMPTIONS!$C$18*ASSUMPTIONS!$C$22)*(1+H1630)*(1-((1+H1630)/(1+I1630))^5)/(I1630-H1630))+((ASSUMPTIONS!$C$18*J1630*(1-ASSUMPTIONS!$C$20)+ASSUMPTIONS!$C$18*ASSUMPTIONS!$C$21-ASSUMPTIONS!$C$18*ASSUMPTIONS!$C$22)*(1+H1630)^5*(1+K1630)/(I1630-K1630)/(1+I1630)^5)-DCF!$C$12)/ASSUMPTIONS!$C$7</f>
        <v/>
      </c>
    </row>
    <row r="1631">
      <c r="H1631" s="83">
        <f>_xlfn.NORM.INV(RAND(),AVERAGE(ASSUMPTIONS!$C$38,ASSUMPTIONS!$C$39,ASSUMPTIONS!$C$40,ASSUMPTIONS!$C$41,ASSUMPTIONS!$C$42),ASSUMPTIONS!$C$68)</f>
        <v/>
      </c>
      <c r="I1631" s="83">
        <f>MAX(_xlfn.NORM.INV(RAND(),DCF!$C$11,ASSUMPTIONS!$C$69),K1631+0.005)</f>
        <v/>
      </c>
      <c r="J1631" s="83">
        <f>_xlfn.NORM.INV(RAND(),ASSUMPTIONS!$C$19,ASSUMPTIONS!$C$70)</f>
        <v/>
      </c>
      <c r="K1631" s="83">
        <f>_xlfn.NORM.INV(RAND(),ASSUMPTIONS!$C$43,ASSUMPTIONS!$C$71)</f>
        <v/>
      </c>
      <c r="L1631" s="84">
        <f>(((ASSUMPTIONS!$C$18*J1631*(1-ASSUMPTIONS!$C$20)+ASSUMPTIONS!$C$18*ASSUMPTIONS!$C$21-ASSUMPTIONS!$C$18*ASSUMPTIONS!$C$22)*(1+H1631)*(1-((1+H1631)/(1+I1631))^5)/(I1631-H1631))+((ASSUMPTIONS!$C$18*J1631*(1-ASSUMPTIONS!$C$20)+ASSUMPTIONS!$C$18*ASSUMPTIONS!$C$21-ASSUMPTIONS!$C$18*ASSUMPTIONS!$C$22)*(1+H1631)^5*(1+K1631)/(I1631-K1631)/(1+I1631)^5)-DCF!$C$12)/ASSUMPTIONS!$C$7</f>
        <v/>
      </c>
    </row>
    <row r="1632">
      <c r="H1632" s="83">
        <f>_xlfn.NORM.INV(RAND(),AVERAGE(ASSUMPTIONS!$C$38,ASSUMPTIONS!$C$39,ASSUMPTIONS!$C$40,ASSUMPTIONS!$C$41,ASSUMPTIONS!$C$42),ASSUMPTIONS!$C$68)</f>
        <v/>
      </c>
      <c r="I1632" s="83">
        <f>MAX(_xlfn.NORM.INV(RAND(),DCF!$C$11,ASSUMPTIONS!$C$69),K1632+0.005)</f>
        <v/>
      </c>
      <c r="J1632" s="83">
        <f>_xlfn.NORM.INV(RAND(),ASSUMPTIONS!$C$19,ASSUMPTIONS!$C$70)</f>
        <v/>
      </c>
      <c r="K1632" s="83">
        <f>_xlfn.NORM.INV(RAND(),ASSUMPTIONS!$C$43,ASSUMPTIONS!$C$71)</f>
        <v/>
      </c>
      <c r="L1632" s="84">
        <f>(((ASSUMPTIONS!$C$18*J1632*(1-ASSUMPTIONS!$C$20)+ASSUMPTIONS!$C$18*ASSUMPTIONS!$C$21-ASSUMPTIONS!$C$18*ASSUMPTIONS!$C$22)*(1+H1632)*(1-((1+H1632)/(1+I1632))^5)/(I1632-H1632))+((ASSUMPTIONS!$C$18*J1632*(1-ASSUMPTIONS!$C$20)+ASSUMPTIONS!$C$18*ASSUMPTIONS!$C$21-ASSUMPTIONS!$C$18*ASSUMPTIONS!$C$22)*(1+H1632)^5*(1+K1632)/(I1632-K1632)/(1+I1632)^5)-DCF!$C$12)/ASSUMPTIONS!$C$7</f>
        <v/>
      </c>
    </row>
    <row r="1633">
      <c r="H1633" s="83">
        <f>_xlfn.NORM.INV(RAND(),AVERAGE(ASSUMPTIONS!$C$38,ASSUMPTIONS!$C$39,ASSUMPTIONS!$C$40,ASSUMPTIONS!$C$41,ASSUMPTIONS!$C$42),ASSUMPTIONS!$C$68)</f>
        <v/>
      </c>
      <c r="I1633" s="83">
        <f>MAX(_xlfn.NORM.INV(RAND(),DCF!$C$11,ASSUMPTIONS!$C$69),K1633+0.005)</f>
        <v/>
      </c>
      <c r="J1633" s="83">
        <f>_xlfn.NORM.INV(RAND(),ASSUMPTIONS!$C$19,ASSUMPTIONS!$C$70)</f>
        <v/>
      </c>
      <c r="K1633" s="83">
        <f>_xlfn.NORM.INV(RAND(),ASSUMPTIONS!$C$43,ASSUMPTIONS!$C$71)</f>
        <v/>
      </c>
      <c r="L1633" s="84">
        <f>(((ASSUMPTIONS!$C$18*J1633*(1-ASSUMPTIONS!$C$20)+ASSUMPTIONS!$C$18*ASSUMPTIONS!$C$21-ASSUMPTIONS!$C$18*ASSUMPTIONS!$C$22)*(1+H1633)*(1-((1+H1633)/(1+I1633))^5)/(I1633-H1633))+((ASSUMPTIONS!$C$18*J1633*(1-ASSUMPTIONS!$C$20)+ASSUMPTIONS!$C$18*ASSUMPTIONS!$C$21-ASSUMPTIONS!$C$18*ASSUMPTIONS!$C$22)*(1+H1633)^5*(1+K1633)/(I1633-K1633)/(1+I1633)^5)-DCF!$C$12)/ASSUMPTIONS!$C$7</f>
        <v/>
      </c>
    </row>
    <row r="1634">
      <c r="H1634" s="83">
        <f>_xlfn.NORM.INV(RAND(),AVERAGE(ASSUMPTIONS!$C$38,ASSUMPTIONS!$C$39,ASSUMPTIONS!$C$40,ASSUMPTIONS!$C$41,ASSUMPTIONS!$C$42),ASSUMPTIONS!$C$68)</f>
        <v/>
      </c>
      <c r="I1634" s="83">
        <f>MAX(_xlfn.NORM.INV(RAND(),DCF!$C$11,ASSUMPTIONS!$C$69),K1634+0.005)</f>
        <v/>
      </c>
      <c r="J1634" s="83">
        <f>_xlfn.NORM.INV(RAND(),ASSUMPTIONS!$C$19,ASSUMPTIONS!$C$70)</f>
        <v/>
      </c>
      <c r="K1634" s="83">
        <f>_xlfn.NORM.INV(RAND(),ASSUMPTIONS!$C$43,ASSUMPTIONS!$C$71)</f>
        <v/>
      </c>
      <c r="L1634" s="84">
        <f>(((ASSUMPTIONS!$C$18*J1634*(1-ASSUMPTIONS!$C$20)+ASSUMPTIONS!$C$18*ASSUMPTIONS!$C$21-ASSUMPTIONS!$C$18*ASSUMPTIONS!$C$22)*(1+H1634)*(1-((1+H1634)/(1+I1634))^5)/(I1634-H1634))+((ASSUMPTIONS!$C$18*J1634*(1-ASSUMPTIONS!$C$20)+ASSUMPTIONS!$C$18*ASSUMPTIONS!$C$21-ASSUMPTIONS!$C$18*ASSUMPTIONS!$C$22)*(1+H1634)^5*(1+K1634)/(I1634-K1634)/(1+I1634)^5)-DCF!$C$12)/ASSUMPTIONS!$C$7</f>
        <v/>
      </c>
    </row>
    <row r="1635">
      <c r="H1635" s="83">
        <f>_xlfn.NORM.INV(RAND(),AVERAGE(ASSUMPTIONS!$C$38,ASSUMPTIONS!$C$39,ASSUMPTIONS!$C$40,ASSUMPTIONS!$C$41,ASSUMPTIONS!$C$42),ASSUMPTIONS!$C$68)</f>
        <v/>
      </c>
      <c r="I1635" s="83">
        <f>MAX(_xlfn.NORM.INV(RAND(),DCF!$C$11,ASSUMPTIONS!$C$69),K1635+0.005)</f>
        <v/>
      </c>
      <c r="J1635" s="83">
        <f>_xlfn.NORM.INV(RAND(),ASSUMPTIONS!$C$19,ASSUMPTIONS!$C$70)</f>
        <v/>
      </c>
      <c r="K1635" s="83">
        <f>_xlfn.NORM.INV(RAND(),ASSUMPTIONS!$C$43,ASSUMPTIONS!$C$71)</f>
        <v/>
      </c>
      <c r="L1635" s="84">
        <f>(((ASSUMPTIONS!$C$18*J1635*(1-ASSUMPTIONS!$C$20)+ASSUMPTIONS!$C$18*ASSUMPTIONS!$C$21-ASSUMPTIONS!$C$18*ASSUMPTIONS!$C$22)*(1+H1635)*(1-((1+H1635)/(1+I1635))^5)/(I1635-H1635))+((ASSUMPTIONS!$C$18*J1635*(1-ASSUMPTIONS!$C$20)+ASSUMPTIONS!$C$18*ASSUMPTIONS!$C$21-ASSUMPTIONS!$C$18*ASSUMPTIONS!$C$22)*(1+H1635)^5*(1+K1635)/(I1635-K1635)/(1+I1635)^5)-DCF!$C$12)/ASSUMPTIONS!$C$7</f>
        <v/>
      </c>
    </row>
    <row r="1636">
      <c r="H1636" s="83">
        <f>_xlfn.NORM.INV(RAND(),AVERAGE(ASSUMPTIONS!$C$38,ASSUMPTIONS!$C$39,ASSUMPTIONS!$C$40,ASSUMPTIONS!$C$41,ASSUMPTIONS!$C$42),ASSUMPTIONS!$C$68)</f>
        <v/>
      </c>
      <c r="I1636" s="83">
        <f>MAX(_xlfn.NORM.INV(RAND(),DCF!$C$11,ASSUMPTIONS!$C$69),K1636+0.005)</f>
        <v/>
      </c>
      <c r="J1636" s="83">
        <f>_xlfn.NORM.INV(RAND(),ASSUMPTIONS!$C$19,ASSUMPTIONS!$C$70)</f>
        <v/>
      </c>
      <c r="K1636" s="83">
        <f>_xlfn.NORM.INV(RAND(),ASSUMPTIONS!$C$43,ASSUMPTIONS!$C$71)</f>
        <v/>
      </c>
      <c r="L1636" s="84">
        <f>(((ASSUMPTIONS!$C$18*J1636*(1-ASSUMPTIONS!$C$20)+ASSUMPTIONS!$C$18*ASSUMPTIONS!$C$21-ASSUMPTIONS!$C$18*ASSUMPTIONS!$C$22)*(1+H1636)*(1-((1+H1636)/(1+I1636))^5)/(I1636-H1636))+((ASSUMPTIONS!$C$18*J1636*(1-ASSUMPTIONS!$C$20)+ASSUMPTIONS!$C$18*ASSUMPTIONS!$C$21-ASSUMPTIONS!$C$18*ASSUMPTIONS!$C$22)*(1+H1636)^5*(1+K1636)/(I1636-K1636)/(1+I1636)^5)-DCF!$C$12)/ASSUMPTIONS!$C$7</f>
        <v/>
      </c>
    </row>
    <row r="1637">
      <c r="H1637" s="83">
        <f>_xlfn.NORM.INV(RAND(),AVERAGE(ASSUMPTIONS!$C$38,ASSUMPTIONS!$C$39,ASSUMPTIONS!$C$40,ASSUMPTIONS!$C$41,ASSUMPTIONS!$C$42),ASSUMPTIONS!$C$68)</f>
        <v/>
      </c>
      <c r="I1637" s="83">
        <f>MAX(_xlfn.NORM.INV(RAND(),DCF!$C$11,ASSUMPTIONS!$C$69),K1637+0.005)</f>
        <v/>
      </c>
      <c r="J1637" s="83">
        <f>_xlfn.NORM.INV(RAND(),ASSUMPTIONS!$C$19,ASSUMPTIONS!$C$70)</f>
        <v/>
      </c>
      <c r="K1637" s="83">
        <f>_xlfn.NORM.INV(RAND(),ASSUMPTIONS!$C$43,ASSUMPTIONS!$C$71)</f>
        <v/>
      </c>
      <c r="L1637" s="84">
        <f>(((ASSUMPTIONS!$C$18*J1637*(1-ASSUMPTIONS!$C$20)+ASSUMPTIONS!$C$18*ASSUMPTIONS!$C$21-ASSUMPTIONS!$C$18*ASSUMPTIONS!$C$22)*(1+H1637)*(1-((1+H1637)/(1+I1637))^5)/(I1637-H1637))+((ASSUMPTIONS!$C$18*J1637*(1-ASSUMPTIONS!$C$20)+ASSUMPTIONS!$C$18*ASSUMPTIONS!$C$21-ASSUMPTIONS!$C$18*ASSUMPTIONS!$C$22)*(1+H1637)^5*(1+K1637)/(I1637-K1637)/(1+I1637)^5)-DCF!$C$12)/ASSUMPTIONS!$C$7</f>
        <v/>
      </c>
    </row>
    <row r="1638">
      <c r="H1638" s="83">
        <f>_xlfn.NORM.INV(RAND(),AVERAGE(ASSUMPTIONS!$C$38,ASSUMPTIONS!$C$39,ASSUMPTIONS!$C$40,ASSUMPTIONS!$C$41,ASSUMPTIONS!$C$42),ASSUMPTIONS!$C$68)</f>
        <v/>
      </c>
      <c r="I1638" s="83">
        <f>MAX(_xlfn.NORM.INV(RAND(),DCF!$C$11,ASSUMPTIONS!$C$69),K1638+0.005)</f>
        <v/>
      </c>
      <c r="J1638" s="83">
        <f>_xlfn.NORM.INV(RAND(),ASSUMPTIONS!$C$19,ASSUMPTIONS!$C$70)</f>
        <v/>
      </c>
      <c r="K1638" s="83">
        <f>_xlfn.NORM.INV(RAND(),ASSUMPTIONS!$C$43,ASSUMPTIONS!$C$71)</f>
        <v/>
      </c>
      <c r="L1638" s="84">
        <f>(((ASSUMPTIONS!$C$18*J1638*(1-ASSUMPTIONS!$C$20)+ASSUMPTIONS!$C$18*ASSUMPTIONS!$C$21-ASSUMPTIONS!$C$18*ASSUMPTIONS!$C$22)*(1+H1638)*(1-((1+H1638)/(1+I1638))^5)/(I1638-H1638))+((ASSUMPTIONS!$C$18*J1638*(1-ASSUMPTIONS!$C$20)+ASSUMPTIONS!$C$18*ASSUMPTIONS!$C$21-ASSUMPTIONS!$C$18*ASSUMPTIONS!$C$22)*(1+H1638)^5*(1+K1638)/(I1638-K1638)/(1+I1638)^5)-DCF!$C$12)/ASSUMPTIONS!$C$7</f>
        <v/>
      </c>
    </row>
    <row r="1639">
      <c r="H1639" s="83">
        <f>_xlfn.NORM.INV(RAND(),AVERAGE(ASSUMPTIONS!$C$38,ASSUMPTIONS!$C$39,ASSUMPTIONS!$C$40,ASSUMPTIONS!$C$41,ASSUMPTIONS!$C$42),ASSUMPTIONS!$C$68)</f>
        <v/>
      </c>
      <c r="I1639" s="83">
        <f>MAX(_xlfn.NORM.INV(RAND(),DCF!$C$11,ASSUMPTIONS!$C$69),K1639+0.005)</f>
        <v/>
      </c>
      <c r="J1639" s="83">
        <f>_xlfn.NORM.INV(RAND(),ASSUMPTIONS!$C$19,ASSUMPTIONS!$C$70)</f>
        <v/>
      </c>
      <c r="K1639" s="83">
        <f>_xlfn.NORM.INV(RAND(),ASSUMPTIONS!$C$43,ASSUMPTIONS!$C$71)</f>
        <v/>
      </c>
      <c r="L1639" s="84">
        <f>(((ASSUMPTIONS!$C$18*J1639*(1-ASSUMPTIONS!$C$20)+ASSUMPTIONS!$C$18*ASSUMPTIONS!$C$21-ASSUMPTIONS!$C$18*ASSUMPTIONS!$C$22)*(1+H1639)*(1-((1+H1639)/(1+I1639))^5)/(I1639-H1639))+((ASSUMPTIONS!$C$18*J1639*(1-ASSUMPTIONS!$C$20)+ASSUMPTIONS!$C$18*ASSUMPTIONS!$C$21-ASSUMPTIONS!$C$18*ASSUMPTIONS!$C$22)*(1+H1639)^5*(1+K1639)/(I1639-K1639)/(1+I1639)^5)-DCF!$C$12)/ASSUMPTIONS!$C$7</f>
        <v/>
      </c>
    </row>
    <row r="1640">
      <c r="H1640" s="83">
        <f>_xlfn.NORM.INV(RAND(),AVERAGE(ASSUMPTIONS!$C$38,ASSUMPTIONS!$C$39,ASSUMPTIONS!$C$40,ASSUMPTIONS!$C$41,ASSUMPTIONS!$C$42),ASSUMPTIONS!$C$68)</f>
        <v/>
      </c>
      <c r="I1640" s="83">
        <f>MAX(_xlfn.NORM.INV(RAND(),DCF!$C$11,ASSUMPTIONS!$C$69),K1640+0.005)</f>
        <v/>
      </c>
      <c r="J1640" s="83">
        <f>_xlfn.NORM.INV(RAND(),ASSUMPTIONS!$C$19,ASSUMPTIONS!$C$70)</f>
        <v/>
      </c>
      <c r="K1640" s="83">
        <f>_xlfn.NORM.INV(RAND(),ASSUMPTIONS!$C$43,ASSUMPTIONS!$C$71)</f>
        <v/>
      </c>
      <c r="L1640" s="84">
        <f>(((ASSUMPTIONS!$C$18*J1640*(1-ASSUMPTIONS!$C$20)+ASSUMPTIONS!$C$18*ASSUMPTIONS!$C$21-ASSUMPTIONS!$C$18*ASSUMPTIONS!$C$22)*(1+H1640)*(1-((1+H1640)/(1+I1640))^5)/(I1640-H1640))+((ASSUMPTIONS!$C$18*J1640*(1-ASSUMPTIONS!$C$20)+ASSUMPTIONS!$C$18*ASSUMPTIONS!$C$21-ASSUMPTIONS!$C$18*ASSUMPTIONS!$C$22)*(1+H1640)^5*(1+K1640)/(I1640-K1640)/(1+I1640)^5)-DCF!$C$12)/ASSUMPTIONS!$C$7</f>
        <v/>
      </c>
    </row>
    <row r="1641">
      <c r="H1641" s="83">
        <f>_xlfn.NORM.INV(RAND(),AVERAGE(ASSUMPTIONS!$C$38,ASSUMPTIONS!$C$39,ASSUMPTIONS!$C$40,ASSUMPTIONS!$C$41,ASSUMPTIONS!$C$42),ASSUMPTIONS!$C$68)</f>
        <v/>
      </c>
      <c r="I1641" s="83">
        <f>MAX(_xlfn.NORM.INV(RAND(),DCF!$C$11,ASSUMPTIONS!$C$69),K1641+0.005)</f>
        <v/>
      </c>
      <c r="J1641" s="83">
        <f>_xlfn.NORM.INV(RAND(),ASSUMPTIONS!$C$19,ASSUMPTIONS!$C$70)</f>
        <v/>
      </c>
      <c r="K1641" s="83">
        <f>_xlfn.NORM.INV(RAND(),ASSUMPTIONS!$C$43,ASSUMPTIONS!$C$71)</f>
        <v/>
      </c>
      <c r="L1641" s="84">
        <f>(((ASSUMPTIONS!$C$18*J1641*(1-ASSUMPTIONS!$C$20)+ASSUMPTIONS!$C$18*ASSUMPTIONS!$C$21-ASSUMPTIONS!$C$18*ASSUMPTIONS!$C$22)*(1+H1641)*(1-((1+H1641)/(1+I1641))^5)/(I1641-H1641))+((ASSUMPTIONS!$C$18*J1641*(1-ASSUMPTIONS!$C$20)+ASSUMPTIONS!$C$18*ASSUMPTIONS!$C$21-ASSUMPTIONS!$C$18*ASSUMPTIONS!$C$22)*(1+H1641)^5*(1+K1641)/(I1641-K1641)/(1+I1641)^5)-DCF!$C$12)/ASSUMPTIONS!$C$7</f>
        <v/>
      </c>
    </row>
    <row r="1642">
      <c r="H1642" s="83">
        <f>_xlfn.NORM.INV(RAND(),AVERAGE(ASSUMPTIONS!$C$38,ASSUMPTIONS!$C$39,ASSUMPTIONS!$C$40,ASSUMPTIONS!$C$41,ASSUMPTIONS!$C$42),ASSUMPTIONS!$C$68)</f>
        <v/>
      </c>
      <c r="I1642" s="83">
        <f>MAX(_xlfn.NORM.INV(RAND(),DCF!$C$11,ASSUMPTIONS!$C$69),K1642+0.005)</f>
        <v/>
      </c>
      <c r="J1642" s="83">
        <f>_xlfn.NORM.INV(RAND(),ASSUMPTIONS!$C$19,ASSUMPTIONS!$C$70)</f>
        <v/>
      </c>
      <c r="K1642" s="83">
        <f>_xlfn.NORM.INV(RAND(),ASSUMPTIONS!$C$43,ASSUMPTIONS!$C$71)</f>
        <v/>
      </c>
      <c r="L1642" s="84">
        <f>(((ASSUMPTIONS!$C$18*J1642*(1-ASSUMPTIONS!$C$20)+ASSUMPTIONS!$C$18*ASSUMPTIONS!$C$21-ASSUMPTIONS!$C$18*ASSUMPTIONS!$C$22)*(1+H1642)*(1-((1+H1642)/(1+I1642))^5)/(I1642-H1642))+((ASSUMPTIONS!$C$18*J1642*(1-ASSUMPTIONS!$C$20)+ASSUMPTIONS!$C$18*ASSUMPTIONS!$C$21-ASSUMPTIONS!$C$18*ASSUMPTIONS!$C$22)*(1+H1642)^5*(1+K1642)/(I1642-K1642)/(1+I1642)^5)-DCF!$C$12)/ASSUMPTIONS!$C$7</f>
        <v/>
      </c>
    </row>
    <row r="1643">
      <c r="H1643" s="83">
        <f>_xlfn.NORM.INV(RAND(),AVERAGE(ASSUMPTIONS!$C$38,ASSUMPTIONS!$C$39,ASSUMPTIONS!$C$40,ASSUMPTIONS!$C$41,ASSUMPTIONS!$C$42),ASSUMPTIONS!$C$68)</f>
        <v/>
      </c>
      <c r="I1643" s="83">
        <f>MAX(_xlfn.NORM.INV(RAND(),DCF!$C$11,ASSUMPTIONS!$C$69),K1643+0.005)</f>
        <v/>
      </c>
      <c r="J1643" s="83">
        <f>_xlfn.NORM.INV(RAND(),ASSUMPTIONS!$C$19,ASSUMPTIONS!$C$70)</f>
        <v/>
      </c>
      <c r="K1643" s="83">
        <f>_xlfn.NORM.INV(RAND(),ASSUMPTIONS!$C$43,ASSUMPTIONS!$C$71)</f>
        <v/>
      </c>
      <c r="L1643" s="84">
        <f>(((ASSUMPTIONS!$C$18*J1643*(1-ASSUMPTIONS!$C$20)+ASSUMPTIONS!$C$18*ASSUMPTIONS!$C$21-ASSUMPTIONS!$C$18*ASSUMPTIONS!$C$22)*(1+H1643)*(1-((1+H1643)/(1+I1643))^5)/(I1643-H1643))+((ASSUMPTIONS!$C$18*J1643*(1-ASSUMPTIONS!$C$20)+ASSUMPTIONS!$C$18*ASSUMPTIONS!$C$21-ASSUMPTIONS!$C$18*ASSUMPTIONS!$C$22)*(1+H1643)^5*(1+K1643)/(I1643-K1643)/(1+I1643)^5)-DCF!$C$12)/ASSUMPTIONS!$C$7</f>
        <v/>
      </c>
    </row>
    <row r="1644">
      <c r="H1644" s="83">
        <f>_xlfn.NORM.INV(RAND(),AVERAGE(ASSUMPTIONS!$C$38,ASSUMPTIONS!$C$39,ASSUMPTIONS!$C$40,ASSUMPTIONS!$C$41,ASSUMPTIONS!$C$42),ASSUMPTIONS!$C$68)</f>
        <v/>
      </c>
      <c r="I1644" s="83">
        <f>MAX(_xlfn.NORM.INV(RAND(),DCF!$C$11,ASSUMPTIONS!$C$69),K1644+0.005)</f>
        <v/>
      </c>
      <c r="J1644" s="83">
        <f>_xlfn.NORM.INV(RAND(),ASSUMPTIONS!$C$19,ASSUMPTIONS!$C$70)</f>
        <v/>
      </c>
      <c r="K1644" s="83">
        <f>_xlfn.NORM.INV(RAND(),ASSUMPTIONS!$C$43,ASSUMPTIONS!$C$71)</f>
        <v/>
      </c>
      <c r="L1644" s="84">
        <f>(((ASSUMPTIONS!$C$18*J1644*(1-ASSUMPTIONS!$C$20)+ASSUMPTIONS!$C$18*ASSUMPTIONS!$C$21-ASSUMPTIONS!$C$18*ASSUMPTIONS!$C$22)*(1+H1644)*(1-((1+H1644)/(1+I1644))^5)/(I1644-H1644))+((ASSUMPTIONS!$C$18*J1644*(1-ASSUMPTIONS!$C$20)+ASSUMPTIONS!$C$18*ASSUMPTIONS!$C$21-ASSUMPTIONS!$C$18*ASSUMPTIONS!$C$22)*(1+H1644)^5*(1+K1644)/(I1644-K1644)/(1+I1644)^5)-DCF!$C$12)/ASSUMPTIONS!$C$7</f>
        <v/>
      </c>
    </row>
    <row r="1645">
      <c r="H1645" s="83">
        <f>_xlfn.NORM.INV(RAND(),AVERAGE(ASSUMPTIONS!$C$38,ASSUMPTIONS!$C$39,ASSUMPTIONS!$C$40,ASSUMPTIONS!$C$41,ASSUMPTIONS!$C$42),ASSUMPTIONS!$C$68)</f>
        <v/>
      </c>
      <c r="I1645" s="83">
        <f>MAX(_xlfn.NORM.INV(RAND(),DCF!$C$11,ASSUMPTIONS!$C$69),K1645+0.005)</f>
        <v/>
      </c>
      <c r="J1645" s="83">
        <f>_xlfn.NORM.INV(RAND(),ASSUMPTIONS!$C$19,ASSUMPTIONS!$C$70)</f>
        <v/>
      </c>
      <c r="K1645" s="83">
        <f>_xlfn.NORM.INV(RAND(),ASSUMPTIONS!$C$43,ASSUMPTIONS!$C$71)</f>
        <v/>
      </c>
      <c r="L1645" s="84">
        <f>(((ASSUMPTIONS!$C$18*J1645*(1-ASSUMPTIONS!$C$20)+ASSUMPTIONS!$C$18*ASSUMPTIONS!$C$21-ASSUMPTIONS!$C$18*ASSUMPTIONS!$C$22)*(1+H1645)*(1-((1+H1645)/(1+I1645))^5)/(I1645-H1645))+((ASSUMPTIONS!$C$18*J1645*(1-ASSUMPTIONS!$C$20)+ASSUMPTIONS!$C$18*ASSUMPTIONS!$C$21-ASSUMPTIONS!$C$18*ASSUMPTIONS!$C$22)*(1+H1645)^5*(1+K1645)/(I1645-K1645)/(1+I1645)^5)-DCF!$C$12)/ASSUMPTIONS!$C$7</f>
        <v/>
      </c>
    </row>
    <row r="1646">
      <c r="H1646" s="83">
        <f>_xlfn.NORM.INV(RAND(),AVERAGE(ASSUMPTIONS!$C$38,ASSUMPTIONS!$C$39,ASSUMPTIONS!$C$40,ASSUMPTIONS!$C$41,ASSUMPTIONS!$C$42),ASSUMPTIONS!$C$68)</f>
        <v/>
      </c>
      <c r="I1646" s="83">
        <f>MAX(_xlfn.NORM.INV(RAND(),DCF!$C$11,ASSUMPTIONS!$C$69),K1646+0.005)</f>
        <v/>
      </c>
      <c r="J1646" s="83">
        <f>_xlfn.NORM.INV(RAND(),ASSUMPTIONS!$C$19,ASSUMPTIONS!$C$70)</f>
        <v/>
      </c>
      <c r="K1646" s="83">
        <f>_xlfn.NORM.INV(RAND(),ASSUMPTIONS!$C$43,ASSUMPTIONS!$C$71)</f>
        <v/>
      </c>
      <c r="L1646" s="84">
        <f>(((ASSUMPTIONS!$C$18*J1646*(1-ASSUMPTIONS!$C$20)+ASSUMPTIONS!$C$18*ASSUMPTIONS!$C$21-ASSUMPTIONS!$C$18*ASSUMPTIONS!$C$22)*(1+H1646)*(1-((1+H1646)/(1+I1646))^5)/(I1646-H1646))+((ASSUMPTIONS!$C$18*J1646*(1-ASSUMPTIONS!$C$20)+ASSUMPTIONS!$C$18*ASSUMPTIONS!$C$21-ASSUMPTIONS!$C$18*ASSUMPTIONS!$C$22)*(1+H1646)^5*(1+K1646)/(I1646-K1646)/(1+I1646)^5)-DCF!$C$12)/ASSUMPTIONS!$C$7</f>
        <v/>
      </c>
    </row>
    <row r="1647">
      <c r="H1647" s="83">
        <f>_xlfn.NORM.INV(RAND(),AVERAGE(ASSUMPTIONS!$C$38,ASSUMPTIONS!$C$39,ASSUMPTIONS!$C$40,ASSUMPTIONS!$C$41,ASSUMPTIONS!$C$42),ASSUMPTIONS!$C$68)</f>
        <v/>
      </c>
      <c r="I1647" s="83">
        <f>MAX(_xlfn.NORM.INV(RAND(),DCF!$C$11,ASSUMPTIONS!$C$69),K1647+0.005)</f>
        <v/>
      </c>
      <c r="J1647" s="83">
        <f>_xlfn.NORM.INV(RAND(),ASSUMPTIONS!$C$19,ASSUMPTIONS!$C$70)</f>
        <v/>
      </c>
      <c r="K1647" s="83">
        <f>_xlfn.NORM.INV(RAND(),ASSUMPTIONS!$C$43,ASSUMPTIONS!$C$71)</f>
        <v/>
      </c>
      <c r="L1647" s="84">
        <f>(((ASSUMPTIONS!$C$18*J1647*(1-ASSUMPTIONS!$C$20)+ASSUMPTIONS!$C$18*ASSUMPTIONS!$C$21-ASSUMPTIONS!$C$18*ASSUMPTIONS!$C$22)*(1+H1647)*(1-((1+H1647)/(1+I1647))^5)/(I1647-H1647))+((ASSUMPTIONS!$C$18*J1647*(1-ASSUMPTIONS!$C$20)+ASSUMPTIONS!$C$18*ASSUMPTIONS!$C$21-ASSUMPTIONS!$C$18*ASSUMPTIONS!$C$22)*(1+H1647)^5*(1+K1647)/(I1647-K1647)/(1+I1647)^5)-DCF!$C$12)/ASSUMPTIONS!$C$7</f>
        <v/>
      </c>
    </row>
    <row r="1648">
      <c r="H1648" s="83">
        <f>_xlfn.NORM.INV(RAND(),AVERAGE(ASSUMPTIONS!$C$38,ASSUMPTIONS!$C$39,ASSUMPTIONS!$C$40,ASSUMPTIONS!$C$41,ASSUMPTIONS!$C$42),ASSUMPTIONS!$C$68)</f>
        <v/>
      </c>
      <c r="I1648" s="83">
        <f>MAX(_xlfn.NORM.INV(RAND(),DCF!$C$11,ASSUMPTIONS!$C$69),K1648+0.005)</f>
        <v/>
      </c>
      <c r="J1648" s="83">
        <f>_xlfn.NORM.INV(RAND(),ASSUMPTIONS!$C$19,ASSUMPTIONS!$C$70)</f>
        <v/>
      </c>
      <c r="K1648" s="83">
        <f>_xlfn.NORM.INV(RAND(),ASSUMPTIONS!$C$43,ASSUMPTIONS!$C$71)</f>
        <v/>
      </c>
      <c r="L1648" s="84">
        <f>(((ASSUMPTIONS!$C$18*J1648*(1-ASSUMPTIONS!$C$20)+ASSUMPTIONS!$C$18*ASSUMPTIONS!$C$21-ASSUMPTIONS!$C$18*ASSUMPTIONS!$C$22)*(1+H1648)*(1-((1+H1648)/(1+I1648))^5)/(I1648-H1648))+((ASSUMPTIONS!$C$18*J1648*(1-ASSUMPTIONS!$C$20)+ASSUMPTIONS!$C$18*ASSUMPTIONS!$C$21-ASSUMPTIONS!$C$18*ASSUMPTIONS!$C$22)*(1+H1648)^5*(1+K1648)/(I1648-K1648)/(1+I1648)^5)-DCF!$C$12)/ASSUMPTIONS!$C$7</f>
        <v/>
      </c>
    </row>
    <row r="1649">
      <c r="H1649" s="83">
        <f>_xlfn.NORM.INV(RAND(),AVERAGE(ASSUMPTIONS!$C$38,ASSUMPTIONS!$C$39,ASSUMPTIONS!$C$40,ASSUMPTIONS!$C$41,ASSUMPTIONS!$C$42),ASSUMPTIONS!$C$68)</f>
        <v/>
      </c>
      <c r="I1649" s="83">
        <f>MAX(_xlfn.NORM.INV(RAND(),DCF!$C$11,ASSUMPTIONS!$C$69),K1649+0.005)</f>
        <v/>
      </c>
      <c r="J1649" s="83">
        <f>_xlfn.NORM.INV(RAND(),ASSUMPTIONS!$C$19,ASSUMPTIONS!$C$70)</f>
        <v/>
      </c>
      <c r="K1649" s="83">
        <f>_xlfn.NORM.INV(RAND(),ASSUMPTIONS!$C$43,ASSUMPTIONS!$C$71)</f>
        <v/>
      </c>
      <c r="L1649" s="84">
        <f>(((ASSUMPTIONS!$C$18*J1649*(1-ASSUMPTIONS!$C$20)+ASSUMPTIONS!$C$18*ASSUMPTIONS!$C$21-ASSUMPTIONS!$C$18*ASSUMPTIONS!$C$22)*(1+H1649)*(1-((1+H1649)/(1+I1649))^5)/(I1649-H1649))+((ASSUMPTIONS!$C$18*J1649*(1-ASSUMPTIONS!$C$20)+ASSUMPTIONS!$C$18*ASSUMPTIONS!$C$21-ASSUMPTIONS!$C$18*ASSUMPTIONS!$C$22)*(1+H1649)^5*(1+K1649)/(I1649-K1649)/(1+I1649)^5)-DCF!$C$12)/ASSUMPTIONS!$C$7</f>
        <v/>
      </c>
    </row>
    <row r="1650">
      <c r="H1650" s="83">
        <f>_xlfn.NORM.INV(RAND(),AVERAGE(ASSUMPTIONS!$C$38,ASSUMPTIONS!$C$39,ASSUMPTIONS!$C$40,ASSUMPTIONS!$C$41,ASSUMPTIONS!$C$42),ASSUMPTIONS!$C$68)</f>
        <v/>
      </c>
      <c r="I1650" s="83">
        <f>MAX(_xlfn.NORM.INV(RAND(),DCF!$C$11,ASSUMPTIONS!$C$69),K1650+0.005)</f>
        <v/>
      </c>
      <c r="J1650" s="83">
        <f>_xlfn.NORM.INV(RAND(),ASSUMPTIONS!$C$19,ASSUMPTIONS!$C$70)</f>
        <v/>
      </c>
      <c r="K1650" s="83">
        <f>_xlfn.NORM.INV(RAND(),ASSUMPTIONS!$C$43,ASSUMPTIONS!$C$71)</f>
        <v/>
      </c>
      <c r="L1650" s="84">
        <f>(((ASSUMPTIONS!$C$18*J1650*(1-ASSUMPTIONS!$C$20)+ASSUMPTIONS!$C$18*ASSUMPTIONS!$C$21-ASSUMPTIONS!$C$18*ASSUMPTIONS!$C$22)*(1+H1650)*(1-((1+H1650)/(1+I1650))^5)/(I1650-H1650))+((ASSUMPTIONS!$C$18*J1650*(1-ASSUMPTIONS!$C$20)+ASSUMPTIONS!$C$18*ASSUMPTIONS!$C$21-ASSUMPTIONS!$C$18*ASSUMPTIONS!$C$22)*(1+H1650)^5*(1+K1650)/(I1650-K1650)/(1+I1650)^5)-DCF!$C$12)/ASSUMPTIONS!$C$7</f>
        <v/>
      </c>
    </row>
    <row r="1651">
      <c r="H1651" s="83">
        <f>_xlfn.NORM.INV(RAND(),AVERAGE(ASSUMPTIONS!$C$38,ASSUMPTIONS!$C$39,ASSUMPTIONS!$C$40,ASSUMPTIONS!$C$41,ASSUMPTIONS!$C$42),ASSUMPTIONS!$C$68)</f>
        <v/>
      </c>
      <c r="I1651" s="83">
        <f>MAX(_xlfn.NORM.INV(RAND(),DCF!$C$11,ASSUMPTIONS!$C$69),K1651+0.005)</f>
        <v/>
      </c>
      <c r="J1651" s="83">
        <f>_xlfn.NORM.INV(RAND(),ASSUMPTIONS!$C$19,ASSUMPTIONS!$C$70)</f>
        <v/>
      </c>
      <c r="K1651" s="83">
        <f>_xlfn.NORM.INV(RAND(),ASSUMPTIONS!$C$43,ASSUMPTIONS!$C$71)</f>
        <v/>
      </c>
      <c r="L1651" s="84">
        <f>(((ASSUMPTIONS!$C$18*J1651*(1-ASSUMPTIONS!$C$20)+ASSUMPTIONS!$C$18*ASSUMPTIONS!$C$21-ASSUMPTIONS!$C$18*ASSUMPTIONS!$C$22)*(1+H1651)*(1-((1+H1651)/(1+I1651))^5)/(I1651-H1651))+((ASSUMPTIONS!$C$18*J1651*(1-ASSUMPTIONS!$C$20)+ASSUMPTIONS!$C$18*ASSUMPTIONS!$C$21-ASSUMPTIONS!$C$18*ASSUMPTIONS!$C$22)*(1+H1651)^5*(1+K1651)/(I1651-K1651)/(1+I1651)^5)-DCF!$C$12)/ASSUMPTIONS!$C$7</f>
        <v/>
      </c>
    </row>
    <row r="1652">
      <c r="H1652" s="83">
        <f>_xlfn.NORM.INV(RAND(),AVERAGE(ASSUMPTIONS!$C$38,ASSUMPTIONS!$C$39,ASSUMPTIONS!$C$40,ASSUMPTIONS!$C$41,ASSUMPTIONS!$C$42),ASSUMPTIONS!$C$68)</f>
        <v/>
      </c>
      <c r="I1652" s="83">
        <f>MAX(_xlfn.NORM.INV(RAND(),DCF!$C$11,ASSUMPTIONS!$C$69),K1652+0.005)</f>
        <v/>
      </c>
      <c r="J1652" s="83">
        <f>_xlfn.NORM.INV(RAND(),ASSUMPTIONS!$C$19,ASSUMPTIONS!$C$70)</f>
        <v/>
      </c>
      <c r="K1652" s="83">
        <f>_xlfn.NORM.INV(RAND(),ASSUMPTIONS!$C$43,ASSUMPTIONS!$C$71)</f>
        <v/>
      </c>
      <c r="L1652" s="84">
        <f>(((ASSUMPTIONS!$C$18*J1652*(1-ASSUMPTIONS!$C$20)+ASSUMPTIONS!$C$18*ASSUMPTIONS!$C$21-ASSUMPTIONS!$C$18*ASSUMPTIONS!$C$22)*(1+H1652)*(1-((1+H1652)/(1+I1652))^5)/(I1652-H1652))+((ASSUMPTIONS!$C$18*J1652*(1-ASSUMPTIONS!$C$20)+ASSUMPTIONS!$C$18*ASSUMPTIONS!$C$21-ASSUMPTIONS!$C$18*ASSUMPTIONS!$C$22)*(1+H1652)^5*(1+K1652)/(I1652-K1652)/(1+I1652)^5)-DCF!$C$12)/ASSUMPTIONS!$C$7</f>
        <v/>
      </c>
    </row>
    <row r="1653">
      <c r="H1653" s="83">
        <f>_xlfn.NORM.INV(RAND(),AVERAGE(ASSUMPTIONS!$C$38,ASSUMPTIONS!$C$39,ASSUMPTIONS!$C$40,ASSUMPTIONS!$C$41,ASSUMPTIONS!$C$42),ASSUMPTIONS!$C$68)</f>
        <v/>
      </c>
      <c r="I1653" s="83">
        <f>MAX(_xlfn.NORM.INV(RAND(),DCF!$C$11,ASSUMPTIONS!$C$69),K1653+0.005)</f>
        <v/>
      </c>
      <c r="J1653" s="83">
        <f>_xlfn.NORM.INV(RAND(),ASSUMPTIONS!$C$19,ASSUMPTIONS!$C$70)</f>
        <v/>
      </c>
      <c r="K1653" s="83">
        <f>_xlfn.NORM.INV(RAND(),ASSUMPTIONS!$C$43,ASSUMPTIONS!$C$71)</f>
        <v/>
      </c>
      <c r="L1653" s="84">
        <f>(((ASSUMPTIONS!$C$18*J1653*(1-ASSUMPTIONS!$C$20)+ASSUMPTIONS!$C$18*ASSUMPTIONS!$C$21-ASSUMPTIONS!$C$18*ASSUMPTIONS!$C$22)*(1+H1653)*(1-((1+H1653)/(1+I1653))^5)/(I1653-H1653))+((ASSUMPTIONS!$C$18*J1653*(1-ASSUMPTIONS!$C$20)+ASSUMPTIONS!$C$18*ASSUMPTIONS!$C$21-ASSUMPTIONS!$C$18*ASSUMPTIONS!$C$22)*(1+H1653)^5*(1+K1653)/(I1653-K1653)/(1+I1653)^5)-DCF!$C$12)/ASSUMPTIONS!$C$7</f>
        <v/>
      </c>
    </row>
    <row r="1654">
      <c r="H1654" s="83">
        <f>_xlfn.NORM.INV(RAND(),AVERAGE(ASSUMPTIONS!$C$38,ASSUMPTIONS!$C$39,ASSUMPTIONS!$C$40,ASSUMPTIONS!$C$41,ASSUMPTIONS!$C$42),ASSUMPTIONS!$C$68)</f>
        <v/>
      </c>
      <c r="I1654" s="83">
        <f>MAX(_xlfn.NORM.INV(RAND(),DCF!$C$11,ASSUMPTIONS!$C$69),K1654+0.005)</f>
        <v/>
      </c>
      <c r="J1654" s="83">
        <f>_xlfn.NORM.INV(RAND(),ASSUMPTIONS!$C$19,ASSUMPTIONS!$C$70)</f>
        <v/>
      </c>
      <c r="K1654" s="83">
        <f>_xlfn.NORM.INV(RAND(),ASSUMPTIONS!$C$43,ASSUMPTIONS!$C$71)</f>
        <v/>
      </c>
      <c r="L1654" s="84">
        <f>(((ASSUMPTIONS!$C$18*J1654*(1-ASSUMPTIONS!$C$20)+ASSUMPTIONS!$C$18*ASSUMPTIONS!$C$21-ASSUMPTIONS!$C$18*ASSUMPTIONS!$C$22)*(1+H1654)*(1-((1+H1654)/(1+I1654))^5)/(I1654-H1654))+((ASSUMPTIONS!$C$18*J1654*(1-ASSUMPTIONS!$C$20)+ASSUMPTIONS!$C$18*ASSUMPTIONS!$C$21-ASSUMPTIONS!$C$18*ASSUMPTIONS!$C$22)*(1+H1654)^5*(1+K1654)/(I1654-K1654)/(1+I1654)^5)-DCF!$C$12)/ASSUMPTIONS!$C$7</f>
        <v/>
      </c>
    </row>
    <row r="1655">
      <c r="H1655" s="83">
        <f>_xlfn.NORM.INV(RAND(),AVERAGE(ASSUMPTIONS!$C$38,ASSUMPTIONS!$C$39,ASSUMPTIONS!$C$40,ASSUMPTIONS!$C$41,ASSUMPTIONS!$C$42),ASSUMPTIONS!$C$68)</f>
        <v/>
      </c>
      <c r="I1655" s="83">
        <f>MAX(_xlfn.NORM.INV(RAND(),DCF!$C$11,ASSUMPTIONS!$C$69),K1655+0.005)</f>
        <v/>
      </c>
      <c r="J1655" s="83">
        <f>_xlfn.NORM.INV(RAND(),ASSUMPTIONS!$C$19,ASSUMPTIONS!$C$70)</f>
        <v/>
      </c>
      <c r="K1655" s="83">
        <f>_xlfn.NORM.INV(RAND(),ASSUMPTIONS!$C$43,ASSUMPTIONS!$C$71)</f>
        <v/>
      </c>
      <c r="L1655" s="84">
        <f>(((ASSUMPTIONS!$C$18*J1655*(1-ASSUMPTIONS!$C$20)+ASSUMPTIONS!$C$18*ASSUMPTIONS!$C$21-ASSUMPTIONS!$C$18*ASSUMPTIONS!$C$22)*(1+H1655)*(1-((1+H1655)/(1+I1655))^5)/(I1655-H1655))+((ASSUMPTIONS!$C$18*J1655*(1-ASSUMPTIONS!$C$20)+ASSUMPTIONS!$C$18*ASSUMPTIONS!$C$21-ASSUMPTIONS!$C$18*ASSUMPTIONS!$C$22)*(1+H1655)^5*(1+K1655)/(I1655-K1655)/(1+I1655)^5)-DCF!$C$12)/ASSUMPTIONS!$C$7</f>
        <v/>
      </c>
    </row>
    <row r="1656">
      <c r="H1656" s="83">
        <f>_xlfn.NORM.INV(RAND(),AVERAGE(ASSUMPTIONS!$C$38,ASSUMPTIONS!$C$39,ASSUMPTIONS!$C$40,ASSUMPTIONS!$C$41,ASSUMPTIONS!$C$42),ASSUMPTIONS!$C$68)</f>
        <v/>
      </c>
      <c r="I1656" s="83">
        <f>MAX(_xlfn.NORM.INV(RAND(),DCF!$C$11,ASSUMPTIONS!$C$69),K1656+0.005)</f>
        <v/>
      </c>
      <c r="J1656" s="83">
        <f>_xlfn.NORM.INV(RAND(),ASSUMPTIONS!$C$19,ASSUMPTIONS!$C$70)</f>
        <v/>
      </c>
      <c r="K1656" s="83">
        <f>_xlfn.NORM.INV(RAND(),ASSUMPTIONS!$C$43,ASSUMPTIONS!$C$71)</f>
        <v/>
      </c>
      <c r="L1656" s="84">
        <f>(((ASSUMPTIONS!$C$18*J1656*(1-ASSUMPTIONS!$C$20)+ASSUMPTIONS!$C$18*ASSUMPTIONS!$C$21-ASSUMPTIONS!$C$18*ASSUMPTIONS!$C$22)*(1+H1656)*(1-((1+H1656)/(1+I1656))^5)/(I1656-H1656))+((ASSUMPTIONS!$C$18*J1656*(1-ASSUMPTIONS!$C$20)+ASSUMPTIONS!$C$18*ASSUMPTIONS!$C$21-ASSUMPTIONS!$C$18*ASSUMPTIONS!$C$22)*(1+H1656)^5*(1+K1656)/(I1656-K1656)/(1+I1656)^5)-DCF!$C$12)/ASSUMPTIONS!$C$7</f>
        <v/>
      </c>
    </row>
    <row r="1657">
      <c r="H1657" s="83">
        <f>_xlfn.NORM.INV(RAND(),AVERAGE(ASSUMPTIONS!$C$38,ASSUMPTIONS!$C$39,ASSUMPTIONS!$C$40,ASSUMPTIONS!$C$41,ASSUMPTIONS!$C$42),ASSUMPTIONS!$C$68)</f>
        <v/>
      </c>
      <c r="I1657" s="83">
        <f>MAX(_xlfn.NORM.INV(RAND(),DCF!$C$11,ASSUMPTIONS!$C$69),K1657+0.005)</f>
        <v/>
      </c>
      <c r="J1657" s="83">
        <f>_xlfn.NORM.INV(RAND(),ASSUMPTIONS!$C$19,ASSUMPTIONS!$C$70)</f>
        <v/>
      </c>
      <c r="K1657" s="83">
        <f>_xlfn.NORM.INV(RAND(),ASSUMPTIONS!$C$43,ASSUMPTIONS!$C$71)</f>
        <v/>
      </c>
      <c r="L1657" s="84">
        <f>(((ASSUMPTIONS!$C$18*J1657*(1-ASSUMPTIONS!$C$20)+ASSUMPTIONS!$C$18*ASSUMPTIONS!$C$21-ASSUMPTIONS!$C$18*ASSUMPTIONS!$C$22)*(1+H1657)*(1-((1+H1657)/(1+I1657))^5)/(I1657-H1657))+((ASSUMPTIONS!$C$18*J1657*(1-ASSUMPTIONS!$C$20)+ASSUMPTIONS!$C$18*ASSUMPTIONS!$C$21-ASSUMPTIONS!$C$18*ASSUMPTIONS!$C$22)*(1+H1657)^5*(1+K1657)/(I1657-K1657)/(1+I1657)^5)-DCF!$C$12)/ASSUMPTIONS!$C$7</f>
        <v/>
      </c>
    </row>
    <row r="1658">
      <c r="H1658" s="83">
        <f>_xlfn.NORM.INV(RAND(),AVERAGE(ASSUMPTIONS!$C$38,ASSUMPTIONS!$C$39,ASSUMPTIONS!$C$40,ASSUMPTIONS!$C$41,ASSUMPTIONS!$C$42),ASSUMPTIONS!$C$68)</f>
        <v/>
      </c>
      <c r="I1658" s="83">
        <f>MAX(_xlfn.NORM.INV(RAND(),DCF!$C$11,ASSUMPTIONS!$C$69),K1658+0.005)</f>
        <v/>
      </c>
      <c r="J1658" s="83">
        <f>_xlfn.NORM.INV(RAND(),ASSUMPTIONS!$C$19,ASSUMPTIONS!$C$70)</f>
        <v/>
      </c>
      <c r="K1658" s="83">
        <f>_xlfn.NORM.INV(RAND(),ASSUMPTIONS!$C$43,ASSUMPTIONS!$C$71)</f>
        <v/>
      </c>
      <c r="L1658" s="84">
        <f>(((ASSUMPTIONS!$C$18*J1658*(1-ASSUMPTIONS!$C$20)+ASSUMPTIONS!$C$18*ASSUMPTIONS!$C$21-ASSUMPTIONS!$C$18*ASSUMPTIONS!$C$22)*(1+H1658)*(1-((1+H1658)/(1+I1658))^5)/(I1658-H1658))+((ASSUMPTIONS!$C$18*J1658*(1-ASSUMPTIONS!$C$20)+ASSUMPTIONS!$C$18*ASSUMPTIONS!$C$21-ASSUMPTIONS!$C$18*ASSUMPTIONS!$C$22)*(1+H1658)^5*(1+K1658)/(I1658-K1658)/(1+I1658)^5)-DCF!$C$12)/ASSUMPTIONS!$C$7</f>
        <v/>
      </c>
    </row>
    <row r="1659">
      <c r="H1659" s="83">
        <f>_xlfn.NORM.INV(RAND(),AVERAGE(ASSUMPTIONS!$C$38,ASSUMPTIONS!$C$39,ASSUMPTIONS!$C$40,ASSUMPTIONS!$C$41,ASSUMPTIONS!$C$42),ASSUMPTIONS!$C$68)</f>
        <v/>
      </c>
      <c r="I1659" s="83">
        <f>MAX(_xlfn.NORM.INV(RAND(),DCF!$C$11,ASSUMPTIONS!$C$69),K1659+0.005)</f>
        <v/>
      </c>
      <c r="J1659" s="83">
        <f>_xlfn.NORM.INV(RAND(),ASSUMPTIONS!$C$19,ASSUMPTIONS!$C$70)</f>
        <v/>
      </c>
      <c r="K1659" s="83">
        <f>_xlfn.NORM.INV(RAND(),ASSUMPTIONS!$C$43,ASSUMPTIONS!$C$71)</f>
        <v/>
      </c>
      <c r="L1659" s="84">
        <f>(((ASSUMPTIONS!$C$18*J1659*(1-ASSUMPTIONS!$C$20)+ASSUMPTIONS!$C$18*ASSUMPTIONS!$C$21-ASSUMPTIONS!$C$18*ASSUMPTIONS!$C$22)*(1+H1659)*(1-((1+H1659)/(1+I1659))^5)/(I1659-H1659))+((ASSUMPTIONS!$C$18*J1659*(1-ASSUMPTIONS!$C$20)+ASSUMPTIONS!$C$18*ASSUMPTIONS!$C$21-ASSUMPTIONS!$C$18*ASSUMPTIONS!$C$22)*(1+H1659)^5*(1+K1659)/(I1659-K1659)/(1+I1659)^5)-DCF!$C$12)/ASSUMPTIONS!$C$7</f>
        <v/>
      </c>
    </row>
    <row r="1660">
      <c r="H1660" s="83">
        <f>_xlfn.NORM.INV(RAND(),AVERAGE(ASSUMPTIONS!$C$38,ASSUMPTIONS!$C$39,ASSUMPTIONS!$C$40,ASSUMPTIONS!$C$41,ASSUMPTIONS!$C$42),ASSUMPTIONS!$C$68)</f>
        <v/>
      </c>
      <c r="I1660" s="83">
        <f>MAX(_xlfn.NORM.INV(RAND(),DCF!$C$11,ASSUMPTIONS!$C$69),K1660+0.005)</f>
        <v/>
      </c>
      <c r="J1660" s="83">
        <f>_xlfn.NORM.INV(RAND(),ASSUMPTIONS!$C$19,ASSUMPTIONS!$C$70)</f>
        <v/>
      </c>
      <c r="K1660" s="83">
        <f>_xlfn.NORM.INV(RAND(),ASSUMPTIONS!$C$43,ASSUMPTIONS!$C$71)</f>
        <v/>
      </c>
      <c r="L1660" s="84">
        <f>(((ASSUMPTIONS!$C$18*J1660*(1-ASSUMPTIONS!$C$20)+ASSUMPTIONS!$C$18*ASSUMPTIONS!$C$21-ASSUMPTIONS!$C$18*ASSUMPTIONS!$C$22)*(1+H1660)*(1-((1+H1660)/(1+I1660))^5)/(I1660-H1660))+((ASSUMPTIONS!$C$18*J1660*(1-ASSUMPTIONS!$C$20)+ASSUMPTIONS!$C$18*ASSUMPTIONS!$C$21-ASSUMPTIONS!$C$18*ASSUMPTIONS!$C$22)*(1+H1660)^5*(1+K1660)/(I1660-K1660)/(1+I1660)^5)-DCF!$C$12)/ASSUMPTIONS!$C$7</f>
        <v/>
      </c>
    </row>
    <row r="1661">
      <c r="H1661" s="83">
        <f>_xlfn.NORM.INV(RAND(),AVERAGE(ASSUMPTIONS!$C$38,ASSUMPTIONS!$C$39,ASSUMPTIONS!$C$40,ASSUMPTIONS!$C$41,ASSUMPTIONS!$C$42),ASSUMPTIONS!$C$68)</f>
        <v/>
      </c>
      <c r="I1661" s="83">
        <f>MAX(_xlfn.NORM.INV(RAND(),DCF!$C$11,ASSUMPTIONS!$C$69),K1661+0.005)</f>
        <v/>
      </c>
      <c r="J1661" s="83">
        <f>_xlfn.NORM.INV(RAND(),ASSUMPTIONS!$C$19,ASSUMPTIONS!$C$70)</f>
        <v/>
      </c>
      <c r="K1661" s="83">
        <f>_xlfn.NORM.INV(RAND(),ASSUMPTIONS!$C$43,ASSUMPTIONS!$C$71)</f>
        <v/>
      </c>
      <c r="L1661" s="84">
        <f>(((ASSUMPTIONS!$C$18*J1661*(1-ASSUMPTIONS!$C$20)+ASSUMPTIONS!$C$18*ASSUMPTIONS!$C$21-ASSUMPTIONS!$C$18*ASSUMPTIONS!$C$22)*(1+H1661)*(1-((1+H1661)/(1+I1661))^5)/(I1661-H1661))+((ASSUMPTIONS!$C$18*J1661*(1-ASSUMPTIONS!$C$20)+ASSUMPTIONS!$C$18*ASSUMPTIONS!$C$21-ASSUMPTIONS!$C$18*ASSUMPTIONS!$C$22)*(1+H1661)^5*(1+K1661)/(I1661-K1661)/(1+I1661)^5)-DCF!$C$12)/ASSUMPTIONS!$C$7</f>
        <v/>
      </c>
    </row>
    <row r="1662">
      <c r="H1662" s="83">
        <f>_xlfn.NORM.INV(RAND(),AVERAGE(ASSUMPTIONS!$C$38,ASSUMPTIONS!$C$39,ASSUMPTIONS!$C$40,ASSUMPTIONS!$C$41,ASSUMPTIONS!$C$42),ASSUMPTIONS!$C$68)</f>
        <v/>
      </c>
      <c r="I1662" s="83">
        <f>MAX(_xlfn.NORM.INV(RAND(),DCF!$C$11,ASSUMPTIONS!$C$69),K1662+0.005)</f>
        <v/>
      </c>
      <c r="J1662" s="83">
        <f>_xlfn.NORM.INV(RAND(),ASSUMPTIONS!$C$19,ASSUMPTIONS!$C$70)</f>
        <v/>
      </c>
      <c r="K1662" s="83">
        <f>_xlfn.NORM.INV(RAND(),ASSUMPTIONS!$C$43,ASSUMPTIONS!$C$71)</f>
        <v/>
      </c>
      <c r="L1662" s="84">
        <f>(((ASSUMPTIONS!$C$18*J1662*(1-ASSUMPTIONS!$C$20)+ASSUMPTIONS!$C$18*ASSUMPTIONS!$C$21-ASSUMPTIONS!$C$18*ASSUMPTIONS!$C$22)*(1+H1662)*(1-((1+H1662)/(1+I1662))^5)/(I1662-H1662))+((ASSUMPTIONS!$C$18*J1662*(1-ASSUMPTIONS!$C$20)+ASSUMPTIONS!$C$18*ASSUMPTIONS!$C$21-ASSUMPTIONS!$C$18*ASSUMPTIONS!$C$22)*(1+H1662)^5*(1+K1662)/(I1662-K1662)/(1+I1662)^5)-DCF!$C$12)/ASSUMPTIONS!$C$7</f>
        <v/>
      </c>
    </row>
    <row r="1663">
      <c r="H1663" s="83">
        <f>_xlfn.NORM.INV(RAND(),AVERAGE(ASSUMPTIONS!$C$38,ASSUMPTIONS!$C$39,ASSUMPTIONS!$C$40,ASSUMPTIONS!$C$41,ASSUMPTIONS!$C$42),ASSUMPTIONS!$C$68)</f>
        <v/>
      </c>
      <c r="I1663" s="83">
        <f>MAX(_xlfn.NORM.INV(RAND(),DCF!$C$11,ASSUMPTIONS!$C$69),K1663+0.005)</f>
        <v/>
      </c>
      <c r="J1663" s="83">
        <f>_xlfn.NORM.INV(RAND(),ASSUMPTIONS!$C$19,ASSUMPTIONS!$C$70)</f>
        <v/>
      </c>
      <c r="K1663" s="83">
        <f>_xlfn.NORM.INV(RAND(),ASSUMPTIONS!$C$43,ASSUMPTIONS!$C$71)</f>
        <v/>
      </c>
      <c r="L1663" s="84">
        <f>(((ASSUMPTIONS!$C$18*J1663*(1-ASSUMPTIONS!$C$20)+ASSUMPTIONS!$C$18*ASSUMPTIONS!$C$21-ASSUMPTIONS!$C$18*ASSUMPTIONS!$C$22)*(1+H1663)*(1-((1+H1663)/(1+I1663))^5)/(I1663-H1663))+((ASSUMPTIONS!$C$18*J1663*(1-ASSUMPTIONS!$C$20)+ASSUMPTIONS!$C$18*ASSUMPTIONS!$C$21-ASSUMPTIONS!$C$18*ASSUMPTIONS!$C$22)*(1+H1663)^5*(1+K1663)/(I1663-K1663)/(1+I1663)^5)-DCF!$C$12)/ASSUMPTIONS!$C$7</f>
        <v/>
      </c>
    </row>
    <row r="1664">
      <c r="H1664" s="83">
        <f>_xlfn.NORM.INV(RAND(),AVERAGE(ASSUMPTIONS!$C$38,ASSUMPTIONS!$C$39,ASSUMPTIONS!$C$40,ASSUMPTIONS!$C$41,ASSUMPTIONS!$C$42),ASSUMPTIONS!$C$68)</f>
        <v/>
      </c>
      <c r="I1664" s="83">
        <f>MAX(_xlfn.NORM.INV(RAND(),DCF!$C$11,ASSUMPTIONS!$C$69),K1664+0.005)</f>
        <v/>
      </c>
      <c r="J1664" s="83">
        <f>_xlfn.NORM.INV(RAND(),ASSUMPTIONS!$C$19,ASSUMPTIONS!$C$70)</f>
        <v/>
      </c>
      <c r="K1664" s="83">
        <f>_xlfn.NORM.INV(RAND(),ASSUMPTIONS!$C$43,ASSUMPTIONS!$C$71)</f>
        <v/>
      </c>
      <c r="L1664" s="84">
        <f>(((ASSUMPTIONS!$C$18*J1664*(1-ASSUMPTIONS!$C$20)+ASSUMPTIONS!$C$18*ASSUMPTIONS!$C$21-ASSUMPTIONS!$C$18*ASSUMPTIONS!$C$22)*(1+H1664)*(1-((1+H1664)/(1+I1664))^5)/(I1664-H1664))+((ASSUMPTIONS!$C$18*J1664*(1-ASSUMPTIONS!$C$20)+ASSUMPTIONS!$C$18*ASSUMPTIONS!$C$21-ASSUMPTIONS!$C$18*ASSUMPTIONS!$C$22)*(1+H1664)^5*(1+K1664)/(I1664-K1664)/(1+I1664)^5)-DCF!$C$12)/ASSUMPTIONS!$C$7</f>
        <v/>
      </c>
    </row>
    <row r="1665">
      <c r="H1665" s="83">
        <f>_xlfn.NORM.INV(RAND(),AVERAGE(ASSUMPTIONS!$C$38,ASSUMPTIONS!$C$39,ASSUMPTIONS!$C$40,ASSUMPTIONS!$C$41,ASSUMPTIONS!$C$42),ASSUMPTIONS!$C$68)</f>
        <v/>
      </c>
      <c r="I1665" s="83">
        <f>MAX(_xlfn.NORM.INV(RAND(),DCF!$C$11,ASSUMPTIONS!$C$69),K1665+0.005)</f>
        <v/>
      </c>
      <c r="J1665" s="83">
        <f>_xlfn.NORM.INV(RAND(),ASSUMPTIONS!$C$19,ASSUMPTIONS!$C$70)</f>
        <v/>
      </c>
      <c r="K1665" s="83">
        <f>_xlfn.NORM.INV(RAND(),ASSUMPTIONS!$C$43,ASSUMPTIONS!$C$71)</f>
        <v/>
      </c>
      <c r="L1665" s="84">
        <f>(((ASSUMPTIONS!$C$18*J1665*(1-ASSUMPTIONS!$C$20)+ASSUMPTIONS!$C$18*ASSUMPTIONS!$C$21-ASSUMPTIONS!$C$18*ASSUMPTIONS!$C$22)*(1+H1665)*(1-((1+H1665)/(1+I1665))^5)/(I1665-H1665))+((ASSUMPTIONS!$C$18*J1665*(1-ASSUMPTIONS!$C$20)+ASSUMPTIONS!$C$18*ASSUMPTIONS!$C$21-ASSUMPTIONS!$C$18*ASSUMPTIONS!$C$22)*(1+H1665)^5*(1+K1665)/(I1665-K1665)/(1+I1665)^5)-DCF!$C$12)/ASSUMPTIONS!$C$7</f>
        <v/>
      </c>
    </row>
    <row r="1666">
      <c r="H1666" s="83">
        <f>_xlfn.NORM.INV(RAND(),AVERAGE(ASSUMPTIONS!$C$38,ASSUMPTIONS!$C$39,ASSUMPTIONS!$C$40,ASSUMPTIONS!$C$41,ASSUMPTIONS!$C$42),ASSUMPTIONS!$C$68)</f>
        <v/>
      </c>
      <c r="I1666" s="83">
        <f>MAX(_xlfn.NORM.INV(RAND(),DCF!$C$11,ASSUMPTIONS!$C$69),K1666+0.005)</f>
        <v/>
      </c>
      <c r="J1666" s="83">
        <f>_xlfn.NORM.INV(RAND(),ASSUMPTIONS!$C$19,ASSUMPTIONS!$C$70)</f>
        <v/>
      </c>
      <c r="K1666" s="83">
        <f>_xlfn.NORM.INV(RAND(),ASSUMPTIONS!$C$43,ASSUMPTIONS!$C$71)</f>
        <v/>
      </c>
      <c r="L1666" s="84">
        <f>(((ASSUMPTIONS!$C$18*J1666*(1-ASSUMPTIONS!$C$20)+ASSUMPTIONS!$C$18*ASSUMPTIONS!$C$21-ASSUMPTIONS!$C$18*ASSUMPTIONS!$C$22)*(1+H1666)*(1-((1+H1666)/(1+I1666))^5)/(I1666-H1666))+((ASSUMPTIONS!$C$18*J1666*(1-ASSUMPTIONS!$C$20)+ASSUMPTIONS!$C$18*ASSUMPTIONS!$C$21-ASSUMPTIONS!$C$18*ASSUMPTIONS!$C$22)*(1+H1666)^5*(1+K1666)/(I1666-K1666)/(1+I1666)^5)-DCF!$C$12)/ASSUMPTIONS!$C$7</f>
        <v/>
      </c>
    </row>
    <row r="1667">
      <c r="H1667" s="83">
        <f>_xlfn.NORM.INV(RAND(),AVERAGE(ASSUMPTIONS!$C$38,ASSUMPTIONS!$C$39,ASSUMPTIONS!$C$40,ASSUMPTIONS!$C$41,ASSUMPTIONS!$C$42),ASSUMPTIONS!$C$68)</f>
        <v/>
      </c>
      <c r="I1667" s="83">
        <f>MAX(_xlfn.NORM.INV(RAND(),DCF!$C$11,ASSUMPTIONS!$C$69),K1667+0.005)</f>
        <v/>
      </c>
      <c r="J1667" s="83">
        <f>_xlfn.NORM.INV(RAND(),ASSUMPTIONS!$C$19,ASSUMPTIONS!$C$70)</f>
        <v/>
      </c>
      <c r="K1667" s="83">
        <f>_xlfn.NORM.INV(RAND(),ASSUMPTIONS!$C$43,ASSUMPTIONS!$C$71)</f>
        <v/>
      </c>
      <c r="L1667" s="84">
        <f>(((ASSUMPTIONS!$C$18*J1667*(1-ASSUMPTIONS!$C$20)+ASSUMPTIONS!$C$18*ASSUMPTIONS!$C$21-ASSUMPTIONS!$C$18*ASSUMPTIONS!$C$22)*(1+H1667)*(1-((1+H1667)/(1+I1667))^5)/(I1667-H1667))+((ASSUMPTIONS!$C$18*J1667*(1-ASSUMPTIONS!$C$20)+ASSUMPTIONS!$C$18*ASSUMPTIONS!$C$21-ASSUMPTIONS!$C$18*ASSUMPTIONS!$C$22)*(1+H1667)^5*(1+K1667)/(I1667-K1667)/(1+I1667)^5)-DCF!$C$12)/ASSUMPTIONS!$C$7</f>
        <v/>
      </c>
    </row>
    <row r="1668">
      <c r="H1668" s="83">
        <f>_xlfn.NORM.INV(RAND(),AVERAGE(ASSUMPTIONS!$C$38,ASSUMPTIONS!$C$39,ASSUMPTIONS!$C$40,ASSUMPTIONS!$C$41,ASSUMPTIONS!$C$42),ASSUMPTIONS!$C$68)</f>
        <v/>
      </c>
      <c r="I1668" s="83">
        <f>MAX(_xlfn.NORM.INV(RAND(),DCF!$C$11,ASSUMPTIONS!$C$69),K1668+0.005)</f>
        <v/>
      </c>
      <c r="J1668" s="83">
        <f>_xlfn.NORM.INV(RAND(),ASSUMPTIONS!$C$19,ASSUMPTIONS!$C$70)</f>
        <v/>
      </c>
      <c r="K1668" s="83">
        <f>_xlfn.NORM.INV(RAND(),ASSUMPTIONS!$C$43,ASSUMPTIONS!$C$71)</f>
        <v/>
      </c>
      <c r="L1668" s="84">
        <f>(((ASSUMPTIONS!$C$18*J1668*(1-ASSUMPTIONS!$C$20)+ASSUMPTIONS!$C$18*ASSUMPTIONS!$C$21-ASSUMPTIONS!$C$18*ASSUMPTIONS!$C$22)*(1+H1668)*(1-((1+H1668)/(1+I1668))^5)/(I1668-H1668))+((ASSUMPTIONS!$C$18*J1668*(1-ASSUMPTIONS!$C$20)+ASSUMPTIONS!$C$18*ASSUMPTIONS!$C$21-ASSUMPTIONS!$C$18*ASSUMPTIONS!$C$22)*(1+H1668)^5*(1+K1668)/(I1668-K1668)/(1+I1668)^5)-DCF!$C$12)/ASSUMPTIONS!$C$7</f>
        <v/>
      </c>
    </row>
    <row r="1669">
      <c r="H1669" s="83">
        <f>_xlfn.NORM.INV(RAND(),AVERAGE(ASSUMPTIONS!$C$38,ASSUMPTIONS!$C$39,ASSUMPTIONS!$C$40,ASSUMPTIONS!$C$41,ASSUMPTIONS!$C$42),ASSUMPTIONS!$C$68)</f>
        <v/>
      </c>
      <c r="I1669" s="83">
        <f>MAX(_xlfn.NORM.INV(RAND(),DCF!$C$11,ASSUMPTIONS!$C$69),K1669+0.005)</f>
        <v/>
      </c>
      <c r="J1669" s="83">
        <f>_xlfn.NORM.INV(RAND(),ASSUMPTIONS!$C$19,ASSUMPTIONS!$C$70)</f>
        <v/>
      </c>
      <c r="K1669" s="83">
        <f>_xlfn.NORM.INV(RAND(),ASSUMPTIONS!$C$43,ASSUMPTIONS!$C$71)</f>
        <v/>
      </c>
      <c r="L1669" s="84">
        <f>(((ASSUMPTIONS!$C$18*J1669*(1-ASSUMPTIONS!$C$20)+ASSUMPTIONS!$C$18*ASSUMPTIONS!$C$21-ASSUMPTIONS!$C$18*ASSUMPTIONS!$C$22)*(1+H1669)*(1-((1+H1669)/(1+I1669))^5)/(I1669-H1669))+((ASSUMPTIONS!$C$18*J1669*(1-ASSUMPTIONS!$C$20)+ASSUMPTIONS!$C$18*ASSUMPTIONS!$C$21-ASSUMPTIONS!$C$18*ASSUMPTIONS!$C$22)*(1+H1669)^5*(1+K1669)/(I1669-K1669)/(1+I1669)^5)-DCF!$C$12)/ASSUMPTIONS!$C$7</f>
        <v/>
      </c>
    </row>
    <row r="1670">
      <c r="H1670" s="83">
        <f>_xlfn.NORM.INV(RAND(),AVERAGE(ASSUMPTIONS!$C$38,ASSUMPTIONS!$C$39,ASSUMPTIONS!$C$40,ASSUMPTIONS!$C$41,ASSUMPTIONS!$C$42),ASSUMPTIONS!$C$68)</f>
        <v/>
      </c>
      <c r="I1670" s="83">
        <f>MAX(_xlfn.NORM.INV(RAND(),DCF!$C$11,ASSUMPTIONS!$C$69),K1670+0.005)</f>
        <v/>
      </c>
      <c r="J1670" s="83">
        <f>_xlfn.NORM.INV(RAND(),ASSUMPTIONS!$C$19,ASSUMPTIONS!$C$70)</f>
        <v/>
      </c>
      <c r="K1670" s="83">
        <f>_xlfn.NORM.INV(RAND(),ASSUMPTIONS!$C$43,ASSUMPTIONS!$C$71)</f>
        <v/>
      </c>
      <c r="L1670" s="84">
        <f>(((ASSUMPTIONS!$C$18*J1670*(1-ASSUMPTIONS!$C$20)+ASSUMPTIONS!$C$18*ASSUMPTIONS!$C$21-ASSUMPTIONS!$C$18*ASSUMPTIONS!$C$22)*(1+H1670)*(1-((1+H1670)/(1+I1670))^5)/(I1670-H1670))+((ASSUMPTIONS!$C$18*J1670*(1-ASSUMPTIONS!$C$20)+ASSUMPTIONS!$C$18*ASSUMPTIONS!$C$21-ASSUMPTIONS!$C$18*ASSUMPTIONS!$C$22)*(1+H1670)^5*(1+K1670)/(I1670-K1670)/(1+I1670)^5)-DCF!$C$12)/ASSUMPTIONS!$C$7</f>
        <v/>
      </c>
    </row>
    <row r="1671">
      <c r="H1671" s="83">
        <f>_xlfn.NORM.INV(RAND(),AVERAGE(ASSUMPTIONS!$C$38,ASSUMPTIONS!$C$39,ASSUMPTIONS!$C$40,ASSUMPTIONS!$C$41,ASSUMPTIONS!$C$42),ASSUMPTIONS!$C$68)</f>
        <v/>
      </c>
      <c r="I1671" s="83">
        <f>MAX(_xlfn.NORM.INV(RAND(),DCF!$C$11,ASSUMPTIONS!$C$69),K1671+0.005)</f>
        <v/>
      </c>
      <c r="J1671" s="83">
        <f>_xlfn.NORM.INV(RAND(),ASSUMPTIONS!$C$19,ASSUMPTIONS!$C$70)</f>
        <v/>
      </c>
      <c r="K1671" s="83">
        <f>_xlfn.NORM.INV(RAND(),ASSUMPTIONS!$C$43,ASSUMPTIONS!$C$71)</f>
        <v/>
      </c>
      <c r="L1671" s="84">
        <f>(((ASSUMPTIONS!$C$18*J1671*(1-ASSUMPTIONS!$C$20)+ASSUMPTIONS!$C$18*ASSUMPTIONS!$C$21-ASSUMPTIONS!$C$18*ASSUMPTIONS!$C$22)*(1+H1671)*(1-((1+H1671)/(1+I1671))^5)/(I1671-H1671))+((ASSUMPTIONS!$C$18*J1671*(1-ASSUMPTIONS!$C$20)+ASSUMPTIONS!$C$18*ASSUMPTIONS!$C$21-ASSUMPTIONS!$C$18*ASSUMPTIONS!$C$22)*(1+H1671)^5*(1+K1671)/(I1671-K1671)/(1+I1671)^5)-DCF!$C$12)/ASSUMPTIONS!$C$7</f>
        <v/>
      </c>
    </row>
    <row r="1672">
      <c r="H1672" s="83">
        <f>_xlfn.NORM.INV(RAND(),AVERAGE(ASSUMPTIONS!$C$38,ASSUMPTIONS!$C$39,ASSUMPTIONS!$C$40,ASSUMPTIONS!$C$41,ASSUMPTIONS!$C$42),ASSUMPTIONS!$C$68)</f>
        <v/>
      </c>
      <c r="I1672" s="83">
        <f>MAX(_xlfn.NORM.INV(RAND(),DCF!$C$11,ASSUMPTIONS!$C$69),K1672+0.005)</f>
        <v/>
      </c>
      <c r="J1672" s="83">
        <f>_xlfn.NORM.INV(RAND(),ASSUMPTIONS!$C$19,ASSUMPTIONS!$C$70)</f>
        <v/>
      </c>
      <c r="K1672" s="83">
        <f>_xlfn.NORM.INV(RAND(),ASSUMPTIONS!$C$43,ASSUMPTIONS!$C$71)</f>
        <v/>
      </c>
      <c r="L1672" s="84">
        <f>(((ASSUMPTIONS!$C$18*J1672*(1-ASSUMPTIONS!$C$20)+ASSUMPTIONS!$C$18*ASSUMPTIONS!$C$21-ASSUMPTIONS!$C$18*ASSUMPTIONS!$C$22)*(1+H1672)*(1-((1+H1672)/(1+I1672))^5)/(I1672-H1672))+((ASSUMPTIONS!$C$18*J1672*(1-ASSUMPTIONS!$C$20)+ASSUMPTIONS!$C$18*ASSUMPTIONS!$C$21-ASSUMPTIONS!$C$18*ASSUMPTIONS!$C$22)*(1+H1672)^5*(1+K1672)/(I1672-K1672)/(1+I1672)^5)-DCF!$C$12)/ASSUMPTIONS!$C$7</f>
        <v/>
      </c>
    </row>
    <row r="1673">
      <c r="H1673" s="83">
        <f>_xlfn.NORM.INV(RAND(),AVERAGE(ASSUMPTIONS!$C$38,ASSUMPTIONS!$C$39,ASSUMPTIONS!$C$40,ASSUMPTIONS!$C$41,ASSUMPTIONS!$C$42),ASSUMPTIONS!$C$68)</f>
        <v/>
      </c>
      <c r="I1673" s="83">
        <f>MAX(_xlfn.NORM.INV(RAND(),DCF!$C$11,ASSUMPTIONS!$C$69),K1673+0.005)</f>
        <v/>
      </c>
      <c r="J1673" s="83">
        <f>_xlfn.NORM.INV(RAND(),ASSUMPTIONS!$C$19,ASSUMPTIONS!$C$70)</f>
        <v/>
      </c>
      <c r="K1673" s="83">
        <f>_xlfn.NORM.INV(RAND(),ASSUMPTIONS!$C$43,ASSUMPTIONS!$C$71)</f>
        <v/>
      </c>
      <c r="L1673" s="84">
        <f>(((ASSUMPTIONS!$C$18*J1673*(1-ASSUMPTIONS!$C$20)+ASSUMPTIONS!$C$18*ASSUMPTIONS!$C$21-ASSUMPTIONS!$C$18*ASSUMPTIONS!$C$22)*(1+H1673)*(1-((1+H1673)/(1+I1673))^5)/(I1673-H1673))+((ASSUMPTIONS!$C$18*J1673*(1-ASSUMPTIONS!$C$20)+ASSUMPTIONS!$C$18*ASSUMPTIONS!$C$21-ASSUMPTIONS!$C$18*ASSUMPTIONS!$C$22)*(1+H1673)^5*(1+K1673)/(I1673-K1673)/(1+I1673)^5)-DCF!$C$12)/ASSUMPTIONS!$C$7</f>
        <v/>
      </c>
    </row>
    <row r="1674">
      <c r="H1674" s="83">
        <f>_xlfn.NORM.INV(RAND(),AVERAGE(ASSUMPTIONS!$C$38,ASSUMPTIONS!$C$39,ASSUMPTIONS!$C$40,ASSUMPTIONS!$C$41,ASSUMPTIONS!$C$42),ASSUMPTIONS!$C$68)</f>
        <v/>
      </c>
      <c r="I1674" s="83">
        <f>MAX(_xlfn.NORM.INV(RAND(),DCF!$C$11,ASSUMPTIONS!$C$69),K1674+0.005)</f>
        <v/>
      </c>
      <c r="J1674" s="83">
        <f>_xlfn.NORM.INV(RAND(),ASSUMPTIONS!$C$19,ASSUMPTIONS!$C$70)</f>
        <v/>
      </c>
      <c r="K1674" s="83">
        <f>_xlfn.NORM.INV(RAND(),ASSUMPTIONS!$C$43,ASSUMPTIONS!$C$71)</f>
        <v/>
      </c>
      <c r="L1674" s="84">
        <f>(((ASSUMPTIONS!$C$18*J1674*(1-ASSUMPTIONS!$C$20)+ASSUMPTIONS!$C$18*ASSUMPTIONS!$C$21-ASSUMPTIONS!$C$18*ASSUMPTIONS!$C$22)*(1+H1674)*(1-((1+H1674)/(1+I1674))^5)/(I1674-H1674))+((ASSUMPTIONS!$C$18*J1674*(1-ASSUMPTIONS!$C$20)+ASSUMPTIONS!$C$18*ASSUMPTIONS!$C$21-ASSUMPTIONS!$C$18*ASSUMPTIONS!$C$22)*(1+H1674)^5*(1+K1674)/(I1674-K1674)/(1+I1674)^5)-DCF!$C$12)/ASSUMPTIONS!$C$7</f>
        <v/>
      </c>
    </row>
    <row r="1675">
      <c r="H1675" s="83">
        <f>_xlfn.NORM.INV(RAND(),AVERAGE(ASSUMPTIONS!$C$38,ASSUMPTIONS!$C$39,ASSUMPTIONS!$C$40,ASSUMPTIONS!$C$41,ASSUMPTIONS!$C$42),ASSUMPTIONS!$C$68)</f>
        <v/>
      </c>
      <c r="I1675" s="83">
        <f>MAX(_xlfn.NORM.INV(RAND(),DCF!$C$11,ASSUMPTIONS!$C$69),K1675+0.005)</f>
        <v/>
      </c>
      <c r="J1675" s="83">
        <f>_xlfn.NORM.INV(RAND(),ASSUMPTIONS!$C$19,ASSUMPTIONS!$C$70)</f>
        <v/>
      </c>
      <c r="K1675" s="83">
        <f>_xlfn.NORM.INV(RAND(),ASSUMPTIONS!$C$43,ASSUMPTIONS!$C$71)</f>
        <v/>
      </c>
      <c r="L1675" s="84">
        <f>(((ASSUMPTIONS!$C$18*J1675*(1-ASSUMPTIONS!$C$20)+ASSUMPTIONS!$C$18*ASSUMPTIONS!$C$21-ASSUMPTIONS!$C$18*ASSUMPTIONS!$C$22)*(1+H1675)*(1-((1+H1675)/(1+I1675))^5)/(I1675-H1675))+((ASSUMPTIONS!$C$18*J1675*(1-ASSUMPTIONS!$C$20)+ASSUMPTIONS!$C$18*ASSUMPTIONS!$C$21-ASSUMPTIONS!$C$18*ASSUMPTIONS!$C$22)*(1+H1675)^5*(1+K1675)/(I1675-K1675)/(1+I1675)^5)-DCF!$C$12)/ASSUMPTIONS!$C$7</f>
        <v/>
      </c>
    </row>
    <row r="1676">
      <c r="H1676" s="83">
        <f>_xlfn.NORM.INV(RAND(),AVERAGE(ASSUMPTIONS!$C$38,ASSUMPTIONS!$C$39,ASSUMPTIONS!$C$40,ASSUMPTIONS!$C$41,ASSUMPTIONS!$C$42),ASSUMPTIONS!$C$68)</f>
        <v/>
      </c>
      <c r="I1676" s="83">
        <f>MAX(_xlfn.NORM.INV(RAND(),DCF!$C$11,ASSUMPTIONS!$C$69),K1676+0.005)</f>
        <v/>
      </c>
      <c r="J1676" s="83">
        <f>_xlfn.NORM.INV(RAND(),ASSUMPTIONS!$C$19,ASSUMPTIONS!$C$70)</f>
        <v/>
      </c>
      <c r="K1676" s="83">
        <f>_xlfn.NORM.INV(RAND(),ASSUMPTIONS!$C$43,ASSUMPTIONS!$C$71)</f>
        <v/>
      </c>
      <c r="L1676" s="84">
        <f>(((ASSUMPTIONS!$C$18*J1676*(1-ASSUMPTIONS!$C$20)+ASSUMPTIONS!$C$18*ASSUMPTIONS!$C$21-ASSUMPTIONS!$C$18*ASSUMPTIONS!$C$22)*(1+H1676)*(1-((1+H1676)/(1+I1676))^5)/(I1676-H1676))+((ASSUMPTIONS!$C$18*J1676*(1-ASSUMPTIONS!$C$20)+ASSUMPTIONS!$C$18*ASSUMPTIONS!$C$21-ASSUMPTIONS!$C$18*ASSUMPTIONS!$C$22)*(1+H1676)^5*(1+K1676)/(I1676-K1676)/(1+I1676)^5)-DCF!$C$12)/ASSUMPTIONS!$C$7</f>
        <v/>
      </c>
    </row>
    <row r="1677">
      <c r="H1677" s="83">
        <f>_xlfn.NORM.INV(RAND(),AVERAGE(ASSUMPTIONS!$C$38,ASSUMPTIONS!$C$39,ASSUMPTIONS!$C$40,ASSUMPTIONS!$C$41,ASSUMPTIONS!$C$42),ASSUMPTIONS!$C$68)</f>
        <v/>
      </c>
      <c r="I1677" s="83">
        <f>MAX(_xlfn.NORM.INV(RAND(),DCF!$C$11,ASSUMPTIONS!$C$69),K1677+0.005)</f>
        <v/>
      </c>
      <c r="J1677" s="83">
        <f>_xlfn.NORM.INV(RAND(),ASSUMPTIONS!$C$19,ASSUMPTIONS!$C$70)</f>
        <v/>
      </c>
      <c r="K1677" s="83">
        <f>_xlfn.NORM.INV(RAND(),ASSUMPTIONS!$C$43,ASSUMPTIONS!$C$71)</f>
        <v/>
      </c>
      <c r="L1677" s="84">
        <f>(((ASSUMPTIONS!$C$18*J1677*(1-ASSUMPTIONS!$C$20)+ASSUMPTIONS!$C$18*ASSUMPTIONS!$C$21-ASSUMPTIONS!$C$18*ASSUMPTIONS!$C$22)*(1+H1677)*(1-((1+H1677)/(1+I1677))^5)/(I1677-H1677))+((ASSUMPTIONS!$C$18*J1677*(1-ASSUMPTIONS!$C$20)+ASSUMPTIONS!$C$18*ASSUMPTIONS!$C$21-ASSUMPTIONS!$C$18*ASSUMPTIONS!$C$22)*(1+H1677)^5*(1+K1677)/(I1677-K1677)/(1+I1677)^5)-DCF!$C$12)/ASSUMPTIONS!$C$7</f>
        <v/>
      </c>
    </row>
    <row r="1678">
      <c r="H1678" s="83">
        <f>_xlfn.NORM.INV(RAND(),AVERAGE(ASSUMPTIONS!$C$38,ASSUMPTIONS!$C$39,ASSUMPTIONS!$C$40,ASSUMPTIONS!$C$41,ASSUMPTIONS!$C$42),ASSUMPTIONS!$C$68)</f>
        <v/>
      </c>
      <c r="I1678" s="83">
        <f>MAX(_xlfn.NORM.INV(RAND(),DCF!$C$11,ASSUMPTIONS!$C$69),K1678+0.005)</f>
        <v/>
      </c>
      <c r="J1678" s="83">
        <f>_xlfn.NORM.INV(RAND(),ASSUMPTIONS!$C$19,ASSUMPTIONS!$C$70)</f>
        <v/>
      </c>
      <c r="K1678" s="83">
        <f>_xlfn.NORM.INV(RAND(),ASSUMPTIONS!$C$43,ASSUMPTIONS!$C$71)</f>
        <v/>
      </c>
      <c r="L1678" s="84">
        <f>(((ASSUMPTIONS!$C$18*J1678*(1-ASSUMPTIONS!$C$20)+ASSUMPTIONS!$C$18*ASSUMPTIONS!$C$21-ASSUMPTIONS!$C$18*ASSUMPTIONS!$C$22)*(1+H1678)*(1-((1+H1678)/(1+I1678))^5)/(I1678-H1678))+((ASSUMPTIONS!$C$18*J1678*(1-ASSUMPTIONS!$C$20)+ASSUMPTIONS!$C$18*ASSUMPTIONS!$C$21-ASSUMPTIONS!$C$18*ASSUMPTIONS!$C$22)*(1+H1678)^5*(1+K1678)/(I1678-K1678)/(1+I1678)^5)-DCF!$C$12)/ASSUMPTIONS!$C$7</f>
        <v/>
      </c>
    </row>
    <row r="1679">
      <c r="H1679" s="83">
        <f>_xlfn.NORM.INV(RAND(),AVERAGE(ASSUMPTIONS!$C$38,ASSUMPTIONS!$C$39,ASSUMPTIONS!$C$40,ASSUMPTIONS!$C$41,ASSUMPTIONS!$C$42),ASSUMPTIONS!$C$68)</f>
        <v/>
      </c>
      <c r="I1679" s="83">
        <f>MAX(_xlfn.NORM.INV(RAND(),DCF!$C$11,ASSUMPTIONS!$C$69),K1679+0.005)</f>
        <v/>
      </c>
      <c r="J1679" s="83">
        <f>_xlfn.NORM.INV(RAND(),ASSUMPTIONS!$C$19,ASSUMPTIONS!$C$70)</f>
        <v/>
      </c>
      <c r="K1679" s="83">
        <f>_xlfn.NORM.INV(RAND(),ASSUMPTIONS!$C$43,ASSUMPTIONS!$C$71)</f>
        <v/>
      </c>
      <c r="L1679" s="84">
        <f>(((ASSUMPTIONS!$C$18*J1679*(1-ASSUMPTIONS!$C$20)+ASSUMPTIONS!$C$18*ASSUMPTIONS!$C$21-ASSUMPTIONS!$C$18*ASSUMPTIONS!$C$22)*(1+H1679)*(1-((1+H1679)/(1+I1679))^5)/(I1679-H1679))+((ASSUMPTIONS!$C$18*J1679*(1-ASSUMPTIONS!$C$20)+ASSUMPTIONS!$C$18*ASSUMPTIONS!$C$21-ASSUMPTIONS!$C$18*ASSUMPTIONS!$C$22)*(1+H1679)^5*(1+K1679)/(I1679-K1679)/(1+I1679)^5)-DCF!$C$12)/ASSUMPTIONS!$C$7</f>
        <v/>
      </c>
    </row>
    <row r="1680">
      <c r="H1680" s="83">
        <f>_xlfn.NORM.INV(RAND(),AVERAGE(ASSUMPTIONS!$C$38,ASSUMPTIONS!$C$39,ASSUMPTIONS!$C$40,ASSUMPTIONS!$C$41,ASSUMPTIONS!$C$42),ASSUMPTIONS!$C$68)</f>
        <v/>
      </c>
      <c r="I1680" s="83">
        <f>MAX(_xlfn.NORM.INV(RAND(),DCF!$C$11,ASSUMPTIONS!$C$69),K1680+0.005)</f>
        <v/>
      </c>
      <c r="J1680" s="83">
        <f>_xlfn.NORM.INV(RAND(),ASSUMPTIONS!$C$19,ASSUMPTIONS!$C$70)</f>
        <v/>
      </c>
      <c r="K1680" s="83">
        <f>_xlfn.NORM.INV(RAND(),ASSUMPTIONS!$C$43,ASSUMPTIONS!$C$71)</f>
        <v/>
      </c>
      <c r="L1680" s="84">
        <f>(((ASSUMPTIONS!$C$18*J1680*(1-ASSUMPTIONS!$C$20)+ASSUMPTIONS!$C$18*ASSUMPTIONS!$C$21-ASSUMPTIONS!$C$18*ASSUMPTIONS!$C$22)*(1+H1680)*(1-((1+H1680)/(1+I1680))^5)/(I1680-H1680))+((ASSUMPTIONS!$C$18*J1680*(1-ASSUMPTIONS!$C$20)+ASSUMPTIONS!$C$18*ASSUMPTIONS!$C$21-ASSUMPTIONS!$C$18*ASSUMPTIONS!$C$22)*(1+H1680)^5*(1+K1680)/(I1680-K1680)/(1+I1680)^5)-DCF!$C$12)/ASSUMPTIONS!$C$7</f>
        <v/>
      </c>
    </row>
    <row r="1681">
      <c r="H1681" s="83">
        <f>_xlfn.NORM.INV(RAND(),AVERAGE(ASSUMPTIONS!$C$38,ASSUMPTIONS!$C$39,ASSUMPTIONS!$C$40,ASSUMPTIONS!$C$41,ASSUMPTIONS!$C$42),ASSUMPTIONS!$C$68)</f>
        <v/>
      </c>
      <c r="I1681" s="83">
        <f>MAX(_xlfn.NORM.INV(RAND(),DCF!$C$11,ASSUMPTIONS!$C$69),K1681+0.005)</f>
        <v/>
      </c>
      <c r="J1681" s="83">
        <f>_xlfn.NORM.INV(RAND(),ASSUMPTIONS!$C$19,ASSUMPTIONS!$C$70)</f>
        <v/>
      </c>
      <c r="K1681" s="83">
        <f>_xlfn.NORM.INV(RAND(),ASSUMPTIONS!$C$43,ASSUMPTIONS!$C$71)</f>
        <v/>
      </c>
      <c r="L1681" s="84">
        <f>(((ASSUMPTIONS!$C$18*J1681*(1-ASSUMPTIONS!$C$20)+ASSUMPTIONS!$C$18*ASSUMPTIONS!$C$21-ASSUMPTIONS!$C$18*ASSUMPTIONS!$C$22)*(1+H1681)*(1-((1+H1681)/(1+I1681))^5)/(I1681-H1681))+((ASSUMPTIONS!$C$18*J1681*(1-ASSUMPTIONS!$C$20)+ASSUMPTIONS!$C$18*ASSUMPTIONS!$C$21-ASSUMPTIONS!$C$18*ASSUMPTIONS!$C$22)*(1+H1681)^5*(1+K1681)/(I1681-K1681)/(1+I1681)^5)-DCF!$C$12)/ASSUMPTIONS!$C$7</f>
        <v/>
      </c>
    </row>
    <row r="1682">
      <c r="H1682" s="83">
        <f>_xlfn.NORM.INV(RAND(),AVERAGE(ASSUMPTIONS!$C$38,ASSUMPTIONS!$C$39,ASSUMPTIONS!$C$40,ASSUMPTIONS!$C$41,ASSUMPTIONS!$C$42),ASSUMPTIONS!$C$68)</f>
        <v/>
      </c>
      <c r="I1682" s="83">
        <f>MAX(_xlfn.NORM.INV(RAND(),DCF!$C$11,ASSUMPTIONS!$C$69),K1682+0.005)</f>
        <v/>
      </c>
      <c r="J1682" s="83">
        <f>_xlfn.NORM.INV(RAND(),ASSUMPTIONS!$C$19,ASSUMPTIONS!$C$70)</f>
        <v/>
      </c>
      <c r="K1682" s="83">
        <f>_xlfn.NORM.INV(RAND(),ASSUMPTIONS!$C$43,ASSUMPTIONS!$C$71)</f>
        <v/>
      </c>
      <c r="L1682" s="84">
        <f>(((ASSUMPTIONS!$C$18*J1682*(1-ASSUMPTIONS!$C$20)+ASSUMPTIONS!$C$18*ASSUMPTIONS!$C$21-ASSUMPTIONS!$C$18*ASSUMPTIONS!$C$22)*(1+H1682)*(1-((1+H1682)/(1+I1682))^5)/(I1682-H1682))+((ASSUMPTIONS!$C$18*J1682*(1-ASSUMPTIONS!$C$20)+ASSUMPTIONS!$C$18*ASSUMPTIONS!$C$21-ASSUMPTIONS!$C$18*ASSUMPTIONS!$C$22)*(1+H1682)^5*(1+K1682)/(I1682-K1682)/(1+I1682)^5)-DCF!$C$12)/ASSUMPTIONS!$C$7</f>
        <v/>
      </c>
    </row>
    <row r="1683">
      <c r="H1683" s="83">
        <f>_xlfn.NORM.INV(RAND(),AVERAGE(ASSUMPTIONS!$C$38,ASSUMPTIONS!$C$39,ASSUMPTIONS!$C$40,ASSUMPTIONS!$C$41,ASSUMPTIONS!$C$42),ASSUMPTIONS!$C$68)</f>
        <v/>
      </c>
      <c r="I1683" s="83">
        <f>MAX(_xlfn.NORM.INV(RAND(),DCF!$C$11,ASSUMPTIONS!$C$69),K1683+0.005)</f>
        <v/>
      </c>
      <c r="J1683" s="83">
        <f>_xlfn.NORM.INV(RAND(),ASSUMPTIONS!$C$19,ASSUMPTIONS!$C$70)</f>
        <v/>
      </c>
      <c r="K1683" s="83">
        <f>_xlfn.NORM.INV(RAND(),ASSUMPTIONS!$C$43,ASSUMPTIONS!$C$71)</f>
        <v/>
      </c>
      <c r="L1683" s="84">
        <f>(((ASSUMPTIONS!$C$18*J1683*(1-ASSUMPTIONS!$C$20)+ASSUMPTIONS!$C$18*ASSUMPTIONS!$C$21-ASSUMPTIONS!$C$18*ASSUMPTIONS!$C$22)*(1+H1683)*(1-((1+H1683)/(1+I1683))^5)/(I1683-H1683))+((ASSUMPTIONS!$C$18*J1683*(1-ASSUMPTIONS!$C$20)+ASSUMPTIONS!$C$18*ASSUMPTIONS!$C$21-ASSUMPTIONS!$C$18*ASSUMPTIONS!$C$22)*(1+H1683)^5*(1+K1683)/(I1683-K1683)/(1+I1683)^5)-DCF!$C$12)/ASSUMPTIONS!$C$7</f>
        <v/>
      </c>
    </row>
    <row r="1684">
      <c r="H1684" s="83">
        <f>_xlfn.NORM.INV(RAND(),AVERAGE(ASSUMPTIONS!$C$38,ASSUMPTIONS!$C$39,ASSUMPTIONS!$C$40,ASSUMPTIONS!$C$41,ASSUMPTIONS!$C$42),ASSUMPTIONS!$C$68)</f>
        <v/>
      </c>
      <c r="I1684" s="83">
        <f>MAX(_xlfn.NORM.INV(RAND(),DCF!$C$11,ASSUMPTIONS!$C$69),K1684+0.005)</f>
        <v/>
      </c>
      <c r="J1684" s="83">
        <f>_xlfn.NORM.INV(RAND(),ASSUMPTIONS!$C$19,ASSUMPTIONS!$C$70)</f>
        <v/>
      </c>
      <c r="K1684" s="83">
        <f>_xlfn.NORM.INV(RAND(),ASSUMPTIONS!$C$43,ASSUMPTIONS!$C$71)</f>
        <v/>
      </c>
      <c r="L1684" s="84">
        <f>(((ASSUMPTIONS!$C$18*J1684*(1-ASSUMPTIONS!$C$20)+ASSUMPTIONS!$C$18*ASSUMPTIONS!$C$21-ASSUMPTIONS!$C$18*ASSUMPTIONS!$C$22)*(1+H1684)*(1-((1+H1684)/(1+I1684))^5)/(I1684-H1684))+((ASSUMPTIONS!$C$18*J1684*(1-ASSUMPTIONS!$C$20)+ASSUMPTIONS!$C$18*ASSUMPTIONS!$C$21-ASSUMPTIONS!$C$18*ASSUMPTIONS!$C$22)*(1+H1684)^5*(1+K1684)/(I1684-K1684)/(1+I1684)^5)-DCF!$C$12)/ASSUMPTIONS!$C$7</f>
        <v/>
      </c>
    </row>
    <row r="1685">
      <c r="H1685" s="83">
        <f>_xlfn.NORM.INV(RAND(),AVERAGE(ASSUMPTIONS!$C$38,ASSUMPTIONS!$C$39,ASSUMPTIONS!$C$40,ASSUMPTIONS!$C$41,ASSUMPTIONS!$C$42),ASSUMPTIONS!$C$68)</f>
        <v/>
      </c>
      <c r="I1685" s="83">
        <f>MAX(_xlfn.NORM.INV(RAND(),DCF!$C$11,ASSUMPTIONS!$C$69),K1685+0.005)</f>
        <v/>
      </c>
      <c r="J1685" s="83">
        <f>_xlfn.NORM.INV(RAND(),ASSUMPTIONS!$C$19,ASSUMPTIONS!$C$70)</f>
        <v/>
      </c>
      <c r="K1685" s="83">
        <f>_xlfn.NORM.INV(RAND(),ASSUMPTIONS!$C$43,ASSUMPTIONS!$C$71)</f>
        <v/>
      </c>
      <c r="L1685" s="84">
        <f>(((ASSUMPTIONS!$C$18*J1685*(1-ASSUMPTIONS!$C$20)+ASSUMPTIONS!$C$18*ASSUMPTIONS!$C$21-ASSUMPTIONS!$C$18*ASSUMPTIONS!$C$22)*(1+H1685)*(1-((1+H1685)/(1+I1685))^5)/(I1685-H1685))+((ASSUMPTIONS!$C$18*J1685*(1-ASSUMPTIONS!$C$20)+ASSUMPTIONS!$C$18*ASSUMPTIONS!$C$21-ASSUMPTIONS!$C$18*ASSUMPTIONS!$C$22)*(1+H1685)^5*(1+K1685)/(I1685-K1685)/(1+I1685)^5)-DCF!$C$12)/ASSUMPTIONS!$C$7</f>
        <v/>
      </c>
    </row>
    <row r="1686">
      <c r="H1686" s="83">
        <f>_xlfn.NORM.INV(RAND(),AVERAGE(ASSUMPTIONS!$C$38,ASSUMPTIONS!$C$39,ASSUMPTIONS!$C$40,ASSUMPTIONS!$C$41,ASSUMPTIONS!$C$42),ASSUMPTIONS!$C$68)</f>
        <v/>
      </c>
      <c r="I1686" s="83">
        <f>MAX(_xlfn.NORM.INV(RAND(),DCF!$C$11,ASSUMPTIONS!$C$69),K1686+0.005)</f>
        <v/>
      </c>
      <c r="J1686" s="83">
        <f>_xlfn.NORM.INV(RAND(),ASSUMPTIONS!$C$19,ASSUMPTIONS!$C$70)</f>
        <v/>
      </c>
      <c r="K1686" s="83">
        <f>_xlfn.NORM.INV(RAND(),ASSUMPTIONS!$C$43,ASSUMPTIONS!$C$71)</f>
        <v/>
      </c>
      <c r="L1686" s="84">
        <f>(((ASSUMPTIONS!$C$18*J1686*(1-ASSUMPTIONS!$C$20)+ASSUMPTIONS!$C$18*ASSUMPTIONS!$C$21-ASSUMPTIONS!$C$18*ASSUMPTIONS!$C$22)*(1+H1686)*(1-((1+H1686)/(1+I1686))^5)/(I1686-H1686))+((ASSUMPTIONS!$C$18*J1686*(1-ASSUMPTIONS!$C$20)+ASSUMPTIONS!$C$18*ASSUMPTIONS!$C$21-ASSUMPTIONS!$C$18*ASSUMPTIONS!$C$22)*(1+H1686)^5*(1+K1686)/(I1686-K1686)/(1+I1686)^5)-DCF!$C$12)/ASSUMPTIONS!$C$7</f>
        <v/>
      </c>
    </row>
    <row r="1687">
      <c r="H1687" s="83">
        <f>_xlfn.NORM.INV(RAND(),AVERAGE(ASSUMPTIONS!$C$38,ASSUMPTIONS!$C$39,ASSUMPTIONS!$C$40,ASSUMPTIONS!$C$41,ASSUMPTIONS!$C$42),ASSUMPTIONS!$C$68)</f>
        <v/>
      </c>
      <c r="I1687" s="83">
        <f>MAX(_xlfn.NORM.INV(RAND(),DCF!$C$11,ASSUMPTIONS!$C$69),K1687+0.005)</f>
        <v/>
      </c>
      <c r="J1687" s="83">
        <f>_xlfn.NORM.INV(RAND(),ASSUMPTIONS!$C$19,ASSUMPTIONS!$C$70)</f>
        <v/>
      </c>
      <c r="K1687" s="83">
        <f>_xlfn.NORM.INV(RAND(),ASSUMPTIONS!$C$43,ASSUMPTIONS!$C$71)</f>
        <v/>
      </c>
      <c r="L1687" s="84">
        <f>(((ASSUMPTIONS!$C$18*J1687*(1-ASSUMPTIONS!$C$20)+ASSUMPTIONS!$C$18*ASSUMPTIONS!$C$21-ASSUMPTIONS!$C$18*ASSUMPTIONS!$C$22)*(1+H1687)*(1-((1+H1687)/(1+I1687))^5)/(I1687-H1687))+((ASSUMPTIONS!$C$18*J1687*(1-ASSUMPTIONS!$C$20)+ASSUMPTIONS!$C$18*ASSUMPTIONS!$C$21-ASSUMPTIONS!$C$18*ASSUMPTIONS!$C$22)*(1+H1687)^5*(1+K1687)/(I1687-K1687)/(1+I1687)^5)-DCF!$C$12)/ASSUMPTIONS!$C$7</f>
        <v/>
      </c>
    </row>
    <row r="1688">
      <c r="H1688" s="83">
        <f>_xlfn.NORM.INV(RAND(),AVERAGE(ASSUMPTIONS!$C$38,ASSUMPTIONS!$C$39,ASSUMPTIONS!$C$40,ASSUMPTIONS!$C$41,ASSUMPTIONS!$C$42),ASSUMPTIONS!$C$68)</f>
        <v/>
      </c>
      <c r="I1688" s="83">
        <f>MAX(_xlfn.NORM.INV(RAND(),DCF!$C$11,ASSUMPTIONS!$C$69),K1688+0.005)</f>
        <v/>
      </c>
      <c r="J1688" s="83">
        <f>_xlfn.NORM.INV(RAND(),ASSUMPTIONS!$C$19,ASSUMPTIONS!$C$70)</f>
        <v/>
      </c>
      <c r="K1688" s="83">
        <f>_xlfn.NORM.INV(RAND(),ASSUMPTIONS!$C$43,ASSUMPTIONS!$C$71)</f>
        <v/>
      </c>
      <c r="L1688" s="84">
        <f>(((ASSUMPTIONS!$C$18*J1688*(1-ASSUMPTIONS!$C$20)+ASSUMPTIONS!$C$18*ASSUMPTIONS!$C$21-ASSUMPTIONS!$C$18*ASSUMPTIONS!$C$22)*(1+H1688)*(1-((1+H1688)/(1+I1688))^5)/(I1688-H1688))+((ASSUMPTIONS!$C$18*J1688*(1-ASSUMPTIONS!$C$20)+ASSUMPTIONS!$C$18*ASSUMPTIONS!$C$21-ASSUMPTIONS!$C$18*ASSUMPTIONS!$C$22)*(1+H1688)^5*(1+K1688)/(I1688-K1688)/(1+I1688)^5)-DCF!$C$12)/ASSUMPTIONS!$C$7</f>
        <v/>
      </c>
    </row>
    <row r="1689">
      <c r="H1689" s="83">
        <f>_xlfn.NORM.INV(RAND(),AVERAGE(ASSUMPTIONS!$C$38,ASSUMPTIONS!$C$39,ASSUMPTIONS!$C$40,ASSUMPTIONS!$C$41,ASSUMPTIONS!$C$42),ASSUMPTIONS!$C$68)</f>
        <v/>
      </c>
      <c r="I1689" s="83">
        <f>MAX(_xlfn.NORM.INV(RAND(),DCF!$C$11,ASSUMPTIONS!$C$69),K1689+0.005)</f>
        <v/>
      </c>
      <c r="J1689" s="83">
        <f>_xlfn.NORM.INV(RAND(),ASSUMPTIONS!$C$19,ASSUMPTIONS!$C$70)</f>
        <v/>
      </c>
      <c r="K1689" s="83">
        <f>_xlfn.NORM.INV(RAND(),ASSUMPTIONS!$C$43,ASSUMPTIONS!$C$71)</f>
        <v/>
      </c>
      <c r="L1689" s="84">
        <f>(((ASSUMPTIONS!$C$18*J1689*(1-ASSUMPTIONS!$C$20)+ASSUMPTIONS!$C$18*ASSUMPTIONS!$C$21-ASSUMPTIONS!$C$18*ASSUMPTIONS!$C$22)*(1+H1689)*(1-((1+H1689)/(1+I1689))^5)/(I1689-H1689))+((ASSUMPTIONS!$C$18*J1689*(1-ASSUMPTIONS!$C$20)+ASSUMPTIONS!$C$18*ASSUMPTIONS!$C$21-ASSUMPTIONS!$C$18*ASSUMPTIONS!$C$22)*(1+H1689)^5*(1+K1689)/(I1689-K1689)/(1+I1689)^5)-DCF!$C$12)/ASSUMPTIONS!$C$7</f>
        <v/>
      </c>
    </row>
    <row r="1690">
      <c r="H1690" s="83">
        <f>_xlfn.NORM.INV(RAND(),AVERAGE(ASSUMPTIONS!$C$38,ASSUMPTIONS!$C$39,ASSUMPTIONS!$C$40,ASSUMPTIONS!$C$41,ASSUMPTIONS!$C$42),ASSUMPTIONS!$C$68)</f>
        <v/>
      </c>
      <c r="I1690" s="83">
        <f>MAX(_xlfn.NORM.INV(RAND(),DCF!$C$11,ASSUMPTIONS!$C$69),K1690+0.005)</f>
        <v/>
      </c>
      <c r="J1690" s="83">
        <f>_xlfn.NORM.INV(RAND(),ASSUMPTIONS!$C$19,ASSUMPTIONS!$C$70)</f>
        <v/>
      </c>
      <c r="K1690" s="83">
        <f>_xlfn.NORM.INV(RAND(),ASSUMPTIONS!$C$43,ASSUMPTIONS!$C$71)</f>
        <v/>
      </c>
      <c r="L1690" s="84">
        <f>(((ASSUMPTIONS!$C$18*J1690*(1-ASSUMPTIONS!$C$20)+ASSUMPTIONS!$C$18*ASSUMPTIONS!$C$21-ASSUMPTIONS!$C$18*ASSUMPTIONS!$C$22)*(1+H1690)*(1-((1+H1690)/(1+I1690))^5)/(I1690-H1690))+((ASSUMPTIONS!$C$18*J1690*(1-ASSUMPTIONS!$C$20)+ASSUMPTIONS!$C$18*ASSUMPTIONS!$C$21-ASSUMPTIONS!$C$18*ASSUMPTIONS!$C$22)*(1+H1690)^5*(1+K1690)/(I1690-K1690)/(1+I1690)^5)-DCF!$C$12)/ASSUMPTIONS!$C$7</f>
        <v/>
      </c>
    </row>
    <row r="1691">
      <c r="H1691" s="83">
        <f>_xlfn.NORM.INV(RAND(),AVERAGE(ASSUMPTIONS!$C$38,ASSUMPTIONS!$C$39,ASSUMPTIONS!$C$40,ASSUMPTIONS!$C$41,ASSUMPTIONS!$C$42),ASSUMPTIONS!$C$68)</f>
        <v/>
      </c>
      <c r="I1691" s="83">
        <f>MAX(_xlfn.NORM.INV(RAND(),DCF!$C$11,ASSUMPTIONS!$C$69),K1691+0.005)</f>
        <v/>
      </c>
      <c r="J1691" s="83">
        <f>_xlfn.NORM.INV(RAND(),ASSUMPTIONS!$C$19,ASSUMPTIONS!$C$70)</f>
        <v/>
      </c>
      <c r="K1691" s="83">
        <f>_xlfn.NORM.INV(RAND(),ASSUMPTIONS!$C$43,ASSUMPTIONS!$C$71)</f>
        <v/>
      </c>
      <c r="L1691" s="84">
        <f>(((ASSUMPTIONS!$C$18*J1691*(1-ASSUMPTIONS!$C$20)+ASSUMPTIONS!$C$18*ASSUMPTIONS!$C$21-ASSUMPTIONS!$C$18*ASSUMPTIONS!$C$22)*(1+H1691)*(1-((1+H1691)/(1+I1691))^5)/(I1691-H1691))+((ASSUMPTIONS!$C$18*J1691*(1-ASSUMPTIONS!$C$20)+ASSUMPTIONS!$C$18*ASSUMPTIONS!$C$21-ASSUMPTIONS!$C$18*ASSUMPTIONS!$C$22)*(1+H1691)^5*(1+K1691)/(I1691-K1691)/(1+I1691)^5)-DCF!$C$12)/ASSUMPTIONS!$C$7</f>
        <v/>
      </c>
    </row>
    <row r="1692">
      <c r="H1692" s="83">
        <f>_xlfn.NORM.INV(RAND(),AVERAGE(ASSUMPTIONS!$C$38,ASSUMPTIONS!$C$39,ASSUMPTIONS!$C$40,ASSUMPTIONS!$C$41,ASSUMPTIONS!$C$42),ASSUMPTIONS!$C$68)</f>
        <v/>
      </c>
      <c r="I1692" s="83">
        <f>MAX(_xlfn.NORM.INV(RAND(),DCF!$C$11,ASSUMPTIONS!$C$69),K1692+0.005)</f>
        <v/>
      </c>
      <c r="J1692" s="83">
        <f>_xlfn.NORM.INV(RAND(),ASSUMPTIONS!$C$19,ASSUMPTIONS!$C$70)</f>
        <v/>
      </c>
      <c r="K1692" s="83">
        <f>_xlfn.NORM.INV(RAND(),ASSUMPTIONS!$C$43,ASSUMPTIONS!$C$71)</f>
        <v/>
      </c>
      <c r="L1692" s="84">
        <f>(((ASSUMPTIONS!$C$18*J1692*(1-ASSUMPTIONS!$C$20)+ASSUMPTIONS!$C$18*ASSUMPTIONS!$C$21-ASSUMPTIONS!$C$18*ASSUMPTIONS!$C$22)*(1+H1692)*(1-((1+H1692)/(1+I1692))^5)/(I1692-H1692))+((ASSUMPTIONS!$C$18*J1692*(1-ASSUMPTIONS!$C$20)+ASSUMPTIONS!$C$18*ASSUMPTIONS!$C$21-ASSUMPTIONS!$C$18*ASSUMPTIONS!$C$22)*(1+H1692)^5*(1+K1692)/(I1692-K1692)/(1+I1692)^5)-DCF!$C$12)/ASSUMPTIONS!$C$7</f>
        <v/>
      </c>
    </row>
    <row r="1693">
      <c r="H1693" s="83">
        <f>_xlfn.NORM.INV(RAND(),AVERAGE(ASSUMPTIONS!$C$38,ASSUMPTIONS!$C$39,ASSUMPTIONS!$C$40,ASSUMPTIONS!$C$41,ASSUMPTIONS!$C$42),ASSUMPTIONS!$C$68)</f>
        <v/>
      </c>
      <c r="I1693" s="83">
        <f>MAX(_xlfn.NORM.INV(RAND(),DCF!$C$11,ASSUMPTIONS!$C$69),K1693+0.005)</f>
        <v/>
      </c>
      <c r="J1693" s="83">
        <f>_xlfn.NORM.INV(RAND(),ASSUMPTIONS!$C$19,ASSUMPTIONS!$C$70)</f>
        <v/>
      </c>
      <c r="K1693" s="83">
        <f>_xlfn.NORM.INV(RAND(),ASSUMPTIONS!$C$43,ASSUMPTIONS!$C$71)</f>
        <v/>
      </c>
      <c r="L1693" s="84">
        <f>(((ASSUMPTIONS!$C$18*J1693*(1-ASSUMPTIONS!$C$20)+ASSUMPTIONS!$C$18*ASSUMPTIONS!$C$21-ASSUMPTIONS!$C$18*ASSUMPTIONS!$C$22)*(1+H1693)*(1-((1+H1693)/(1+I1693))^5)/(I1693-H1693))+((ASSUMPTIONS!$C$18*J1693*(1-ASSUMPTIONS!$C$20)+ASSUMPTIONS!$C$18*ASSUMPTIONS!$C$21-ASSUMPTIONS!$C$18*ASSUMPTIONS!$C$22)*(1+H1693)^5*(1+K1693)/(I1693-K1693)/(1+I1693)^5)-DCF!$C$12)/ASSUMPTIONS!$C$7</f>
        <v/>
      </c>
    </row>
    <row r="1694">
      <c r="H1694" s="83">
        <f>_xlfn.NORM.INV(RAND(),AVERAGE(ASSUMPTIONS!$C$38,ASSUMPTIONS!$C$39,ASSUMPTIONS!$C$40,ASSUMPTIONS!$C$41,ASSUMPTIONS!$C$42),ASSUMPTIONS!$C$68)</f>
        <v/>
      </c>
      <c r="I1694" s="83">
        <f>MAX(_xlfn.NORM.INV(RAND(),DCF!$C$11,ASSUMPTIONS!$C$69),K1694+0.005)</f>
        <v/>
      </c>
      <c r="J1694" s="83">
        <f>_xlfn.NORM.INV(RAND(),ASSUMPTIONS!$C$19,ASSUMPTIONS!$C$70)</f>
        <v/>
      </c>
      <c r="K1694" s="83">
        <f>_xlfn.NORM.INV(RAND(),ASSUMPTIONS!$C$43,ASSUMPTIONS!$C$71)</f>
        <v/>
      </c>
      <c r="L1694" s="84">
        <f>(((ASSUMPTIONS!$C$18*J1694*(1-ASSUMPTIONS!$C$20)+ASSUMPTIONS!$C$18*ASSUMPTIONS!$C$21-ASSUMPTIONS!$C$18*ASSUMPTIONS!$C$22)*(1+H1694)*(1-((1+H1694)/(1+I1694))^5)/(I1694-H1694))+((ASSUMPTIONS!$C$18*J1694*(1-ASSUMPTIONS!$C$20)+ASSUMPTIONS!$C$18*ASSUMPTIONS!$C$21-ASSUMPTIONS!$C$18*ASSUMPTIONS!$C$22)*(1+H1694)^5*(1+K1694)/(I1694-K1694)/(1+I1694)^5)-DCF!$C$12)/ASSUMPTIONS!$C$7</f>
        <v/>
      </c>
    </row>
    <row r="1695">
      <c r="H1695" s="83">
        <f>_xlfn.NORM.INV(RAND(),AVERAGE(ASSUMPTIONS!$C$38,ASSUMPTIONS!$C$39,ASSUMPTIONS!$C$40,ASSUMPTIONS!$C$41,ASSUMPTIONS!$C$42),ASSUMPTIONS!$C$68)</f>
        <v/>
      </c>
      <c r="I1695" s="83">
        <f>MAX(_xlfn.NORM.INV(RAND(),DCF!$C$11,ASSUMPTIONS!$C$69),K1695+0.005)</f>
        <v/>
      </c>
      <c r="J1695" s="83">
        <f>_xlfn.NORM.INV(RAND(),ASSUMPTIONS!$C$19,ASSUMPTIONS!$C$70)</f>
        <v/>
      </c>
      <c r="K1695" s="83">
        <f>_xlfn.NORM.INV(RAND(),ASSUMPTIONS!$C$43,ASSUMPTIONS!$C$71)</f>
        <v/>
      </c>
      <c r="L1695" s="84">
        <f>(((ASSUMPTIONS!$C$18*J1695*(1-ASSUMPTIONS!$C$20)+ASSUMPTIONS!$C$18*ASSUMPTIONS!$C$21-ASSUMPTIONS!$C$18*ASSUMPTIONS!$C$22)*(1+H1695)*(1-((1+H1695)/(1+I1695))^5)/(I1695-H1695))+((ASSUMPTIONS!$C$18*J1695*(1-ASSUMPTIONS!$C$20)+ASSUMPTIONS!$C$18*ASSUMPTIONS!$C$21-ASSUMPTIONS!$C$18*ASSUMPTIONS!$C$22)*(1+H1695)^5*(1+K1695)/(I1695-K1695)/(1+I1695)^5)-DCF!$C$12)/ASSUMPTIONS!$C$7</f>
        <v/>
      </c>
    </row>
    <row r="1696">
      <c r="H1696" s="83">
        <f>_xlfn.NORM.INV(RAND(),AVERAGE(ASSUMPTIONS!$C$38,ASSUMPTIONS!$C$39,ASSUMPTIONS!$C$40,ASSUMPTIONS!$C$41,ASSUMPTIONS!$C$42),ASSUMPTIONS!$C$68)</f>
        <v/>
      </c>
      <c r="I1696" s="83">
        <f>MAX(_xlfn.NORM.INV(RAND(),DCF!$C$11,ASSUMPTIONS!$C$69),K1696+0.005)</f>
        <v/>
      </c>
      <c r="J1696" s="83">
        <f>_xlfn.NORM.INV(RAND(),ASSUMPTIONS!$C$19,ASSUMPTIONS!$C$70)</f>
        <v/>
      </c>
      <c r="K1696" s="83">
        <f>_xlfn.NORM.INV(RAND(),ASSUMPTIONS!$C$43,ASSUMPTIONS!$C$71)</f>
        <v/>
      </c>
      <c r="L1696" s="84">
        <f>(((ASSUMPTIONS!$C$18*J1696*(1-ASSUMPTIONS!$C$20)+ASSUMPTIONS!$C$18*ASSUMPTIONS!$C$21-ASSUMPTIONS!$C$18*ASSUMPTIONS!$C$22)*(1+H1696)*(1-((1+H1696)/(1+I1696))^5)/(I1696-H1696))+((ASSUMPTIONS!$C$18*J1696*(1-ASSUMPTIONS!$C$20)+ASSUMPTIONS!$C$18*ASSUMPTIONS!$C$21-ASSUMPTIONS!$C$18*ASSUMPTIONS!$C$22)*(1+H1696)^5*(1+K1696)/(I1696-K1696)/(1+I1696)^5)-DCF!$C$12)/ASSUMPTIONS!$C$7</f>
        <v/>
      </c>
    </row>
    <row r="1697">
      <c r="H1697" s="83">
        <f>_xlfn.NORM.INV(RAND(),AVERAGE(ASSUMPTIONS!$C$38,ASSUMPTIONS!$C$39,ASSUMPTIONS!$C$40,ASSUMPTIONS!$C$41,ASSUMPTIONS!$C$42),ASSUMPTIONS!$C$68)</f>
        <v/>
      </c>
      <c r="I1697" s="83">
        <f>MAX(_xlfn.NORM.INV(RAND(),DCF!$C$11,ASSUMPTIONS!$C$69),K1697+0.005)</f>
        <v/>
      </c>
      <c r="J1697" s="83">
        <f>_xlfn.NORM.INV(RAND(),ASSUMPTIONS!$C$19,ASSUMPTIONS!$C$70)</f>
        <v/>
      </c>
      <c r="K1697" s="83">
        <f>_xlfn.NORM.INV(RAND(),ASSUMPTIONS!$C$43,ASSUMPTIONS!$C$71)</f>
        <v/>
      </c>
      <c r="L1697" s="84">
        <f>(((ASSUMPTIONS!$C$18*J1697*(1-ASSUMPTIONS!$C$20)+ASSUMPTIONS!$C$18*ASSUMPTIONS!$C$21-ASSUMPTIONS!$C$18*ASSUMPTIONS!$C$22)*(1+H1697)*(1-((1+H1697)/(1+I1697))^5)/(I1697-H1697))+((ASSUMPTIONS!$C$18*J1697*(1-ASSUMPTIONS!$C$20)+ASSUMPTIONS!$C$18*ASSUMPTIONS!$C$21-ASSUMPTIONS!$C$18*ASSUMPTIONS!$C$22)*(1+H1697)^5*(1+K1697)/(I1697-K1697)/(1+I1697)^5)-DCF!$C$12)/ASSUMPTIONS!$C$7</f>
        <v/>
      </c>
    </row>
    <row r="1698">
      <c r="H1698" s="83">
        <f>_xlfn.NORM.INV(RAND(),AVERAGE(ASSUMPTIONS!$C$38,ASSUMPTIONS!$C$39,ASSUMPTIONS!$C$40,ASSUMPTIONS!$C$41,ASSUMPTIONS!$C$42),ASSUMPTIONS!$C$68)</f>
        <v/>
      </c>
      <c r="I1698" s="83">
        <f>MAX(_xlfn.NORM.INV(RAND(),DCF!$C$11,ASSUMPTIONS!$C$69),K1698+0.005)</f>
        <v/>
      </c>
      <c r="J1698" s="83">
        <f>_xlfn.NORM.INV(RAND(),ASSUMPTIONS!$C$19,ASSUMPTIONS!$C$70)</f>
        <v/>
      </c>
      <c r="K1698" s="83">
        <f>_xlfn.NORM.INV(RAND(),ASSUMPTIONS!$C$43,ASSUMPTIONS!$C$71)</f>
        <v/>
      </c>
      <c r="L1698" s="84">
        <f>(((ASSUMPTIONS!$C$18*J1698*(1-ASSUMPTIONS!$C$20)+ASSUMPTIONS!$C$18*ASSUMPTIONS!$C$21-ASSUMPTIONS!$C$18*ASSUMPTIONS!$C$22)*(1+H1698)*(1-((1+H1698)/(1+I1698))^5)/(I1698-H1698))+((ASSUMPTIONS!$C$18*J1698*(1-ASSUMPTIONS!$C$20)+ASSUMPTIONS!$C$18*ASSUMPTIONS!$C$21-ASSUMPTIONS!$C$18*ASSUMPTIONS!$C$22)*(1+H1698)^5*(1+K1698)/(I1698-K1698)/(1+I1698)^5)-DCF!$C$12)/ASSUMPTIONS!$C$7</f>
        <v/>
      </c>
    </row>
    <row r="1699">
      <c r="H1699" s="83">
        <f>_xlfn.NORM.INV(RAND(),AVERAGE(ASSUMPTIONS!$C$38,ASSUMPTIONS!$C$39,ASSUMPTIONS!$C$40,ASSUMPTIONS!$C$41,ASSUMPTIONS!$C$42),ASSUMPTIONS!$C$68)</f>
        <v/>
      </c>
      <c r="I1699" s="83">
        <f>MAX(_xlfn.NORM.INV(RAND(),DCF!$C$11,ASSUMPTIONS!$C$69),K1699+0.005)</f>
        <v/>
      </c>
      <c r="J1699" s="83">
        <f>_xlfn.NORM.INV(RAND(),ASSUMPTIONS!$C$19,ASSUMPTIONS!$C$70)</f>
        <v/>
      </c>
      <c r="K1699" s="83">
        <f>_xlfn.NORM.INV(RAND(),ASSUMPTIONS!$C$43,ASSUMPTIONS!$C$71)</f>
        <v/>
      </c>
      <c r="L1699" s="84">
        <f>(((ASSUMPTIONS!$C$18*J1699*(1-ASSUMPTIONS!$C$20)+ASSUMPTIONS!$C$18*ASSUMPTIONS!$C$21-ASSUMPTIONS!$C$18*ASSUMPTIONS!$C$22)*(1+H1699)*(1-((1+H1699)/(1+I1699))^5)/(I1699-H1699))+((ASSUMPTIONS!$C$18*J1699*(1-ASSUMPTIONS!$C$20)+ASSUMPTIONS!$C$18*ASSUMPTIONS!$C$21-ASSUMPTIONS!$C$18*ASSUMPTIONS!$C$22)*(1+H1699)^5*(1+K1699)/(I1699-K1699)/(1+I1699)^5)-DCF!$C$12)/ASSUMPTIONS!$C$7</f>
        <v/>
      </c>
    </row>
    <row r="1700">
      <c r="H1700" s="83">
        <f>_xlfn.NORM.INV(RAND(),AVERAGE(ASSUMPTIONS!$C$38,ASSUMPTIONS!$C$39,ASSUMPTIONS!$C$40,ASSUMPTIONS!$C$41,ASSUMPTIONS!$C$42),ASSUMPTIONS!$C$68)</f>
        <v/>
      </c>
      <c r="I1700" s="83">
        <f>MAX(_xlfn.NORM.INV(RAND(),DCF!$C$11,ASSUMPTIONS!$C$69),K1700+0.005)</f>
        <v/>
      </c>
      <c r="J1700" s="83">
        <f>_xlfn.NORM.INV(RAND(),ASSUMPTIONS!$C$19,ASSUMPTIONS!$C$70)</f>
        <v/>
      </c>
      <c r="K1700" s="83">
        <f>_xlfn.NORM.INV(RAND(),ASSUMPTIONS!$C$43,ASSUMPTIONS!$C$71)</f>
        <v/>
      </c>
      <c r="L1700" s="84">
        <f>(((ASSUMPTIONS!$C$18*J1700*(1-ASSUMPTIONS!$C$20)+ASSUMPTIONS!$C$18*ASSUMPTIONS!$C$21-ASSUMPTIONS!$C$18*ASSUMPTIONS!$C$22)*(1+H1700)*(1-((1+H1700)/(1+I1700))^5)/(I1700-H1700))+((ASSUMPTIONS!$C$18*J1700*(1-ASSUMPTIONS!$C$20)+ASSUMPTIONS!$C$18*ASSUMPTIONS!$C$21-ASSUMPTIONS!$C$18*ASSUMPTIONS!$C$22)*(1+H1700)^5*(1+K1700)/(I1700-K1700)/(1+I1700)^5)-DCF!$C$12)/ASSUMPTIONS!$C$7</f>
        <v/>
      </c>
    </row>
    <row r="1701">
      <c r="H1701" s="83">
        <f>_xlfn.NORM.INV(RAND(),AVERAGE(ASSUMPTIONS!$C$38,ASSUMPTIONS!$C$39,ASSUMPTIONS!$C$40,ASSUMPTIONS!$C$41,ASSUMPTIONS!$C$42),ASSUMPTIONS!$C$68)</f>
        <v/>
      </c>
      <c r="I1701" s="83">
        <f>MAX(_xlfn.NORM.INV(RAND(),DCF!$C$11,ASSUMPTIONS!$C$69),K1701+0.005)</f>
        <v/>
      </c>
      <c r="J1701" s="83">
        <f>_xlfn.NORM.INV(RAND(),ASSUMPTIONS!$C$19,ASSUMPTIONS!$C$70)</f>
        <v/>
      </c>
      <c r="K1701" s="83">
        <f>_xlfn.NORM.INV(RAND(),ASSUMPTIONS!$C$43,ASSUMPTIONS!$C$71)</f>
        <v/>
      </c>
      <c r="L1701" s="84">
        <f>(((ASSUMPTIONS!$C$18*J1701*(1-ASSUMPTIONS!$C$20)+ASSUMPTIONS!$C$18*ASSUMPTIONS!$C$21-ASSUMPTIONS!$C$18*ASSUMPTIONS!$C$22)*(1+H1701)*(1-((1+H1701)/(1+I1701))^5)/(I1701-H1701))+((ASSUMPTIONS!$C$18*J1701*(1-ASSUMPTIONS!$C$20)+ASSUMPTIONS!$C$18*ASSUMPTIONS!$C$21-ASSUMPTIONS!$C$18*ASSUMPTIONS!$C$22)*(1+H1701)^5*(1+K1701)/(I1701-K1701)/(1+I1701)^5)-DCF!$C$12)/ASSUMPTIONS!$C$7</f>
        <v/>
      </c>
    </row>
    <row r="1702">
      <c r="H1702" s="83">
        <f>_xlfn.NORM.INV(RAND(),AVERAGE(ASSUMPTIONS!$C$38,ASSUMPTIONS!$C$39,ASSUMPTIONS!$C$40,ASSUMPTIONS!$C$41,ASSUMPTIONS!$C$42),ASSUMPTIONS!$C$68)</f>
        <v/>
      </c>
      <c r="I1702" s="83">
        <f>MAX(_xlfn.NORM.INV(RAND(),DCF!$C$11,ASSUMPTIONS!$C$69),K1702+0.005)</f>
        <v/>
      </c>
      <c r="J1702" s="83">
        <f>_xlfn.NORM.INV(RAND(),ASSUMPTIONS!$C$19,ASSUMPTIONS!$C$70)</f>
        <v/>
      </c>
      <c r="K1702" s="83">
        <f>_xlfn.NORM.INV(RAND(),ASSUMPTIONS!$C$43,ASSUMPTIONS!$C$71)</f>
        <v/>
      </c>
      <c r="L1702" s="84">
        <f>(((ASSUMPTIONS!$C$18*J1702*(1-ASSUMPTIONS!$C$20)+ASSUMPTIONS!$C$18*ASSUMPTIONS!$C$21-ASSUMPTIONS!$C$18*ASSUMPTIONS!$C$22)*(1+H1702)*(1-((1+H1702)/(1+I1702))^5)/(I1702-H1702))+((ASSUMPTIONS!$C$18*J1702*(1-ASSUMPTIONS!$C$20)+ASSUMPTIONS!$C$18*ASSUMPTIONS!$C$21-ASSUMPTIONS!$C$18*ASSUMPTIONS!$C$22)*(1+H1702)^5*(1+K1702)/(I1702-K1702)/(1+I1702)^5)-DCF!$C$12)/ASSUMPTIONS!$C$7</f>
        <v/>
      </c>
    </row>
    <row r="1703">
      <c r="H1703" s="83">
        <f>_xlfn.NORM.INV(RAND(),AVERAGE(ASSUMPTIONS!$C$38,ASSUMPTIONS!$C$39,ASSUMPTIONS!$C$40,ASSUMPTIONS!$C$41,ASSUMPTIONS!$C$42),ASSUMPTIONS!$C$68)</f>
        <v/>
      </c>
      <c r="I1703" s="83">
        <f>MAX(_xlfn.NORM.INV(RAND(),DCF!$C$11,ASSUMPTIONS!$C$69),K1703+0.005)</f>
        <v/>
      </c>
      <c r="J1703" s="83">
        <f>_xlfn.NORM.INV(RAND(),ASSUMPTIONS!$C$19,ASSUMPTIONS!$C$70)</f>
        <v/>
      </c>
      <c r="K1703" s="83">
        <f>_xlfn.NORM.INV(RAND(),ASSUMPTIONS!$C$43,ASSUMPTIONS!$C$71)</f>
        <v/>
      </c>
      <c r="L1703" s="84">
        <f>(((ASSUMPTIONS!$C$18*J1703*(1-ASSUMPTIONS!$C$20)+ASSUMPTIONS!$C$18*ASSUMPTIONS!$C$21-ASSUMPTIONS!$C$18*ASSUMPTIONS!$C$22)*(1+H1703)*(1-((1+H1703)/(1+I1703))^5)/(I1703-H1703))+((ASSUMPTIONS!$C$18*J1703*(1-ASSUMPTIONS!$C$20)+ASSUMPTIONS!$C$18*ASSUMPTIONS!$C$21-ASSUMPTIONS!$C$18*ASSUMPTIONS!$C$22)*(1+H1703)^5*(1+K1703)/(I1703-K1703)/(1+I1703)^5)-DCF!$C$12)/ASSUMPTIONS!$C$7</f>
        <v/>
      </c>
    </row>
    <row r="1704">
      <c r="H1704" s="83">
        <f>_xlfn.NORM.INV(RAND(),AVERAGE(ASSUMPTIONS!$C$38,ASSUMPTIONS!$C$39,ASSUMPTIONS!$C$40,ASSUMPTIONS!$C$41,ASSUMPTIONS!$C$42),ASSUMPTIONS!$C$68)</f>
        <v/>
      </c>
      <c r="I1704" s="83">
        <f>MAX(_xlfn.NORM.INV(RAND(),DCF!$C$11,ASSUMPTIONS!$C$69),K1704+0.005)</f>
        <v/>
      </c>
      <c r="J1704" s="83">
        <f>_xlfn.NORM.INV(RAND(),ASSUMPTIONS!$C$19,ASSUMPTIONS!$C$70)</f>
        <v/>
      </c>
      <c r="K1704" s="83">
        <f>_xlfn.NORM.INV(RAND(),ASSUMPTIONS!$C$43,ASSUMPTIONS!$C$71)</f>
        <v/>
      </c>
      <c r="L1704" s="84">
        <f>(((ASSUMPTIONS!$C$18*J1704*(1-ASSUMPTIONS!$C$20)+ASSUMPTIONS!$C$18*ASSUMPTIONS!$C$21-ASSUMPTIONS!$C$18*ASSUMPTIONS!$C$22)*(1+H1704)*(1-((1+H1704)/(1+I1704))^5)/(I1704-H1704))+((ASSUMPTIONS!$C$18*J1704*(1-ASSUMPTIONS!$C$20)+ASSUMPTIONS!$C$18*ASSUMPTIONS!$C$21-ASSUMPTIONS!$C$18*ASSUMPTIONS!$C$22)*(1+H1704)^5*(1+K1704)/(I1704-K1704)/(1+I1704)^5)-DCF!$C$12)/ASSUMPTIONS!$C$7</f>
        <v/>
      </c>
    </row>
    <row r="1705">
      <c r="H1705" s="83">
        <f>_xlfn.NORM.INV(RAND(),AVERAGE(ASSUMPTIONS!$C$38,ASSUMPTIONS!$C$39,ASSUMPTIONS!$C$40,ASSUMPTIONS!$C$41,ASSUMPTIONS!$C$42),ASSUMPTIONS!$C$68)</f>
        <v/>
      </c>
      <c r="I1705" s="83">
        <f>MAX(_xlfn.NORM.INV(RAND(),DCF!$C$11,ASSUMPTIONS!$C$69),K1705+0.005)</f>
        <v/>
      </c>
      <c r="J1705" s="83">
        <f>_xlfn.NORM.INV(RAND(),ASSUMPTIONS!$C$19,ASSUMPTIONS!$C$70)</f>
        <v/>
      </c>
      <c r="K1705" s="83">
        <f>_xlfn.NORM.INV(RAND(),ASSUMPTIONS!$C$43,ASSUMPTIONS!$C$71)</f>
        <v/>
      </c>
      <c r="L1705" s="84">
        <f>(((ASSUMPTIONS!$C$18*J1705*(1-ASSUMPTIONS!$C$20)+ASSUMPTIONS!$C$18*ASSUMPTIONS!$C$21-ASSUMPTIONS!$C$18*ASSUMPTIONS!$C$22)*(1+H1705)*(1-((1+H1705)/(1+I1705))^5)/(I1705-H1705))+((ASSUMPTIONS!$C$18*J1705*(1-ASSUMPTIONS!$C$20)+ASSUMPTIONS!$C$18*ASSUMPTIONS!$C$21-ASSUMPTIONS!$C$18*ASSUMPTIONS!$C$22)*(1+H1705)^5*(1+K1705)/(I1705-K1705)/(1+I1705)^5)-DCF!$C$12)/ASSUMPTIONS!$C$7</f>
        <v/>
      </c>
    </row>
    <row r="1706">
      <c r="H1706" s="83">
        <f>_xlfn.NORM.INV(RAND(),AVERAGE(ASSUMPTIONS!$C$38,ASSUMPTIONS!$C$39,ASSUMPTIONS!$C$40,ASSUMPTIONS!$C$41,ASSUMPTIONS!$C$42),ASSUMPTIONS!$C$68)</f>
        <v/>
      </c>
      <c r="I1706" s="83">
        <f>MAX(_xlfn.NORM.INV(RAND(),DCF!$C$11,ASSUMPTIONS!$C$69),K1706+0.005)</f>
        <v/>
      </c>
      <c r="J1706" s="83">
        <f>_xlfn.NORM.INV(RAND(),ASSUMPTIONS!$C$19,ASSUMPTIONS!$C$70)</f>
        <v/>
      </c>
      <c r="K1706" s="83">
        <f>_xlfn.NORM.INV(RAND(),ASSUMPTIONS!$C$43,ASSUMPTIONS!$C$71)</f>
        <v/>
      </c>
      <c r="L1706" s="84">
        <f>(((ASSUMPTIONS!$C$18*J1706*(1-ASSUMPTIONS!$C$20)+ASSUMPTIONS!$C$18*ASSUMPTIONS!$C$21-ASSUMPTIONS!$C$18*ASSUMPTIONS!$C$22)*(1+H1706)*(1-((1+H1706)/(1+I1706))^5)/(I1706-H1706))+((ASSUMPTIONS!$C$18*J1706*(1-ASSUMPTIONS!$C$20)+ASSUMPTIONS!$C$18*ASSUMPTIONS!$C$21-ASSUMPTIONS!$C$18*ASSUMPTIONS!$C$22)*(1+H1706)^5*(1+K1706)/(I1706-K1706)/(1+I1706)^5)-DCF!$C$12)/ASSUMPTIONS!$C$7</f>
        <v/>
      </c>
    </row>
    <row r="1707">
      <c r="H1707" s="83">
        <f>_xlfn.NORM.INV(RAND(),AVERAGE(ASSUMPTIONS!$C$38,ASSUMPTIONS!$C$39,ASSUMPTIONS!$C$40,ASSUMPTIONS!$C$41,ASSUMPTIONS!$C$42),ASSUMPTIONS!$C$68)</f>
        <v/>
      </c>
      <c r="I1707" s="83">
        <f>MAX(_xlfn.NORM.INV(RAND(),DCF!$C$11,ASSUMPTIONS!$C$69),K1707+0.005)</f>
        <v/>
      </c>
      <c r="J1707" s="83">
        <f>_xlfn.NORM.INV(RAND(),ASSUMPTIONS!$C$19,ASSUMPTIONS!$C$70)</f>
        <v/>
      </c>
      <c r="K1707" s="83">
        <f>_xlfn.NORM.INV(RAND(),ASSUMPTIONS!$C$43,ASSUMPTIONS!$C$71)</f>
        <v/>
      </c>
      <c r="L1707" s="84">
        <f>(((ASSUMPTIONS!$C$18*J1707*(1-ASSUMPTIONS!$C$20)+ASSUMPTIONS!$C$18*ASSUMPTIONS!$C$21-ASSUMPTIONS!$C$18*ASSUMPTIONS!$C$22)*(1+H1707)*(1-((1+H1707)/(1+I1707))^5)/(I1707-H1707))+((ASSUMPTIONS!$C$18*J1707*(1-ASSUMPTIONS!$C$20)+ASSUMPTIONS!$C$18*ASSUMPTIONS!$C$21-ASSUMPTIONS!$C$18*ASSUMPTIONS!$C$22)*(1+H1707)^5*(1+K1707)/(I1707-K1707)/(1+I1707)^5)-DCF!$C$12)/ASSUMPTIONS!$C$7</f>
        <v/>
      </c>
    </row>
    <row r="1708">
      <c r="H1708" s="83">
        <f>_xlfn.NORM.INV(RAND(),AVERAGE(ASSUMPTIONS!$C$38,ASSUMPTIONS!$C$39,ASSUMPTIONS!$C$40,ASSUMPTIONS!$C$41,ASSUMPTIONS!$C$42),ASSUMPTIONS!$C$68)</f>
        <v/>
      </c>
      <c r="I1708" s="83">
        <f>MAX(_xlfn.NORM.INV(RAND(),DCF!$C$11,ASSUMPTIONS!$C$69),K1708+0.005)</f>
        <v/>
      </c>
      <c r="J1708" s="83">
        <f>_xlfn.NORM.INV(RAND(),ASSUMPTIONS!$C$19,ASSUMPTIONS!$C$70)</f>
        <v/>
      </c>
      <c r="K1708" s="83">
        <f>_xlfn.NORM.INV(RAND(),ASSUMPTIONS!$C$43,ASSUMPTIONS!$C$71)</f>
        <v/>
      </c>
      <c r="L1708" s="84">
        <f>(((ASSUMPTIONS!$C$18*J1708*(1-ASSUMPTIONS!$C$20)+ASSUMPTIONS!$C$18*ASSUMPTIONS!$C$21-ASSUMPTIONS!$C$18*ASSUMPTIONS!$C$22)*(1+H1708)*(1-((1+H1708)/(1+I1708))^5)/(I1708-H1708))+((ASSUMPTIONS!$C$18*J1708*(1-ASSUMPTIONS!$C$20)+ASSUMPTIONS!$C$18*ASSUMPTIONS!$C$21-ASSUMPTIONS!$C$18*ASSUMPTIONS!$C$22)*(1+H1708)^5*(1+K1708)/(I1708-K1708)/(1+I1708)^5)-DCF!$C$12)/ASSUMPTIONS!$C$7</f>
        <v/>
      </c>
    </row>
    <row r="1709">
      <c r="H1709" s="83">
        <f>_xlfn.NORM.INV(RAND(),AVERAGE(ASSUMPTIONS!$C$38,ASSUMPTIONS!$C$39,ASSUMPTIONS!$C$40,ASSUMPTIONS!$C$41,ASSUMPTIONS!$C$42),ASSUMPTIONS!$C$68)</f>
        <v/>
      </c>
      <c r="I1709" s="83">
        <f>MAX(_xlfn.NORM.INV(RAND(),DCF!$C$11,ASSUMPTIONS!$C$69),K1709+0.005)</f>
        <v/>
      </c>
      <c r="J1709" s="83">
        <f>_xlfn.NORM.INV(RAND(),ASSUMPTIONS!$C$19,ASSUMPTIONS!$C$70)</f>
        <v/>
      </c>
      <c r="K1709" s="83">
        <f>_xlfn.NORM.INV(RAND(),ASSUMPTIONS!$C$43,ASSUMPTIONS!$C$71)</f>
        <v/>
      </c>
      <c r="L1709" s="84">
        <f>(((ASSUMPTIONS!$C$18*J1709*(1-ASSUMPTIONS!$C$20)+ASSUMPTIONS!$C$18*ASSUMPTIONS!$C$21-ASSUMPTIONS!$C$18*ASSUMPTIONS!$C$22)*(1+H1709)*(1-((1+H1709)/(1+I1709))^5)/(I1709-H1709))+((ASSUMPTIONS!$C$18*J1709*(1-ASSUMPTIONS!$C$20)+ASSUMPTIONS!$C$18*ASSUMPTIONS!$C$21-ASSUMPTIONS!$C$18*ASSUMPTIONS!$C$22)*(1+H1709)^5*(1+K1709)/(I1709-K1709)/(1+I1709)^5)-DCF!$C$12)/ASSUMPTIONS!$C$7</f>
        <v/>
      </c>
    </row>
    <row r="1710">
      <c r="H1710" s="83">
        <f>_xlfn.NORM.INV(RAND(),AVERAGE(ASSUMPTIONS!$C$38,ASSUMPTIONS!$C$39,ASSUMPTIONS!$C$40,ASSUMPTIONS!$C$41,ASSUMPTIONS!$C$42),ASSUMPTIONS!$C$68)</f>
        <v/>
      </c>
      <c r="I1710" s="83">
        <f>MAX(_xlfn.NORM.INV(RAND(),DCF!$C$11,ASSUMPTIONS!$C$69),K1710+0.005)</f>
        <v/>
      </c>
      <c r="J1710" s="83">
        <f>_xlfn.NORM.INV(RAND(),ASSUMPTIONS!$C$19,ASSUMPTIONS!$C$70)</f>
        <v/>
      </c>
      <c r="K1710" s="83">
        <f>_xlfn.NORM.INV(RAND(),ASSUMPTIONS!$C$43,ASSUMPTIONS!$C$71)</f>
        <v/>
      </c>
      <c r="L1710" s="84">
        <f>(((ASSUMPTIONS!$C$18*J1710*(1-ASSUMPTIONS!$C$20)+ASSUMPTIONS!$C$18*ASSUMPTIONS!$C$21-ASSUMPTIONS!$C$18*ASSUMPTIONS!$C$22)*(1+H1710)*(1-((1+H1710)/(1+I1710))^5)/(I1710-H1710))+((ASSUMPTIONS!$C$18*J1710*(1-ASSUMPTIONS!$C$20)+ASSUMPTIONS!$C$18*ASSUMPTIONS!$C$21-ASSUMPTIONS!$C$18*ASSUMPTIONS!$C$22)*(1+H1710)^5*(1+K1710)/(I1710-K1710)/(1+I1710)^5)-DCF!$C$12)/ASSUMPTIONS!$C$7</f>
        <v/>
      </c>
    </row>
    <row r="1711">
      <c r="H1711" s="83">
        <f>_xlfn.NORM.INV(RAND(),AVERAGE(ASSUMPTIONS!$C$38,ASSUMPTIONS!$C$39,ASSUMPTIONS!$C$40,ASSUMPTIONS!$C$41,ASSUMPTIONS!$C$42),ASSUMPTIONS!$C$68)</f>
        <v/>
      </c>
      <c r="I1711" s="83">
        <f>MAX(_xlfn.NORM.INV(RAND(),DCF!$C$11,ASSUMPTIONS!$C$69),K1711+0.005)</f>
        <v/>
      </c>
      <c r="J1711" s="83">
        <f>_xlfn.NORM.INV(RAND(),ASSUMPTIONS!$C$19,ASSUMPTIONS!$C$70)</f>
        <v/>
      </c>
      <c r="K1711" s="83">
        <f>_xlfn.NORM.INV(RAND(),ASSUMPTIONS!$C$43,ASSUMPTIONS!$C$71)</f>
        <v/>
      </c>
      <c r="L1711" s="84">
        <f>(((ASSUMPTIONS!$C$18*J1711*(1-ASSUMPTIONS!$C$20)+ASSUMPTIONS!$C$18*ASSUMPTIONS!$C$21-ASSUMPTIONS!$C$18*ASSUMPTIONS!$C$22)*(1+H1711)*(1-((1+H1711)/(1+I1711))^5)/(I1711-H1711))+((ASSUMPTIONS!$C$18*J1711*(1-ASSUMPTIONS!$C$20)+ASSUMPTIONS!$C$18*ASSUMPTIONS!$C$21-ASSUMPTIONS!$C$18*ASSUMPTIONS!$C$22)*(1+H1711)^5*(1+K1711)/(I1711-K1711)/(1+I1711)^5)-DCF!$C$12)/ASSUMPTIONS!$C$7</f>
        <v/>
      </c>
    </row>
    <row r="1712">
      <c r="H1712" s="83">
        <f>_xlfn.NORM.INV(RAND(),AVERAGE(ASSUMPTIONS!$C$38,ASSUMPTIONS!$C$39,ASSUMPTIONS!$C$40,ASSUMPTIONS!$C$41,ASSUMPTIONS!$C$42),ASSUMPTIONS!$C$68)</f>
        <v/>
      </c>
      <c r="I1712" s="83">
        <f>MAX(_xlfn.NORM.INV(RAND(),DCF!$C$11,ASSUMPTIONS!$C$69),K1712+0.005)</f>
        <v/>
      </c>
      <c r="J1712" s="83">
        <f>_xlfn.NORM.INV(RAND(),ASSUMPTIONS!$C$19,ASSUMPTIONS!$C$70)</f>
        <v/>
      </c>
      <c r="K1712" s="83">
        <f>_xlfn.NORM.INV(RAND(),ASSUMPTIONS!$C$43,ASSUMPTIONS!$C$71)</f>
        <v/>
      </c>
      <c r="L1712" s="84">
        <f>(((ASSUMPTIONS!$C$18*J1712*(1-ASSUMPTIONS!$C$20)+ASSUMPTIONS!$C$18*ASSUMPTIONS!$C$21-ASSUMPTIONS!$C$18*ASSUMPTIONS!$C$22)*(1+H1712)*(1-((1+H1712)/(1+I1712))^5)/(I1712-H1712))+((ASSUMPTIONS!$C$18*J1712*(1-ASSUMPTIONS!$C$20)+ASSUMPTIONS!$C$18*ASSUMPTIONS!$C$21-ASSUMPTIONS!$C$18*ASSUMPTIONS!$C$22)*(1+H1712)^5*(1+K1712)/(I1712-K1712)/(1+I1712)^5)-DCF!$C$12)/ASSUMPTIONS!$C$7</f>
        <v/>
      </c>
    </row>
    <row r="1713">
      <c r="H1713" s="83">
        <f>_xlfn.NORM.INV(RAND(),AVERAGE(ASSUMPTIONS!$C$38,ASSUMPTIONS!$C$39,ASSUMPTIONS!$C$40,ASSUMPTIONS!$C$41,ASSUMPTIONS!$C$42),ASSUMPTIONS!$C$68)</f>
        <v/>
      </c>
      <c r="I1713" s="83">
        <f>MAX(_xlfn.NORM.INV(RAND(),DCF!$C$11,ASSUMPTIONS!$C$69),K1713+0.005)</f>
        <v/>
      </c>
      <c r="J1713" s="83">
        <f>_xlfn.NORM.INV(RAND(),ASSUMPTIONS!$C$19,ASSUMPTIONS!$C$70)</f>
        <v/>
      </c>
      <c r="K1713" s="83">
        <f>_xlfn.NORM.INV(RAND(),ASSUMPTIONS!$C$43,ASSUMPTIONS!$C$71)</f>
        <v/>
      </c>
      <c r="L1713" s="84">
        <f>(((ASSUMPTIONS!$C$18*J1713*(1-ASSUMPTIONS!$C$20)+ASSUMPTIONS!$C$18*ASSUMPTIONS!$C$21-ASSUMPTIONS!$C$18*ASSUMPTIONS!$C$22)*(1+H1713)*(1-((1+H1713)/(1+I1713))^5)/(I1713-H1713))+((ASSUMPTIONS!$C$18*J1713*(1-ASSUMPTIONS!$C$20)+ASSUMPTIONS!$C$18*ASSUMPTIONS!$C$21-ASSUMPTIONS!$C$18*ASSUMPTIONS!$C$22)*(1+H1713)^5*(1+K1713)/(I1713-K1713)/(1+I1713)^5)-DCF!$C$12)/ASSUMPTIONS!$C$7</f>
        <v/>
      </c>
    </row>
    <row r="1714">
      <c r="H1714" s="83">
        <f>_xlfn.NORM.INV(RAND(),AVERAGE(ASSUMPTIONS!$C$38,ASSUMPTIONS!$C$39,ASSUMPTIONS!$C$40,ASSUMPTIONS!$C$41,ASSUMPTIONS!$C$42),ASSUMPTIONS!$C$68)</f>
        <v/>
      </c>
      <c r="I1714" s="83">
        <f>MAX(_xlfn.NORM.INV(RAND(),DCF!$C$11,ASSUMPTIONS!$C$69),K1714+0.005)</f>
        <v/>
      </c>
      <c r="J1714" s="83">
        <f>_xlfn.NORM.INV(RAND(),ASSUMPTIONS!$C$19,ASSUMPTIONS!$C$70)</f>
        <v/>
      </c>
      <c r="K1714" s="83">
        <f>_xlfn.NORM.INV(RAND(),ASSUMPTIONS!$C$43,ASSUMPTIONS!$C$71)</f>
        <v/>
      </c>
      <c r="L1714" s="84">
        <f>(((ASSUMPTIONS!$C$18*J1714*(1-ASSUMPTIONS!$C$20)+ASSUMPTIONS!$C$18*ASSUMPTIONS!$C$21-ASSUMPTIONS!$C$18*ASSUMPTIONS!$C$22)*(1+H1714)*(1-((1+H1714)/(1+I1714))^5)/(I1714-H1714))+((ASSUMPTIONS!$C$18*J1714*(1-ASSUMPTIONS!$C$20)+ASSUMPTIONS!$C$18*ASSUMPTIONS!$C$21-ASSUMPTIONS!$C$18*ASSUMPTIONS!$C$22)*(1+H1714)^5*(1+K1714)/(I1714-K1714)/(1+I1714)^5)-DCF!$C$12)/ASSUMPTIONS!$C$7</f>
        <v/>
      </c>
    </row>
    <row r="1715">
      <c r="H1715" s="83">
        <f>_xlfn.NORM.INV(RAND(),AVERAGE(ASSUMPTIONS!$C$38,ASSUMPTIONS!$C$39,ASSUMPTIONS!$C$40,ASSUMPTIONS!$C$41,ASSUMPTIONS!$C$42),ASSUMPTIONS!$C$68)</f>
        <v/>
      </c>
      <c r="I1715" s="83">
        <f>MAX(_xlfn.NORM.INV(RAND(),DCF!$C$11,ASSUMPTIONS!$C$69),K1715+0.005)</f>
        <v/>
      </c>
      <c r="J1715" s="83">
        <f>_xlfn.NORM.INV(RAND(),ASSUMPTIONS!$C$19,ASSUMPTIONS!$C$70)</f>
        <v/>
      </c>
      <c r="K1715" s="83">
        <f>_xlfn.NORM.INV(RAND(),ASSUMPTIONS!$C$43,ASSUMPTIONS!$C$71)</f>
        <v/>
      </c>
      <c r="L1715" s="84">
        <f>(((ASSUMPTIONS!$C$18*J1715*(1-ASSUMPTIONS!$C$20)+ASSUMPTIONS!$C$18*ASSUMPTIONS!$C$21-ASSUMPTIONS!$C$18*ASSUMPTIONS!$C$22)*(1+H1715)*(1-((1+H1715)/(1+I1715))^5)/(I1715-H1715))+((ASSUMPTIONS!$C$18*J1715*(1-ASSUMPTIONS!$C$20)+ASSUMPTIONS!$C$18*ASSUMPTIONS!$C$21-ASSUMPTIONS!$C$18*ASSUMPTIONS!$C$22)*(1+H1715)^5*(1+K1715)/(I1715-K1715)/(1+I1715)^5)-DCF!$C$12)/ASSUMPTIONS!$C$7</f>
        <v/>
      </c>
    </row>
    <row r="1716">
      <c r="H1716" s="83">
        <f>_xlfn.NORM.INV(RAND(),AVERAGE(ASSUMPTIONS!$C$38,ASSUMPTIONS!$C$39,ASSUMPTIONS!$C$40,ASSUMPTIONS!$C$41,ASSUMPTIONS!$C$42),ASSUMPTIONS!$C$68)</f>
        <v/>
      </c>
      <c r="I1716" s="83">
        <f>MAX(_xlfn.NORM.INV(RAND(),DCF!$C$11,ASSUMPTIONS!$C$69),K1716+0.005)</f>
        <v/>
      </c>
      <c r="J1716" s="83">
        <f>_xlfn.NORM.INV(RAND(),ASSUMPTIONS!$C$19,ASSUMPTIONS!$C$70)</f>
        <v/>
      </c>
      <c r="K1716" s="83">
        <f>_xlfn.NORM.INV(RAND(),ASSUMPTIONS!$C$43,ASSUMPTIONS!$C$71)</f>
        <v/>
      </c>
      <c r="L1716" s="84">
        <f>(((ASSUMPTIONS!$C$18*J1716*(1-ASSUMPTIONS!$C$20)+ASSUMPTIONS!$C$18*ASSUMPTIONS!$C$21-ASSUMPTIONS!$C$18*ASSUMPTIONS!$C$22)*(1+H1716)*(1-((1+H1716)/(1+I1716))^5)/(I1716-H1716))+((ASSUMPTIONS!$C$18*J1716*(1-ASSUMPTIONS!$C$20)+ASSUMPTIONS!$C$18*ASSUMPTIONS!$C$21-ASSUMPTIONS!$C$18*ASSUMPTIONS!$C$22)*(1+H1716)^5*(1+K1716)/(I1716-K1716)/(1+I1716)^5)-DCF!$C$12)/ASSUMPTIONS!$C$7</f>
        <v/>
      </c>
    </row>
    <row r="1717">
      <c r="H1717" s="83">
        <f>_xlfn.NORM.INV(RAND(),AVERAGE(ASSUMPTIONS!$C$38,ASSUMPTIONS!$C$39,ASSUMPTIONS!$C$40,ASSUMPTIONS!$C$41,ASSUMPTIONS!$C$42),ASSUMPTIONS!$C$68)</f>
        <v/>
      </c>
      <c r="I1717" s="83">
        <f>MAX(_xlfn.NORM.INV(RAND(),DCF!$C$11,ASSUMPTIONS!$C$69),K1717+0.005)</f>
        <v/>
      </c>
      <c r="J1717" s="83">
        <f>_xlfn.NORM.INV(RAND(),ASSUMPTIONS!$C$19,ASSUMPTIONS!$C$70)</f>
        <v/>
      </c>
      <c r="K1717" s="83">
        <f>_xlfn.NORM.INV(RAND(),ASSUMPTIONS!$C$43,ASSUMPTIONS!$C$71)</f>
        <v/>
      </c>
      <c r="L1717" s="84">
        <f>(((ASSUMPTIONS!$C$18*J1717*(1-ASSUMPTIONS!$C$20)+ASSUMPTIONS!$C$18*ASSUMPTIONS!$C$21-ASSUMPTIONS!$C$18*ASSUMPTIONS!$C$22)*(1+H1717)*(1-((1+H1717)/(1+I1717))^5)/(I1717-H1717))+((ASSUMPTIONS!$C$18*J1717*(1-ASSUMPTIONS!$C$20)+ASSUMPTIONS!$C$18*ASSUMPTIONS!$C$21-ASSUMPTIONS!$C$18*ASSUMPTIONS!$C$22)*(1+H1717)^5*(1+K1717)/(I1717-K1717)/(1+I1717)^5)-DCF!$C$12)/ASSUMPTIONS!$C$7</f>
        <v/>
      </c>
    </row>
    <row r="1718">
      <c r="H1718" s="83">
        <f>_xlfn.NORM.INV(RAND(),AVERAGE(ASSUMPTIONS!$C$38,ASSUMPTIONS!$C$39,ASSUMPTIONS!$C$40,ASSUMPTIONS!$C$41,ASSUMPTIONS!$C$42),ASSUMPTIONS!$C$68)</f>
        <v/>
      </c>
      <c r="I1718" s="83">
        <f>MAX(_xlfn.NORM.INV(RAND(),DCF!$C$11,ASSUMPTIONS!$C$69),K1718+0.005)</f>
        <v/>
      </c>
      <c r="J1718" s="83">
        <f>_xlfn.NORM.INV(RAND(),ASSUMPTIONS!$C$19,ASSUMPTIONS!$C$70)</f>
        <v/>
      </c>
      <c r="K1718" s="83">
        <f>_xlfn.NORM.INV(RAND(),ASSUMPTIONS!$C$43,ASSUMPTIONS!$C$71)</f>
        <v/>
      </c>
      <c r="L1718" s="84">
        <f>(((ASSUMPTIONS!$C$18*J1718*(1-ASSUMPTIONS!$C$20)+ASSUMPTIONS!$C$18*ASSUMPTIONS!$C$21-ASSUMPTIONS!$C$18*ASSUMPTIONS!$C$22)*(1+H1718)*(1-((1+H1718)/(1+I1718))^5)/(I1718-H1718))+((ASSUMPTIONS!$C$18*J1718*(1-ASSUMPTIONS!$C$20)+ASSUMPTIONS!$C$18*ASSUMPTIONS!$C$21-ASSUMPTIONS!$C$18*ASSUMPTIONS!$C$22)*(1+H1718)^5*(1+K1718)/(I1718-K1718)/(1+I1718)^5)-DCF!$C$12)/ASSUMPTIONS!$C$7</f>
        <v/>
      </c>
    </row>
    <row r="1719">
      <c r="H1719" s="83">
        <f>_xlfn.NORM.INV(RAND(),AVERAGE(ASSUMPTIONS!$C$38,ASSUMPTIONS!$C$39,ASSUMPTIONS!$C$40,ASSUMPTIONS!$C$41,ASSUMPTIONS!$C$42),ASSUMPTIONS!$C$68)</f>
        <v/>
      </c>
      <c r="I1719" s="83">
        <f>MAX(_xlfn.NORM.INV(RAND(),DCF!$C$11,ASSUMPTIONS!$C$69),K1719+0.005)</f>
        <v/>
      </c>
      <c r="J1719" s="83">
        <f>_xlfn.NORM.INV(RAND(),ASSUMPTIONS!$C$19,ASSUMPTIONS!$C$70)</f>
        <v/>
      </c>
      <c r="K1719" s="83">
        <f>_xlfn.NORM.INV(RAND(),ASSUMPTIONS!$C$43,ASSUMPTIONS!$C$71)</f>
        <v/>
      </c>
      <c r="L1719" s="84">
        <f>(((ASSUMPTIONS!$C$18*J1719*(1-ASSUMPTIONS!$C$20)+ASSUMPTIONS!$C$18*ASSUMPTIONS!$C$21-ASSUMPTIONS!$C$18*ASSUMPTIONS!$C$22)*(1+H1719)*(1-((1+H1719)/(1+I1719))^5)/(I1719-H1719))+((ASSUMPTIONS!$C$18*J1719*(1-ASSUMPTIONS!$C$20)+ASSUMPTIONS!$C$18*ASSUMPTIONS!$C$21-ASSUMPTIONS!$C$18*ASSUMPTIONS!$C$22)*(1+H1719)^5*(1+K1719)/(I1719-K1719)/(1+I1719)^5)-DCF!$C$12)/ASSUMPTIONS!$C$7</f>
        <v/>
      </c>
    </row>
    <row r="1720">
      <c r="H1720" s="83">
        <f>_xlfn.NORM.INV(RAND(),AVERAGE(ASSUMPTIONS!$C$38,ASSUMPTIONS!$C$39,ASSUMPTIONS!$C$40,ASSUMPTIONS!$C$41,ASSUMPTIONS!$C$42),ASSUMPTIONS!$C$68)</f>
        <v/>
      </c>
      <c r="I1720" s="83">
        <f>MAX(_xlfn.NORM.INV(RAND(),DCF!$C$11,ASSUMPTIONS!$C$69),K1720+0.005)</f>
        <v/>
      </c>
      <c r="J1720" s="83">
        <f>_xlfn.NORM.INV(RAND(),ASSUMPTIONS!$C$19,ASSUMPTIONS!$C$70)</f>
        <v/>
      </c>
      <c r="K1720" s="83">
        <f>_xlfn.NORM.INV(RAND(),ASSUMPTIONS!$C$43,ASSUMPTIONS!$C$71)</f>
        <v/>
      </c>
      <c r="L1720" s="84">
        <f>(((ASSUMPTIONS!$C$18*J1720*(1-ASSUMPTIONS!$C$20)+ASSUMPTIONS!$C$18*ASSUMPTIONS!$C$21-ASSUMPTIONS!$C$18*ASSUMPTIONS!$C$22)*(1+H1720)*(1-((1+H1720)/(1+I1720))^5)/(I1720-H1720))+((ASSUMPTIONS!$C$18*J1720*(1-ASSUMPTIONS!$C$20)+ASSUMPTIONS!$C$18*ASSUMPTIONS!$C$21-ASSUMPTIONS!$C$18*ASSUMPTIONS!$C$22)*(1+H1720)^5*(1+K1720)/(I1720-K1720)/(1+I1720)^5)-DCF!$C$12)/ASSUMPTIONS!$C$7</f>
        <v/>
      </c>
    </row>
    <row r="1721">
      <c r="H1721" s="83">
        <f>_xlfn.NORM.INV(RAND(),AVERAGE(ASSUMPTIONS!$C$38,ASSUMPTIONS!$C$39,ASSUMPTIONS!$C$40,ASSUMPTIONS!$C$41,ASSUMPTIONS!$C$42),ASSUMPTIONS!$C$68)</f>
        <v/>
      </c>
      <c r="I1721" s="83">
        <f>MAX(_xlfn.NORM.INV(RAND(),DCF!$C$11,ASSUMPTIONS!$C$69),K1721+0.005)</f>
        <v/>
      </c>
      <c r="J1721" s="83">
        <f>_xlfn.NORM.INV(RAND(),ASSUMPTIONS!$C$19,ASSUMPTIONS!$C$70)</f>
        <v/>
      </c>
      <c r="K1721" s="83">
        <f>_xlfn.NORM.INV(RAND(),ASSUMPTIONS!$C$43,ASSUMPTIONS!$C$71)</f>
        <v/>
      </c>
      <c r="L1721" s="84">
        <f>(((ASSUMPTIONS!$C$18*J1721*(1-ASSUMPTIONS!$C$20)+ASSUMPTIONS!$C$18*ASSUMPTIONS!$C$21-ASSUMPTIONS!$C$18*ASSUMPTIONS!$C$22)*(1+H1721)*(1-((1+H1721)/(1+I1721))^5)/(I1721-H1721))+((ASSUMPTIONS!$C$18*J1721*(1-ASSUMPTIONS!$C$20)+ASSUMPTIONS!$C$18*ASSUMPTIONS!$C$21-ASSUMPTIONS!$C$18*ASSUMPTIONS!$C$22)*(1+H1721)^5*(1+K1721)/(I1721-K1721)/(1+I1721)^5)-DCF!$C$12)/ASSUMPTIONS!$C$7</f>
        <v/>
      </c>
    </row>
    <row r="1722">
      <c r="H1722" s="83">
        <f>_xlfn.NORM.INV(RAND(),AVERAGE(ASSUMPTIONS!$C$38,ASSUMPTIONS!$C$39,ASSUMPTIONS!$C$40,ASSUMPTIONS!$C$41,ASSUMPTIONS!$C$42),ASSUMPTIONS!$C$68)</f>
        <v/>
      </c>
      <c r="I1722" s="83">
        <f>MAX(_xlfn.NORM.INV(RAND(),DCF!$C$11,ASSUMPTIONS!$C$69),K1722+0.005)</f>
        <v/>
      </c>
      <c r="J1722" s="83">
        <f>_xlfn.NORM.INV(RAND(),ASSUMPTIONS!$C$19,ASSUMPTIONS!$C$70)</f>
        <v/>
      </c>
      <c r="K1722" s="83">
        <f>_xlfn.NORM.INV(RAND(),ASSUMPTIONS!$C$43,ASSUMPTIONS!$C$71)</f>
        <v/>
      </c>
      <c r="L1722" s="84">
        <f>(((ASSUMPTIONS!$C$18*J1722*(1-ASSUMPTIONS!$C$20)+ASSUMPTIONS!$C$18*ASSUMPTIONS!$C$21-ASSUMPTIONS!$C$18*ASSUMPTIONS!$C$22)*(1+H1722)*(1-((1+H1722)/(1+I1722))^5)/(I1722-H1722))+((ASSUMPTIONS!$C$18*J1722*(1-ASSUMPTIONS!$C$20)+ASSUMPTIONS!$C$18*ASSUMPTIONS!$C$21-ASSUMPTIONS!$C$18*ASSUMPTIONS!$C$22)*(1+H1722)^5*(1+K1722)/(I1722-K1722)/(1+I1722)^5)-DCF!$C$12)/ASSUMPTIONS!$C$7</f>
        <v/>
      </c>
    </row>
    <row r="1723">
      <c r="H1723" s="83">
        <f>_xlfn.NORM.INV(RAND(),AVERAGE(ASSUMPTIONS!$C$38,ASSUMPTIONS!$C$39,ASSUMPTIONS!$C$40,ASSUMPTIONS!$C$41,ASSUMPTIONS!$C$42),ASSUMPTIONS!$C$68)</f>
        <v/>
      </c>
      <c r="I1723" s="83">
        <f>MAX(_xlfn.NORM.INV(RAND(),DCF!$C$11,ASSUMPTIONS!$C$69),K1723+0.005)</f>
        <v/>
      </c>
      <c r="J1723" s="83">
        <f>_xlfn.NORM.INV(RAND(),ASSUMPTIONS!$C$19,ASSUMPTIONS!$C$70)</f>
        <v/>
      </c>
      <c r="K1723" s="83">
        <f>_xlfn.NORM.INV(RAND(),ASSUMPTIONS!$C$43,ASSUMPTIONS!$C$71)</f>
        <v/>
      </c>
      <c r="L1723" s="84">
        <f>(((ASSUMPTIONS!$C$18*J1723*(1-ASSUMPTIONS!$C$20)+ASSUMPTIONS!$C$18*ASSUMPTIONS!$C$21-ASSUMPTIONS!$C$18*ASSUMPTIONS!$C$22)*(1+H1723)*(1-((1+H1723)/(1+I1723))^5)/(I1723-H1723))+((ASSUMPTIONS!$C$18*J1723*(1-ASSUMPTIONS!$C$20)+ASSUMPTIONS!$C$18*ASSUMPTIONS!$C$21-ASSUMPTIONS!$C$18*ASSUMPTIONS!$C$22)*(1+H1723)^5*(1+K1723)/(I1723-K1723)/(1+I1723)^5)-DCF!$C$12)/ASSUMPTIONS!$C$7</f>
        <v/>
      </c>
    </row>
    <row r="1724">
      <c r="H1724" s="83">
        <f>_xlfn.NORM.INV(RAND(),AVERAGE(ASSUMPTIONS!$C$38,ASSUMPTIONS!$C$39,ASSUMPTIONS!$C$40,ASSUMPTIONS!$C$41,ASSUMPTIONS!$C$42),ASSUMPTIONS!$C$68)</f>
        <v/>
      </c>
      <c r="I1724" s="83">
        <f>MAX(_xlfn.NORM.INV(RAND(),DCF!$C$11,ASSUMPTIONS!$C$69),K1724+0.005)</f>
        <v/>
      </c>
      <c r="J1724" s="83">
        <f>_xlfn.NORM.INV(RAND(),ASSUMPTIONS!$C$19,ASSUMPTIONS!$C$70)</f>
        <v/>
      </c>
      <c r="K1724" s="83">
        <f>_xlfn.NORM.INV(RAND(),ASSUMPTIONS!$C$43,ASSUMPTIONS!$C$71)</f>
        <v/>
      </c>
      <c r="L1724" s="84">
        <f>(((ASSUMPTIONS!$C$18*J1724*(1-ASSUMPTIONS!$C$20)+ASSUMPTIONS!$C$18*ASSUMPTIONS!$C$21-ASSUMPTIONS!$C$18*ASSUMPTIONS!$C$22)*(1+H1724)*(1-((1+H1724)/(1+I1724))^5)/(I1724-H1724))+((ASSUMPTIONS!$C$18*J1724*(1-ASSUMPTIONS!$C$20)+ASSUMPTIONS!$C$18*ASSUMPTIONS!$C$21-ASSUMPTIONS!$C$18*ASSUMPTIONS!$C$22)*(1+H1724)^5*(1+K1724)/(I1724-K1724)/(1+I1724)^5)-DCF!$C$12)/ASSUMPTIONS!$C$7</f>
        <v/>
      </c>
    </row>
    <row r="1725">
      <c r="H1725" s="83">
        <f>_xlfn.NORM.INV(RAND(),AVERAGE(ASSUMPTIONS!$C$38,ASSUMPTIONS!$C$39,ASSUMPTIONS!$C$40,ASSUMPTIONS!$C$41,ASSUMPTIONS!$C$42),ASSUMPTIONS!$C$68)</f>
        <v/>
      </c>
      <c r="I1725" s="83">
        <f>MAX(_xlfn.NORM.INV(RAND(),DCF!$C$11,ASSUMPTIONS!$C$69),K1725+0.005)</f>
        <v/>
      </c>
      <c r="J1725" s="83">
        <f>_xlfn.NORM.INV(RAND(),ASSUMPTIONS!$C$19,ASSUMPTIONS!$C$70)</f>
        <v/>
      </c>
      <c r="K1725" s="83">
        <f>_xlfn.NORM.INV(RAND(),ASSUMPTIONS!$C$43,ASSUMPTIONS!$C$71)</f>
        <v/>
      </c>
      <c r="L1725" s="84">
        <f>(((ASSUMPTIONS!$C$18*J1725*(1-ASSUMPTIONS!$C$20)+ASSUMPTIONS!$C$18*ASSUMPTIONS!$C$21-ASSUMPTIONS!$C$18*ASSUMPTIONS!$C$22)*(1+H1725)*(1-((1+H1725)/(1+I1725))^5)/(I1725-H1725))+((ASSUMPTIONS!$C$18*J1725*(1-ASSUMPTIONS!$C$20)+ASSUMPTIONS!$C$18*ASSUMPTIONS!$C$21-ASSUMPTIONS!$C$18*ASSUMPTIONS!$C$22)*(1+H1725)^5*(1+K1725)/(I1725-K1725)/(1+I1725)^5)-DCF!$C$12)/ASSUMPTIONS!$C$7</f>
        <v/>
      </c>
    </row>
    <row r="1726">
      <c r="H1726" s="83">
        <f>_xlfn.NORM.INV(RAND(),AVERAGE(ASSUMPTIONS!$C$38,ASSUMPTIONS!$C$39,ASSUMPTIONS!$C$40,ASSUMPTIONS!$C$41,ASSUMPTIONS!$C$42),ASSUMPTIONS!$C$68)</f>
        <v/>
      </c>
      <c r="I1726" s="83">
        <f>MAX(_xlfn.NORM.INV(RAND(),DCF!$C$11,ASSUMPTIONS!$C$69),K1726+0.005)</f>
        <v/>
      </c>
      <c r="J1726" s="83">
        <f>_xlfn.NORM.INV(RAND(),ASSUMPTIONS!$C$19,ASSUMPTIONS!$C$70)</f>
        <v/>
      </c>
      <c r="K1726" s="83">
        <f>_xlfn.NORM.INV(RAND(),ASSUMPTIONS!$C$43,ASSUMPTIONS!$C$71)</f>
        <v/>
      </c>
      <c r="L1726" s="84">
        <f>(((ASSUMPTIONS!$C$18*J1726*(1-ASSUMPTIONS!$C$20)+ASSUMPTIONS!$C$18*ASSUMPTIONS!$C$21-ASSUMPTIONS!$C$18*ASSUMPTIONS!$C$22)*(1+H1726)*(1-((1+H1726)/(1+I1726))^5)/(I1726-H1726))+((ASSUMPTIONS!$C$18*J1726*(1-ASSUMPTIONS!$C$20)+ASSUMPTIONS!$C$18*ASSUMPTIONS!$C$21-ASSUMPTIONS!$C$18*ASSUMPTIONS!$C$22)*(1+H1726)^5*(1+K1726)/(I1726-K1726)/(1+I1726)^5)-DCF!$C$12)/ASSUMPTIONS!$C$7</f>
        <v/>
      </c>
    </row>
    <row r="1727">
      <c r="H1727" s="83">
        <f>_xlfn.NORM.INV(RAND(),AVERAGE(ASSUMPTIONS!$C$38,ASSUMPTIONS!$C$39,ASSUMPTIONS!$C$40,ASSUMPTIONS!$C$41,ASSUMPTIONS!$C$42),ASSUMPTIONS!$C$68)</f>
        <v/>
      </c>
      <c r="I1727" s="83">
        <f>MAX(_xlfn.NORM.INV(RAND(),DCF!$C$11,ASSUMPTIONS!$C$69),K1727+0.005)</f>
        <v/>
      </c>
      <c r="J1727" s="83">
        <f>_xlfn.NORM.INV(RAND(),ASSUMPTIONS!$C$19,ASSUMPTIONS!$C$70)</f>
        <v/>
      </c>
      <c r="K1727" s="83">
        <f>_xlfn.NORM.INV(RAND(),ASSUMPTIONS!$C$43,ASSUMPTIONS!$C$71)</f>
        <v/>
      </c>
      <c r="L1727" s="84">
        <f>(((ASSUMPTIONS!$C$18*J1727*(1-ASSUMPTIONS!$C$20)+ASSUMPTIONS!$C$18*ASSUMPTIONS!$C$21-ASSUMPTIONS!$C$18*ASSUMPTIONS!$C$22)*(1+H1727)*(1-((1+H1727)/(1+I1727))^5)/(I1727-H1727))+((ASSUMPTIONS!$C$18*J1727*(1-ASSUMPTIONS!$C$20)+ASSUMPTIONS!$C$18*ASSUMPTIONS!$C$21-ASSUMPTIONS!$C$18*ASSUMPTIONS!$C$22)*(1+H1727)^5*(1+K1727)/(I1727-K1727)/(1+I1727)^5)-DCF!$C$12)/ASSUMPTIONS!$C$7</f>
        <v/>
      </c>
    </row>
    <row r="1728">
      <c r="H1728" s="83">
        <f>_xlfn.NORM.INV(RAND(),AVERAGE(ASSUMPTIONS!$C$38,ASSUMPTIONS!$C$39,ASSUMPTIONS!$C$40,ASSUMPTIONS!$C$41,ASSUMPTIONS!$C$42),ASSUMPTIONS!$C$68)</f>
        <v/>
      </c>
      <c r="I1728" s="83">
        <f>MAX(_xlfn.NORM.INV(RAND(),DCF!$C$11,ASSUMPTIONS!$C$69),K1728+0.005)</f>
        <v/>
      </c>
      <c r="J1728" s="83">
        <f>_xlfn.NORM.INV(RAND(),ASSUMPTIONS!$C$19,ASSUMPTIONS!$C$70)</f>
        <v/>
      </c>
      <c r="K1728" s="83">
        <f>_xlfn.NORM.INV(RAND(),ASSUMPTIONS!$C$43,ASSUMPTIONS!$C$71)</f>
        <v/>
      </c>
      <c r="L1728" s="84">
        <f>(((ASSUMPTIONS!$C$18*J1728*(1-ASSUMPTIONS!$C$20)+ASSUMPTIONS!$C$18*ASSUMPTIONS!$C$21-ASSUMPTIONS!$C$18*ASSUMPTIONS!$C$22)*(1+H1728)*(1-((1+H1728)/(1+I1728))^5)/(I1728-H1728))+((ASSUMPTIONS!$C$18*J1728*(1-ASSUMPTIONS!$C$20)+ASSUMPTIONS!$C$18*ASSUMPTIONS!$C$21-ASSUMPTIONS!$C$18*ASSUMPTIONS!$C$22)*(1+H1728)^5*(1+K1728)/(I1728-K1728)/(1+I1728)^5)-DCF!$C$12)/ASSUMPTIONS!$C$7</f>
        <v/>
      </c>
    </row>
    <row r="1729">
      <c r="H1729" s="83">
        <f>_xlfn.NORM.INV(RAND(),AVERAGE(ASSUMPTIONS!$C$38,ASSUMPTIONS!$C$39,ASSUMPTIONS!$C$40,ASSUMPTIONS!$C$41,ASSUMPTIONS!$C$42),ASSUMPTIONS!$C$68)</f>
        <v/>
      </c>
      <c r="I1729" s="83">
        <f>MAX(_xlfn.NORM.INV(RAND(),DCF!$C$11,ASSUMPTIONS!$C$69),K1729+0.005)</f>
        <v/>
      </c>
      <c r="J1729" s="83">
        <f>_xlfn.NORM.INV(RAND(),ASSUMPTIONS!$C$19,ASSUMPTIONS!$C$70)</f>
        <v/>
      </c>
      <c r="K1729" s="83">
        <f>_xlfn.NORM.INV(RAND(),ASSUMPTIONS!$C$43,ASSUMPTIONS!$C$71)</f>
        <v/>
      </c>
      <c r="L1729" s="84">
        <f>(((ASSUMPTIONS!$C$18*J1729*(1-ASSUMPTIONS!$C$20)+ASSUMPTIONS!$C$18*ASSUMPTIONS!$C$21-ASSUMPTIONS!$C$18*ASSUMPTIONS!$C$22)*(1+H1729)*(1-((1+H1729)/(1+I1729))^5)/(I1729-H1729))+((ASSUMPTIONS!$C$18*J1729*(1-ASSUMPTIONS!$C$20)+ASSUMPTIONS!$C$18*ASSUMPTIONS!$C$21-ASSUMPTIONS!$C$18*ASSUMPTIONS!$C$22)*(1+H1729)^5*(1+K1729)/(I1729-K1729)/(1+I1729)^5)-DCF!$C$12)/ASSUMPTIONS!$C$7</f>
        <v/>
      </c>
    </row>
    <row r="1730">
      <c r="H1730" s="83">
        <f>_xlfn.NORM.INV(RAND(),AVERAGE(ASSUMPTIONS!$C$38,ASSUMPTIONS!$C$39,ASSUMPTIONS!$C$40,ASSUMPTIONS!$C$41,ASSUMPTIONS!$C$42),ASSUMPTIONS!$C$68)</f>
        <v/>
      </c>
      <c r="I1730" s="83">
        <f>MAX(_xlfn.NORM.INV(RAND(),DCF!$C$11,ASSUMPTIONS!$C$69),K1730+0.005)</f>
        <v/>
      </c>
      <c r="J1730" s="83">
        <f>_xlfn.NORM.INV(RAND(),ASSUMPTIONS!$C$19,ASSUMPTIONS!$C$70)</f>
        <v/>
      </c>
      <c r="K1730" s="83">
        <f>_xlfn.NORM.INV(RAND(),ASSUMPTIONS!$C$43,ASSUMPTIONS!$C$71)</f>
        <v/>
      </c>
      <c r="L1730" s="84">
        <f>(((ASSUMPTIONS!$C$18*J1730*(1-ASSUMPTIONS!$C$20)+ASSUMPTIONS!$C$18*ASSUMPTIONS!$C$21-ASSUMPTIONS!$C$18*ASSUMPTIONS!$C$22)*(1+H1730)*(1-((1+H1730)/(1+I1730))^5)/(I1730-H1730))+((ASSUMPTIONS!$C$18*J1730*(1-ASSUMPTIONS!$C$20)+ASSUMPTIONS!$C$18*ASSUMPTIONS!$C$21-ASSUMPTIONS!$C$18*ASSUMPTIONS!$C$22)*(1+H1730)^5*(1+K1730)/(I1730-K1730)/(1+I1730)^5)-DCF!$C$12)/ASSUMPTIONS!$C$7</f>
        <v/>
      </c>
    </row>
    <row r="1731">
      <c r="H1731" s="83">
        <f>_xlfn.NORM.INV(RAND(),AVERAGE(ASSUMPTIONS!$C$38,ASSUMPTIONS!$C$39,ASSUMPTIONS!$C$40,ASSUMPTIONS!$C$41,ASSUMPTIONS!$C$42),ASSUMPTIONS!$C$68)</f>
        <v/>
      </c>
      <c r="I1731" s="83">
        <f>MAX(_xlfn.NORM.INV(RAND(),DCF!$C$11,ASSUMPTIONS!$C$69),K1731+0.005)</f>
        <v/>
      </c>
      <c r="J1731" s="83">
        <f>_xlfn.NORM.INV(RAND(),ASSUMPTIONS!$C$19,ASSUMPTIONS!$C$70)</f>
        <v/>
      </c>
      <c r="K1731" s="83">
        <f>_xlfn.NORM.INV(RAND(),ASSUMPTIONS!$C$43,ASSUMPTIONS!$C$71)</f>
        <v/>
      </c>
      <c r="L1731" s="84">
        <f>(((ASSUMPTIONS!$C$18*J1731*(1-ASSUMPTIONS!$C$20)+ASSUMPTIONS!$C$18*ASSUMPTIONS!$C$21-ASSUMPTIONS!$C$18*ASSUMPTIONS!$C$22)*(1+H1731)*(1-((1+H1731)/(1+I1731))^5)/(I1731-H1731))+((ASSUMPTIONS!$C$18*J1731*(1-ASSUMPTIONS!$C$20)+ASSUMPTIONS!$C$18*ASSUMPTIONS!$C$21-ASSUMPTIONS!$C$18*ASSUMPTIONS!$C$22)*(1+H1731)^5*(1+K1731)/(I1731-K1731)/(1+I1731)^5)-DCF!$C$12)/ASSUMPTIONS!$C$7</f>
        <v/>
      </c>
    </row>
    <row r="1732">
      <c r="H1732" s="83">
        <f>_xlfn.NORM.INV(RAND(),AVERAGE(ASSUMPTIONS!$C$38,ASSUMPTIONS!$C$39,ASSUMPTIONS!$C$40,ASSUMPTIONS!$C$41,ASSUMPTIONS!$C$42),ASSUMPTIONS!$C$68)</f>
        <v/>
      </c>
      <c r="I1732" s="83">
        <f>MAX(_xlfn.NORM.INV(RAND(),DCF!$C$11,ASSUMPTIONS!$C$69),K1732+0.005)</f>
        <v/>
      </c>
      <c r="J1732" s="83">
        <f>_xlfn.NORM.INV(RAND(),ASSUMPTIONS!$C$19,ASSUMPTIONS!$C$70)</f>
        <v/>
      </c>
      <c r="K1732" s="83">
        <f>_xlfn.NORM.INV(RAND(),ASSUMPTIONS!$C$43,ASSUMPTIONS!$C$71)</f>
        <v/>
      </c>
      <c r="L1732" s="84">
        <f>(((ASSUMPTIONS!$C$18*J1732*(1-ASSUMPTIONS!$C$20)+ASSUMPTIONS!$C$18*ASSUMPTIONS!$C$21-ASSUMPTIONS!$C$18*ASSUMPTIONS!$C$22)*(1+H1732)*(1-((1+H1732)/(1+I1732))^5)/(I1732-H1732))+((ASSUMPTIONS!$C$18*J1732*(1-ASSUMPTIONS!$C$20)+ASSUMPTIONS!$C$18*ASSUMPTIONS!$C$21-ASSUMPTIONS!$C$18*ASSUMPTIONS!$C$22)*(1+H1732)^5*(1+K1732)/(I1732-K1732)/(1+I1732)^5)-DCF!$C$12)/ASSUMPTIONS!$C$7</f>
        <v/>
      </c>
    </row>
    <row r="1733">
      <c r="H1733" s="83">
        <f>_xlfn.NORM.INV(RAND(),AVERAGE(ASSUMPTIONS!$C$38,ASSUMPTIONS!$C$39,ASSUMPTIONS!$C$40,ASSUMPTIONS!$C$41,ASSUMPTIONS!$C$42),ASSUMPTIONS!$C$68)</f>
        <v/>
      </c>
      <c r="I1733" s="83">
        <f>MAX(_xlfn.NORM.INV(RAND(),DCF!$C$11,ASSUMPTIONS!$C$69),K1733+0.005)</f>
        <v/>
      </c>
      <c r="J1733" s="83">
        <f>_xlfn.NORM.INV(RAND(),ASSUMPTIONS!$C$19,ASSUMPTIONS!$C$70)</f>
        <v/>
      </c>
      <c r="K1733" s="83">
        <f>_xlfn.NORM.INV(RAND(),ASSUMPTIONS!$C$43,ASSUMPTIONS!$C$71)</f>
        <v/>
      </c>
      <c r="L1733" s="84">
        <f>(((ASSUMPTIONS!$C$18*J1733*(1-ASSUMPTIONS!$C$20)+ASSUMPTIONS!$C$18*ASSUMPTIONS!$C$21-ASSUMPTIONS!$C$18*ASSUMPTIONS!$C$22)*(1+H1733)*(1-((1+H1733)/(1+I1733))^5)/(I1733-H1733))+((ASSUMPTIONS!$C$18*J1733*(1-ASSUMPTIONS!$C$20)+ASSUMPTIONS!$C$18*ASSUMPTIONS!$C$21-ASSUMPTIONS!$C$18*ASSUMPTIONS!$C$22)*(1+H1733)^5*(1+K1733)/(I1733-K1733)/(1+I1733)^5)-DCF!$C$12)/ASSUMPTIONS!$C$7</f>
        <v/>
      </c>
    </row>
    <row r="1734">
      <c r="H1734" s="83">
        <f>_xlfn.NORM.INV(RAND(),AVERAGE(ASSUMPTIONS!$C$38,ASSUMPTIONS!$C$39,ASSUMPTIONS!$C$40,ASSUMPTIONS!$C$41,ASSUMPTIONS!$C$42),ASSUMPTIONS!$C$68)</f>
        <v/>
      </c>
      <c r="I1734" s="83">
        <f>MAX(_xlfn.NORM.INV(RAND(),DCF!$C$11,ASSUMPTIONS!$C$69),K1734+0.005)</f>
        <v/>
      </c>
      <c r="J1734" s="83">
        <f>_xlfn.NORM.INV(RAND(),ASSUMPTIONS!$C$19,ASSUMPTIONS!$C$70)</f>
        <v/>
      </c>
      <c r="K1734" s="83">
        <f>_xlfn.NORM.INV(RAND(),ASSUMPTIONS!$C$43,ASSUMPTIONS!$C$71)</f>
        <v/>
      </c>
      <c r="L1734" s="84">
        <f>(((ASSUMPTIONS!$C$18*J1734*(1-ASSUMPTIONS!$C$20)+ASSUMPTIONS!$C$18*ASSUMPTIONS!$C$21-ASSUMPTIONS!$C$18*ASSUMPTIONS!$C$22)*(1+H1734)*(1-((1+H1734)/(1+I1734))^5)/(I1734-H1734))+((ASSUMPTIONS!$C$18*J1734*(1-ASSUMPTIONS!$C$20)+ASSUMPTIONS!$C$18*ASSUMPTIONS!$C$21-ASSUMPTIONS!$C$18*ASSUMPTIONS!$C$22)*(1+H1734)^5*(1+K1734)/(I1734-K1734)/(1+I1734)^5)-DCF!$C$12)/ASSUMPTIONS!$C$7</f>
        <v/>
      </c>
    </row>
    <row r="1735">
      <c r="H1735" s="83">
        <f>_xlfn.NORM.INV(RAND(),AVERAGE(ASSUMPTIONS!$C$38,ASSUMPTIONS!$C$39,ASSUMPTIONS!$C$40,ASSUMPTIONS!$C$41,ASSUMPTIONS!$C$42),ASSUMPTIONS!$C$68)</f>
        <v/>
      </c>
      <c r="I1735" s="83">
        <f>MAX(_xlfn.NORM.INV(RAND(),DCF!$C$11,ASSUMPTIONS!$C$69),K1735+0.005)</f>
        <v/>
      </c>
      <c r="J1735" s="83">
        <f>_xlfn.NORM.INV(RAND(),ASSUMPTIONS!$C$19,ASSUMPTIONS!$C$70)</f>
        <v/>
      </c>
      <c r="K1735" s="83">
        <f>_xlfn.NORM.INV(RAND(),ASSUMPTIONS!$C$43,ASSUMPTIONS!$C$71)</f>
        <v/>
      </c>
      <c r="L1735" s="84">
        <f>(((ASSUMPTIONS!$C$18*J1735*(1-ASSUMPTIONS!$C$20)+ASSUMPTIONS!$C$18*ASSUMPTIONS!$C$21-ASSUMPTIONS!$C$18*ASSUMPTIONS!$C$22)*(1+H1735)*(1-((1+H1735)/(1+I1735))^5)/(I1735-H1735))+((ASSUMPTIONS!$C$18*J1735*(1-ASSUMPTIONS!$C$20)+ASSUMPTIONS!$C$18*ASSUMPTIONS!$C$21-ASSUMPTIONS!$C$18*ASSUMPTIONS!$C$22)*(1+H1735)^5*(1+K1735)/(I1735-K1735)/(1+I1735)^5)-DCF!$C$12)/ASSUMPTIONS!$C$7</f>
        <v/>
      </c>
    </row>
    <row r="1736">
      <c r="H1736" s="83">
        <f>_xlfn.NORM.INV(RAND(),AVERAGE(ASSUMPTIONS!$C$38,ASSUMPTIONS!$C$39,ASSUMPTIONS!$C$40,ASSUMPTIONS!$C$41,ASSUMPTIONS!$C$42),ASSUMPTIONS!$C$68)</f>
        <v/>
      </c>
      <c r="I1736" s="83">
        <f>MAX(_xlfn.NORM.INV(RAND(),DCF!$C$11,ASSUMPTIONS!$C$69),K1736+0.005)</f>
        <v/>
      </c>
      <c r="J1736" s="83">
        <f>_xlfn.NORM.INV(RAND(),ASSUMPTIONS!$C$19,ASSUMPTIONS!$C$70)</f>
        <v/>
      </c>
      <c r="K1736" s="83">
        <f>_xlfn.NORM.INV(RAND(),ASSUMPTIONS!$C$43,ASSUMPTIONS!$C$71)</f>
        <v/>
      </c>
      <c r="L1736" s="84">
        <f>(((ASSUMPTIONS!$C$18*J1736*(1-ASSUMPTIONS!$C$20)+ASSUMPTIONS!$C$18*ASSUMPTIONS!$C$21-ASSUMPTIONS!$C$18*ASSUMPTIONS!$C$22)*(1+H1736)*(1-((1+H1736)/(1+I1736))^5)/(I1736-H1736))+((ASSUMPTIONS!$C$18*J1736*(1-ASSUMPTIONS!$C$20)+ASSUMPTIONS!$C$18*ASSUMPTIONS!$C$21-ASSUMPTIONS!$C$18*ASSUMPTIONS!$C$22)*(1+H1736)^5*(1+K1736)/(I1736-K1736)/(1+I1736)^5)-DCF!$C$12)/ASSUMPTIONS!$C$7</f>
        <v/>
      </c>
    </row>
    <row r="1737">
      <c r="H1737" s="83">
        <f>_xlfn.NORM.INV(RAND(),AVERAGE(ASSUMPTIONS!$C$38,ASSUMPTIONS!$C$39,ASSUMPTIONS!$C$40,ASSUMPTIONS!$C$41,ASSUMPTIONS!$C$42),ASSUMPTIONS!$C$68)</f>
        <v/>
      </c>
      <c r="I1737" s="83">
        <f>MAX(_xlfn.NORM.INV(RAND(),DCF!$C$11,ASSUMPTIONS!$C$69),K1737+0.005)</f>
        <v/>
      </c>
      <c r="J1737" s="83">
        <f>_xlfn.NORM.INV(RAND(),ASSUMPTIONS!$C$19,ASSUMPTIONS!$C$70)</f>
        <v/>
      </c>
      <c r="K1737" s="83">
        <f>_xlfn.NORM.INV(RAND(),ASSUMPTIONS!$C$43,ASSUMPTIONS!$C$71)</f>
        <v/>
      </c>
      <c r="L1737" s="84">
        <f>(((ASSUMPTIONS!$C$18*J1737*(1-ASSUMPTIONS!$C$20)+ASSUMPTIONS!$C$18*ASSUMPTIONS!$C$21-ASSUMPTIONS!$C$18*ASSUMPTIONS!$C$22)*(1+H1737)*(1-((1+H1737)/(1+I1737))^5)/(I1737-H1737))+((ASSUMPTIONS!$C$18*J1737*(1-ASSUMPTIONS!$C$20)+ASSUMPTIONS!$C$18*ASSUMPTIONS!$C$21-ASSUMPTIONS!$C$18*ASSUMPTIONS!$C$22)*(1+H1737)^5*(1+K1737)/(I1737-K1737)/(1+I1737)^5)-DCF!$C$12)/ASSUMPTIONS!$C$7</f>
        <v/>
      </c>
    </row>
    <row r="1738">
      <c r="H1738" s="83">
        <f>_xlfn.NORM.INV(RAND(),AVERAGE(ASSUMPTIONS!$C$38,ASSUMPTIONS!$C$39,ASSUMPTIONS!$C$40,ASSUMPTIONS!$C$41,ASSUMPTIONS!$C$42),ASSUMPTIONS!$C$68)</f>
        <v/>
      </c>
      <c r="I1738" s="83">
        <f>MAX(_xlfn.NORM.INV(RAND(),DCF!$C$11,ASSUMPTIONS!$C$69),K1738+0.005)</f>
        <v/>
      </c>
      <c r="J1738" s="83">
        <f>_xlfn.NORM.INV(RAND(),ASSUMPTIONS!$C$19,ASSUMPTIONS!$C$70)</f>
        <v/>
      </c>
      <c r="K1738" s="83">
        <f>_xlfn.NORM.INV(RAND(),ASSUMPTIONS!$C$43,ASSUMPTIONS!$C$71)</f>
        <v/>
      </c>
      <c r="L1738" s="84">
        <f>(((ASSUMPTIONS!$C$18*J1738*(1-ASSUMPTIONS!$C$20)+ASSUMPTIONS!$C$18*ASSUMPTIONS!$C$21-ASSUMPTIONS!$C$18*ASSUMPTIONS!$C$22)*(1+H1738)*(1-((1+H1738)/(1+I1738))^5)/(I1738-H1738))+((ASSUMPTIONS!$C$18*J1738*(1-ASSUMPTIONS!$C$20)+ASSUMPTIONS!$C$18*ASSUMPTIONS!$C$21-ASSUMPTIONS!$C$18*ASSUMPTIONS!$C$22)*(1+H1738)^5*(1+K1738)/(I1738-K1738)/(1+I1738)^5)-DCF!$C$12)/ASSUMPTIONS!$C$7</f>
        <v/>
      </c>
    </row>
    <row r="1739">
      <c r="H1739" s="83">
        <f>_xlfn.NORM.INV(RAND(),AVERAGE(ASSUMPTIONS!$C$38,ASSUMPTIONS!$C$39,ASSUMPTIONS!$C$40,ASSUMPTIONS!$C$41,ASSUMPTIONS!$C$42),ASSUMPTIONS!$C$68)</f>
        <v/>
      </c>
      <c r="I1739" s="83">
        <f>MAX(_xlfn.NORM.INV(RAND(),DCF!$C$11,ASSUMPTIONS!$C$69),K1739+0.005)</f>
        <v/>
      </c>
      <c r="J1739" s="83">
        <f>_xlfn.NORM.INV(RAND(),ASSUMPTIONS!$C$19,ASSUMPTIONS!$C$70)</f>
        <v/>
      </c>
      <c r="K1739" s="83">
        <f>_xlfn.NORM.INV(RAND(),ASSUMPTIONS!$C$43,ASSUMPTIONS!$C$71)</f>
        <v/>
      </c>
      <c r="L1739" s="84">
        <f>(((ASSUMPTIONS!$C$18*J1739*(1-ASSUMPTIONS!$C$20)+ASSUMPTIONS!$C$18*ASSUMPTIONS!$C$21-ASSUMPTIONS!$C$18*ASSUMPTIONS!$C$22)*(1+H1739)*(1-((1+H1739)/(1+I1739))^5)/(I1739-H1739))+((ASSUMPTIONS!$C$18*J1739*(1-ASSUMPTIONS!$C$20)+ASSUMPTIONS!$C$18*ASSUMPTIONS!$C$21-ASSUMPTIONS!$C$18*ASSUMPTIONS!$C$22)*(1+H1739)^5*(1+K1739)/(I1739-K1739)/(1+I1739)^5)-DCF!$C$12)/ASSUMPTIONS!$C$7</f>
        <v/>
      </c>
    </row>
    <row r="1740">
      <c r="H1740" s="83">
        <f>_xlfn.NORM.INV(RAND(),AVERAGE(ASSUMPTIONS!$C$38,ASSUMPTIONS!$C$39,ASSUMPTIONS!$C$40,ASSUMPTIONS!$C$41,ASSUMPTIONS!$C$42),ASSUMPTIONS!$C$68)</f>
        <v/>
      </c>
      <c r="I1740" s="83">
        <f>MAX(_xlfn.NORM.INV(RAND(),DCF!$C$11,ASSUMPTIONS!$C$69),K1740+0.005)</f>
        <v/>
      </c>
      <c r="J1740" s="83">
        <f>_xlfn.NORM.INV(RAND(),ASSUMPTIONS!$C$19,ASSUMPTIONS!$C$70)</f>
        <v/>
      </c>
      <c r="K1740" s="83">
        <f>_xlfn.NORM.INV(RAND(),ASSUMPTIONS!$C$43,ASSUMPTIONS!$C$71)</f>
        <v/>
      </c>
      <c r="L1740" s="84">
        <f>(((ASSUMPTIONS!$C$18*J1740*(1-ASSUMPTIONS!$C$20)+ASSUMPTIONS!$C$18*ASSUMPTIONS!$C$21-ASSUMPTIONS!$C$18*ASSUMPTIONS!$C$22)*(1+H1740)*(1-((1+H1740)/(1+I1740))^5)/(I1740-H1740))+((ASSUMPTIONS!$C$18*J1740*(1-ASSUMPTIONS!$C$20)+ASSUMPTIONS!$C$18*ASSUMPTIONS!$C$21-ASSUMPTIONS!$C$18*ASSUMPTIONS!$C$22)*(1+H1740)^5*(1+K1740)/(I1740-K1740)/(1+I1740)^5)-DCF!$C$12)/ASSUMPTIONS!$C$7</f>
        <v/>
      </c>
    </row>
    <row r="1741">
      <c r="H1741" s="83">
        <f>_xlfn.NORM.INV(RAND(),AVERAGE(ASSUMPTIONS!$C$38,ASSUMPTIONS!$C$39,ASSUMPTIONS!$C$40,ASSUMPTIONS!$C$41,ASSUMPTIONS!$C$42),ASSUMPTIONS!$C$68)</f>
        <v/>
      </c>
      <c r="I1741" s="83">
        <f>MAX(_xlfn.NORM.INV(RAND(),DCF!$C$11,ASSUMPTIONS!$C$69),K1741+0.005)</f>
        <v/>
      </c>
      <c r="J1741" s="83">
        <f>_xlfn.NORM.INV(RAND(),ASSUMPTIONS!$C$19,ASSUMPTIONS!$C$70)</f>
        <v/>
      </c>
      <c r="K1741" s="83">
        <f>_xlfn.NORM.INV(RAND(),ASSUMPTIONS!$C$43,ASSUMPTIONS!$C$71)</f>
        <v/>
      </c>
      <c r="L1741" s="84">
        <f>(((ASSUMPTIONS!$C$18*J1741*(1-ASSUMPTIONS!$C$20)+ASSUMPTIONS!$C$18*ASSUMPTIONS!$C$21-ASSUMPTIONS!$C$18*ASSUMPTIONS!$C$22)*(1+H1741)*(1-((1+H1741)/(1+I1741))^5)/(I1741-H1741))+((ASSUMPTIONS!$C$18*J1741*(1-ASSUMPTIONS!$C$20)+ASSUMPTIONS!$C$18*ASSUMPTIONS!$C$21-ASSUMPTIONS!$C$18*ASSUMPTIONS!$C$22)*(1+H1741)^5*(1+K1741)/(I1741-K1741)/(1+I1741)^5)-DCF!$C$12)/ASSUMPTIONS!$C$7</f>
        <v/>
      </c>
    </row>
    <row r="1742">
      <c r="H1742" s="83">
        <f>_xlfn.NORM.INV(RAND(),AVERAGE(ASSUMPTIONS!$C$38,ASSUMPTIONS!$C$39,ASSUMPTIONS!$C$40,ASSUMPTIONS!$C$41,ASSUMPTIONS!$C$42),ASSUMPTIONS!$C$68)</f>
        <v/>
      </c>
      <c r="I1742" s="83">
        <f>MAX(_xlfn.NORM.INV(RAND(),DCF!$C$11,ASSUMPTIONS!$C$69),K1742+0.005)</f>
        <v/>
      </c>
      <c r="J1742" s="83">
        <f>_xlfn.NORM.INV(RAND(),ASSUMPTIONS!$C$19,ASSUMPTIONS!$C$70)</f>
        <v/>
      </c>
      <c r="K1742" s="83">
        <f>_xlfn.NORM.INV(RAND(),ASSUMPTIONS!$C$43,ASSUMPTIONS!$C$71)</f>
        <v/>
      </c>
      <c r="L1742" s="84">
        <f>(((ASSUMPTIONS!$C$18*J1742*(1-ASSUMPTIONS!$C$20)+ASSUMPTIONS!$C$18*ASSUMPTIONS!$C$21-ASSUMPTIONS!$C$18*ASSUMPTIONS!$C$22)*(1+H1742)*(1-((1+H1742)/(1+I1742))^5)/(I1742-H1742))+((ASSUMPTIONS!$C$18*J1742*(1-ASSUMPTIONS!$C$20)+ASSUMPTIONS!$C$18*ASSUMPTIONS!$C$21-ASSUMPTIONS!$C$18*ASSUMPTIONS!$C$22)*(1+H1742)^5*(1+K1742)/(I1742-K1742)/(1+I1742)^5)-DCF!$C$12)/ASSUMPTIONS!$C$7</f>
        <v/>
      </c>
    </row>
    <row r="1743">
      <c r="H1743" s="83">
        <f>_xlfn.NORM.INV(RAND(),AVERAGE(ASSUMPTIONS!$C$38,ASSUMPTIONS!$C$39,ASSUMPTIONS!$C$40,ASSUMPTIONS!$C$41,ASSUMPTIONS!$C$42),ASSUMPTIONS!$C$68)</f>
        <v/>
      </c>
      <c r="I1743" s="83">
        <f>MAX(_xlfn.NORM.INV(RAND(),DCF!$C$11,ASSUMPTIONS!$C$69),K1743+0.005)</f>
        <v/>
      </c>
      <c r="J1743" s="83">
        <f>_xlfn.NORM.INV(RAND(),ASSUMPTIONS!$C$19,ASSUMPTIONS!$C$70)</f>
        <v/>
      </c>
      <c r="K1743" s="83">
        <f>_xlfn.NORM.INV(RAND(),ASSUMPTIONS!$C$43,ASSUMPTIONS!$C$71)</f>
        <v/>
      </c>
      <c r="L1743" s="84">
        <f>(((ASSUMPTIONS!$C$18*J1743*(1-ASSUMPTIONS!$C$20)+ASSUMPTIONS!$C$18*ASSUMPTIONS!$C$21-ASSUMPTIONS!$C$18*ASSUMPTIONS!$C$22)*(1+H1743)*(1-((1+H1743)/(1+I1743))^5)/(I1743-H1743))+((ASSUMPTIONS!$C$18*J1743*(1-ASSUMPTIONS!$C$20)+ASSUMPTIONS!$C$18*ASSUMPTIONS!$C$21-ASSUMPTIONS!$C$18*ASSUMPTIONS!$C$22)*(1+H1743)^5*(1+K1743)/(I1743-K1743)/(1+I1743)^5)-DCF!$C$12)/ASSUMPTIONS!$C$7</f>
        <v/>
      </c>
    </row>
    <row r="1744">
      <c r="H1744" s="83">
        <f>_xlfn.NORM.INV(RAND(),AVERAGE(ASSUMPTIONS!$C$38,ASSUMPTIONS!$C$39,ASSUMPTIONS!$C$40,ASSUMPTIONS!$C$41,ASSUMPTIONS!$C$42),ASSUMPTIONS!$C$68)</f>
        <v/>
      </c>
      <c r="I1744" s="83">
        <f>MAX(_xlfn.NORM.INV(RAND(),DCF!$C$11,ASSUMPTIONS!$C$69),K1744+0.005)</f>
        <v/>
      </c>
      <c r="J1744" s="83">
        <f>_xlfn.NORM.INV(RAND(),ASSUMPTIONS!$C$19,ASSUMPTIONS!$C$70)</f>
        <v/>
      </c>
      <c r="K1744" s="83">
        <f>_xlfn.NORM.INV(RAND(),ASSUMPTIONS!$C$43,ASSUMPTIONS!$C$71)</f>
        <v/>
      </c>
      <c r="L1744" s="84">
        <f>(((ASSUMPTIONS!$C$18*J1744*(1-ASSUMPTIONS!$C$20)+ASSUMPTIONS!$C$18*ASSUMPTIONS!$C$21-ASSUMPTIONS!$C$18*ASSUMPTIONS!$C$22)*(1+H1744)*(1-((1+H1744)/(1+I1744))^5)/(I1744-H1744))+((ASSUMPTIONS!$C$18*J1744*(1-ASSUMPTIONS!$C$20)+ASSUMPTIONS!$C$18*ASSUMPTIONS!$C$21-ASSUMPTIONS!$C$18*ASSUMPTIONS!$C$22)*(1+H1744)^5*(1+K1744)/(I1744-K1744)/(1+I1744)^5)-DCF!$C$12)/ASSUMPTIONS!$C$7</f>
        <v/>
      </c>
    </row>
    <row r="1745">
      <c r="H1745" s="83">
        <f>_xlfn.NORM.INV(RAND(),AVERAGE(ASSUMPTIONS!$C$38,ASSUMPTIONS!$C$39,ASSUMPTIONS!$C$40,ASSUMPTIONS!$C$41,ASSUMPTIONS!$C$42),ASSUMPTIONS!$C$68)</f>
        <v/>
      </c>
      <c r="I1745" s="83">
        <f>MAX(_xlfn.NORM.INV(RAND(),DCF!$C$11,ASSUMPTIONS!$C$69),K1745+0.005)</f>
        <v/>
      </c>
      <c r="J1745" s="83">
        <f>_xlfn.NORM.INV(RAND(),ASSUMPTIONS!$C$19,ASSUMPTIONS!$C$70)</f>
        <v/>
      </c>
      <c r="K1745" s="83">
        <f>_xlfn.NORM.INV(RAND(),ASSUMPTIONS!$C$43,ASSUMPTIONS!$C$71)</f>
        <v/>
      </c>
      <c r="L1745" s="84">
        <f>(((ASSUMPTIONS!$C$18*J1745*(1-ASSUMPTIONS!$C$20)+ASSUMPTIONS!$C$18*ASSUMPTIONS!$C$21-ASSUMPTIONS!$C$18*ASSUMPTIONS!$C$22)*(1+H1745)*(1-((1+H1745)/(1+I1745))^5)/(I1745-H1745))+((ASSUMPTIONS!$C$18*J1745*(1-ASSUMPTIONS!$C$20)+ASSUMPTIONS!$C$18*ASSUMPTIONS!$C$21-ASSUMPTIONS!$C$18*ASSUMPTIONS!$C$22)*(1+H1745)^5*(1+K1745)/(I1745-K1745)/(1+I1745)^5)-DCF!$C$12)/ASSUMPTIONS!$C$7</f>
        <v/>
      </c>
    </row>
    <row r="1746">
      <c r="H1746" s="83">
        <f>_xlfn.NORM.INV(RAND(),AVERAGE(ASSUMPTIONS!$C$38,ASSUMPTIONS!$C$39,ASSUMPTIONS!$C$40,ASSUMPTIONS!$C$41,ASSUMPTIONS!$C$42),ASSUMPTIONS!$C$68)</f>
        <v/>
      </c>
      <c r="I1746" s="83">
        <f>MAX(_xlfn.NORM.INV(RAND(),DCF!$C$11,ASSUMPTIONS!$C$69),K1746+0.005)</f>
        <v/>
      </c>
      <c r="J1746" s="83">
        <f>_xlfn.NORM.INV(RAND(),ASSUMPTIONS!$C$19,ASSUMPTIONS!$C$70)</f>
        <v/>
      </c>
      <c r="K1746" s="83">
        <f>_xlfn.NORM.INV(RAND(),ASSUMPTIONS!$C$43,ASSUMPTIONS!$C$71)</f>
        <v/>
      </c>
      <c r="L1746" s="84">
        <f>(((ASSUMPTIONS!$C$18*J1746*(1-ASSUMPTIONS!$C$20)+ASSUMPTIONS!$C$18*ASSUMPTIONS!$C$21-ASSUMPTIONS!$C$18*ASSUMPTIONS!$C$22)*(1+H1746)*(1-((1+H1746)/(1+I1746))^5)/(I1746-H1746))+((ASSUMPTIONS!$C$18*J1746*(1-ASSUMPTIONS!$C$20)+ASSUMPTIONS!$C$18*ASSUMPTIONS!$C$21-ASSUMPTIONS!$C$18*ASSUMPTIONS!$C$22)*(1+H1746)^5*(1+K1746)/(I1746-K1746)/(1+I1746)^5)-DCF!$C$12)/ASSUMPTIONS!$C$7</f>
        <v/>
      </c>
    </row>
    <row r="1747">
      <c r="H1747" s="83">
        <f>_xlfn.NORM.INV(RAND(),AVERAGE(ASSUMPTIONS!$C$38,ASSUMPTIONS!$C$39,ASSUMPTIONS!$C$40,ASSUMPTIONS!$C$41,ASSUMPTIONS!$C$42),ASSUMPTIONS!$C$68)</f>
        <v/>
      </c>
      <c r="I1747" s="83">
        <f>MAX(_xlfn.NORM.INV(RAND(),DCF!$C$11,ASSUMPTIONS!$C$69),K1747+0.005)</f>
        <v/>
      </c>
      <c r="J1747" s="83">
        <f>_xlfn.NORM.INV(RAND(),ASSUMPTIONS!$C$19,ASSUMPTIONS!$C$70)</f>
        <v/>
      </c>
      <c r="K1747" s="83">
        <f>_xlfn.NORM.INV(RAND(),ASSUMPTIONS!$C$43,ASSUMPTIONS!$C$71)</f>
        <v/>
      </c>
      <c r="L1747" s="84">
        <f>(((ASSUMPTIONS!$C$18*J1747*(1-ASSUMPTIONS!$C$20)+ASSUMPTIONS!$C$18*ASSUMPTIONS!$C$21-ASSUMPTIONS!$C$18*ASSUMPTIONS!$C$22)*(1+H1747)*(1-((1+H1747)/(1+I1747))^5)/(I1747-H1747))+((ASSUMPTIONS!$C$18*J1747*(1-ASSUMPTIONS!$C$20)+ASSUMPTIONS!$C$18*ASSUMPTIONS!$C$21-ASSUMPTIONS!$C$18*ASSUMPTIONS!$C$22)*(1+H1747)^5*(1+K1747)/(I1747-K1747)/(1+I1747)^5)-DCF!$C$12)/ASSUMPTIONS!$C$7</f>
        <v/>
      </c>
    </row>
    <row r="1748">
      <c r="H1748" s="83">
        <f>_xlfn.NORM.INV(RAND(),AVERAGE(ASSUMPTIONS!$C$38,ASSUMPTIONS!$C$39,ASSUMPTIONS!$C$40,ASSUMPTIONS!$C$41,ASSUMPTIONS!$C$42),ASSUMPTIONS!$C$68)</f>
        <v/>
      </c>
      <c r="I1748" s="83">
        <f>MAX(_xlfn.NORM.INV(RAND(),DCF!$C$11,ASSUMPTIONS!$C$69),K1748+0.005)</f>
        <v/>
      </c>
      <c r="J1748" s="83">
        <f>_xlfn.NORM.INV(RAND(),ASSUMPTIONS!$C$19,ASSUMPTIONS!$C$70)</f>
        <v/>
      </c>
      <c r="K1748" s="83">
        <f>_xlfn.NORM.INV(RAND(),ASSUMPTIONS!$C$43,ASSUMPTIONS!$C$71)</f>
        <v/>
      </c>
      <c r="L1748" s="84">
        <f>(((ASSUMPTIONS!$C$18*J1748*(1-ASSUMPTIONS!$C$20)+ASSUMPTIONS!$C$18*ASSUMPTIONS!$C$21-ASSUMPTIONS!$C$18*ASSUMPTIONS!$C$22)*(1+H1748)*(1-((1+H1748)/(1+I1748))^5)/(I1748-H1748))+((ASSUMPTIONS!$C$18*J1748*(1-ASSUMPTIONS!$C$20)+ASSUMPTIONS!$C$18*ASSUMPTIONS!$C$21-ASSUMPTIONS!$C$18*ASSUMPTIONS!$C$22)*(1+H1748)^5*(1+K1748)/(I1748-K1748)/(1+I1748)^5)-DCF!$C$12)/ASSUMPTIONS!$C$7</f>
        <v/>
      </c>
    </row>
    <row r="1749">
      <c r="H1749" s="83">
        <f>_xlfn.NORM.INV(RAND(),AVERAGE(ASSUMPTIONS!$C$38,ASSUMPTIONS!$C$39,ASSUMPTIONS!$C$40,ASSUMPTIONS!$C$41,ASSUMPTIONS!$C$42),ASSUMPTIONS!$C$68)</f>
        <v/>
      </c>
      <c r="I1749" s="83">
        <f>MAX(_xlfn.NORM.INV(RAND(),DCF!$C$11,ASSUMPTIONS!$C$69),K1749+0.005)</f>
        <v/>
      </c>
      <c r="J1749" s="83">
        <f>_xlfn.NORM.INV(RAND(),ASSUMPTIONS!$C$19,ASSUMPTIONS!$C$70)</f>
        <v/>
      </c>
      <c r="K1749" s="83">
        <f>_xlfn.NORM.INV(RAND(),ASSUMPTIONS!$C$43,ASSUMPTIONS!$C$71)</f>
        <v/>
      </c>
      <c r="L1749" s="84">
        <f>(((ASSUMPTIONS!$C$18*J1749*(1-ASSUMPTIONS!$C$20)+ASSUMPTIONS!$C$18*ASSUMPTIONS!$C$21-ASSUMPTIONS!$C$18*ASSUMPTIONS!$C$22)*(1+H1749)*(1-((1+H1749)/(1+I1749))^5)/(I1749-H1749))+((ASSUMPTIONS!$C$18*J1749*(1-ASSUMPTIONS!$C$20)+ASSUMPTIONS!$C$18*ASSUMPTIONS!$C$21-ASSUMPTIONS!$C$18*ASSUMPTIONS!$C$22)*(1+H1749)^5*(1+K1749)/(I1749-K1749)/(1+I1749)^5)-DCF!$C$12)/ASSUMPTIONS!$C$7</f>
        <v/>
      </c>
    </row>
    <row r="1750">
      <c r="H1750" s="83">
        <f>_xlfn.NORM.INV(RAND(),AVERAGE(ASSUMPTIONS!$C$38,ASSUMPTIONS!$C$39,ASSUMPTIONS!$C$40,ASSUMPTIONS!$C$41,ASSUMPTIONS!$C$42),ASSUMPTIONS!$C$68)</f>
        <v/>
      </c>
      <c r="I1750" s="83">
        <f>MAX(_xlfn.NORM.INV(RAND(),DCF!$C$11,ASSUMPTIONS!$C$69),K1750+0.005)</f>
        <v/>
      </c>
      <c r="J1750" s="83">
        <f>_xlfn.NORM.INV(RAND(),ASSUMPTIONS!$C$19,ASSUMPTIONS!$C$70)</f>
        <v/>
      </c>
      <c r="K1750" s="83">
        <f>_xlfn.NORM.INV(RAND(),ASSUMPTIONS!$C$43,ASSUMPTIONS!$C$71)</f>
        <v/>
      </c>
      <c r="L1750" s="84">
        <f>(((ASSUMPTIONS!$C$18*J1750*(1-ASSUMPTIONS!$C$20)+ASSUMPTIONS!$C$18*ASSUMPTIONS!$C$21-ASSUMPTIONS!$C$18*ASSUMPTIONS!$C$22)*(1+H1750)*(1-((1+H1750)/(1+I1750))^5)/(I1750-H1750))+((ASSUMPTIONS!$C$18*J1750*(1-ASSUMPTIONS!$C$20)+ASSUMPTIONS!$C$18*ASSUMPTIONS!$C$21-ASSUMPTIONS!$C$18*ASSUMPTIONS!$C$22)*(1+H1750)^5*(1+K1750)/(I1750-K1750)/(1+I1750)^5)-DCF!$C$12)/ASSUMPTIONS!$C$7</f>
        <v/>
      </c>
    </row>
    <row r="1751">
      <c r="H1751" s="83">
        <f>_xlfn.NORM.INV(RAND(),AVERAGE(ASSUMPTIONS!$C$38,ASSUMPTIONS!$C$39,ASSUMPTIONS!$C$40,ASSUMPTIONS!$C$41,ASSUMPTIONS!$C$42),ASSUMPTIONS!$C$68)</f>
        <v/>
      </c>
      <c r="I1751" s="83">
        <f>MAX(_xlfn.NORM.INV(RAND(),DCF!$C$11,ASSUMPTIONS!$C$69),K1751+0.005)</f>
        <v/>
      </c>
      <c r="J1751" s="83">
        <f>_xlfn.NORM.INV(RAND(),ASSUMPTIONS!$C$19,ASSUMPTIONS!$C$70)</f>
        <v/>
      </c>
      <c r="K1751" s="83">
        <f>_xlfn.NORM.INV(RAND(),ASSUMPTIONS!$C$43,ASSUMPTIONS!$C$71)</f>
        <v/>
      </c>
      <c r="L1751" s="84">
        <f>(((ASSUMPTIONS!$C$18*J1751*(1-ASSUMPTIONS!$C$20)+ASSUMPTIONS!$C$18*ASSUMPTIONS!$C$21-ASSUMPTIONS!$C$18*ASSUMPTIONS!$C$22)*(1+H1751)*(1-((1+H1751)/(1+I1751))^5)/(I1751-H1751))+((ASSUMPTIONS!$C$18*J1751*(1-ASSUMPTIONS!$C$20)+ASSUMPTIONS!$C$18*ASSUMPTIONS!$C$21-ASSUMPTIONS!$C$18*ASSUMPTIONS!$C$22)*(1+H1751)^5*(1+K1751)/(I1751-K1751)/(1+I1751)^5)-DCF!$C$12)/ASSUMPTIONS!$C$7</f>
        <v/>
      </c>
    </row>
    <row r="1752">
      <c r="H1752" s="83">
        <f>_xlfn.NORM.INV(RAND(),AVERAGE(ASSUMPTIONS!$C$38,ASSUMPTIONS!$C$39,ASSUMPTIONS!$C$40,ASSUMPTIONS!$C$41,ASSUMPTIONS!$C$42),ASSUMPTIONS!$C$68)</f>
        <v/>
      </c>
      <c r="I1752" s="83">
        <f>MAX(_xlfn.NORM.INV(RAND(),DCF!$C$11,ASSUMPTIONS!$C$69),K1752+0.005)</f>
        <v/>
      </c>
      <c r="J1752" s="83">
        <f>_xlfn.NORM.INV(RAND(),ASSUMPTIONS!$C$19,ASSUMPTIONS!$C$70)</f>
        <v/>
      </c>
      <c r="K1752" s="83">
        <f>_xlfn.NORM.INV(RAND(),ASSUMPTIONS!$C$43,ASSUMPTIONS!$C$71)</f>
        <v/>
      </c>
      <c r="L1752" s="84">
        <f>(((ASSUMPTIONS!$C$18*J1752*(1-ASSUMPTIONS!$C$20)+ASSUMPTIONS!$C$18*ASSUMPTIONS!$C$21-ASSUMPTIONS!$C$18*ASSUMPTIONS!$C$22)*(1+H1752)*(1-((1+H1752)/(1+I1752))^5)/(I1752-H1752))+((ASSUMPTIONS!$C$18*J1752*(1-ASSUMPTIONS!$C$20)+ASSUMPTIONS!$C$18*ASSUMPTIONS!$C$21-ASSUMPTIONS!$C$18*ASSUMPTIONS!$C$22)*(1+H1752)^5*(1+K1752)/(I1752-K1752)/(1+I1752)^5)-DCF!$C$12)/ASSUMPTIONS!$C$7</f>
        <v/>
      </c>
    </row>
    <row r="1753">
      <c r="H1753" s="83">
        <f>_xlfn.NORM.INV(RAND(),AVERAGE(ASSUMPTIONS!$C$38,ASSUMPTIONS!$C$39,ASSUMPTIONS!$C$40,ASSUMPTIONS!$C$41,ASSUMPTIONS!$C$42),ASSUMPTIONS!$C$68)</f>
        <v/>
      </c>
      <c r="I1753" s="83">
        <f>MAX(_xlfn.NORM.INV(RAND(),DCF!$C$11,ASSUMPTIONS!$C$69),K1753+0.005)</f>
        <v/>
      </c>
      <c r="J1753" s="83">
        <f>_xlfn.NORM.INV(RAND(),ASSUMPTIONS!$C$19,ASSUMPTIONS!$C$70)</f>
        <v/>
      </c>
      <c r="K1753" s="83">
        <f>_xlfn.NORM.INV(RAND(),ASSUMPTIONS!$C$43,ASSUMPTIONS!$C$71)</f>
        <v/>
      </c>
      <c r="L1753" s="84">
        <f>(((ASSUMPTIONS!$C$18*J1753*(1-ASSUMPTIONS!$C$20)+ASSUMPTIONS!$C$18*ASSUMPTIONS!$C$21-ASSUMPTIONS!$C$18*ASSUMPTIONS!$C$22)*(1+H1753)*(1-((1+H1753)/(1+I1753))^5)/(I1753-H1753))+((ASSUMPTIONS!$C$18*J1753*(1-ASSUMPTIONS!$C$20)+ASSUMPTIONS!$C$18*ASSUMPTIONS!$C$21-ASSUMPTIONS!$C$18*ASSUMPTIONS!$C$22)*(1+H1753)^5*(1+K1753)/(I1753-K1753)/(1+I1753)^5)-DCF!$C$12)/ASSUMPTIONS!$C$7</f>
        <v/>
      </c>
    </row>
    <row r="1754">
      <c r="H1754" s="83">
        <f>_xlfn.NORM.INV(RAND(),AVERAGE(ASSUMPTIONS!$C$38,ASSUMPTIONS!$C$39,ASSUMPTIONS!$C$40,ASSUMPTIONS!$C$41,ASSUMPTIONS!$C$42),ASSUMPTIONS!$C$68)</f>
        <v/>
      </c>
      <c r="I1754" s="83">
        <f>MAX(_xlfn.NORM.INV(RAND(),DCF!$C$11,ASSUMPTIONS!$C$69),K1754+0.005)</f>
        <v/>
      </c>
      <c r="J1754" s="83">
        <f>_xlfn.NORM.INV(RAND(),ASSUMPTIONS!$C$19,ASSUMPTIONS!$C$70)</f>
        <v/>
      </c>
      <c r="K1754" s="83">
        <f>_xlfn.NORM.INV(RAND(),ASSUMPTIONS!$C$43,ASSUMPTIONS!$C$71)</f>
        <v/>
      </c>
      <c r="L1754" s="84">
        <f>(((ASSUMPTIONS!$C$18*J1754*(1-ASSUMPTIONS!$C$20)+ASSUMPTIONS!$C$18*ASSUMPTIONS!$C$21-ASSUMPTIONS!$C$18*ASSUMPTIONS!$C$22)*(1+H1754)*(1-((1+H1754)/(1+I1754))^5)/(I1754-H1754))+((ASSUMPTIONS!$C$18*J1754*(1-ASSUMPTIONS!$C$20)+ASSUMPTIONS!$C$18*ASSUMPTIONS!$C$21-ASSUMPTIONS!$C$18*ASSUMPTIONS!$C$22)*(1+H1754)^5*(1+K1754)/(I1754-K1754)/(1+I1754)^5)-DCF!$C$12)/ASSUMPTIONS!$C$7</f>
        <v/>
      </c>
    </row>
    <row r="1755">
      <c r="H1755" s="83">
        <f>_xlfn.NORM.INV(RAND(),AVERAGE(ASSUMPTIONS!$C$38,ASSUMPTIONS!$C$39,ASSUMPTIONS!$C$40,ASSUMPTIONS!$C$41,ASSUMPTIONS!$C$42),ASSUMPTIONS!$C$68)</f>
        <v/>
      </c>
      <c r="I1755" s="83">
        <f>MAX(_xlfn.NORM.INV(RAND(),DCF!$C$11,ASSUMPTIONS!$C$69),K1755+0.005)</f>
        <v/>
      </c>
      <c r="J1755" s="83">
        <f>_xlfn.NORM.INV(RAND(),ASSUMPTIONS!$C$19,ASSUMPTIONS!$C$70)</f>
        <v/>
      </c>
      <c r="K1755" s="83">
        <f>_xlfn.NORM.INV(RAND(),ASSUMPTIONS!$C$43,ASSUMPTIONS!$C$71)</f>
        <v/>
      </c>
      <c r="L1755" s="84">
        <f>(((ASSUMPTIONS!$C$18*J1755*(1-ASSUMPTIONS!$C$20)+ASSUMPTIONS!$C$18*ASSUMPTIONS!$C$21-ASSUMPTIONS!$C$18*ASSUMPTIONS!$C$22)*(1+H1755)*(1-((1+H1755)/(1+I1755))^5)/(I1755-H1755))+((ASSUMPTIONS!$C$18*J1755*(1-ASSUMPTIONS!$C$20)+ASSUMPTIONS!$C$18*ASSUMPTIONS!$C$21-ASSUMPTIONS!$C$18*ASSUMPTIONS!$C$22)*(1+H1755)^5*(1+K1755)/(I1755-K1755)/(1+I1755)^5)-DCF!$C$12)/ASSUMPTIONS!$C$7</f>
        <v/>
      </c>
    </row>
    <row r="1756">
      <c r="H1756" s="83">
        <f>_xlfn.NORM.INV(RAND(),AVERAGE(ASSUMPTIONS!$C$38,ASSUMPTIONS!$C$39,ASSUMPTIONS!$C$40,ASSUMPTIONS!$C$41,ASSUMPTIONS!$C$42),ASSUMPTIONS!$C$68)</f>
        <v/>
      </c>
      <c r="I1756" s="83">
        <f>MAX(_xlfn.NORM.INV(RAND(),DCF!$C$11,ASSUMPTIONS!$C$69),K1756+0.005)</f>
        <v/>
      </c>
      <c r="J1756" s="83">
        <f>_xlfn.NORM.INV(RAND(),ASSUMPTIONS!$C$19,ASSUMPTIONS!$C$70)</f>
        <v/>
      </c>
      <c r="K1756" s="83">
        <f>_xlfn.NORM.INV(RAND(),ASSUMPTIONS!$C$43,ASSUMPTIONS!$C$71)</f>
        <v/>
      </c>
      <c r="L1756" s="84">
        <f>(((ASSUMPTIONS!$C$18*J1756*(1-ASSUMPTIONS!$C$20)+ASSUMPTIONS!$C$18*ASSUMPTIONS!$C$21-ASSUMPTIONS!$C$18*ASSUMPTIONS!$C$22)*(1+H1756)*(1-((1+H1756)/(1+I1756))^5)/(I1756-H1756))+((ASSUMPTIONS!$C$18*J1756*(1-ASSUMPTIONS!$C$20)+ASSUMPTIONS!$C$18*ASSUMPTIONS!$C$21-ASSUMPTIONS!$C$18*ASSUMPTIONS!$C$22)*(1+H1756)^5*(1+K1756)/(I1756-K1756)/(1+I1756)^5)-DCF!$C$12)/ASSUMPTIONS!$C$7</f>
        <v/>
      </c>
    </row>
    <row r="1757">
      <c r="H1757" s="83">
        <f>_xlfn.NORM.INV(RAND(),AVERAGE(ASSUMPTIONS!$C$38,ASSUMPTIONS!$C$39,ASSUMPTIONS!$C$40,ASSUMPTIONS!$C$41,ASSUMPTIONS!$C$42),ASSUMPTIONS!$C$68)</f>
        <v/>
      </c>
      <c r="I1757" s="83">
        <f>MAX(_xlfn.NORM.INV(RAND(),DCF!$C$11,ASSUMPTIONS!$C$69),K1757+0.005)</f>
        <v/>
      </c>
      <c r="J1757" s="83">
        <f>_xlfn.NORM.INV(RAND(),ASSUMPTIONS!$C$19,ASSUMPTIONS!$C$70)</f>
        <v/>
      </c>
      <c r="K1757" s="83">
        <f>_xlfn.NORM.INV(RAND(),ASSUMPTIONS!$C$43,ASSUMPTIONS!$C$71)</f>
        <v/>
      </c>
      <c r="L1757" s="84">
        <f>(((ASSUMPTIONS!$C$18*J1757*(1-ASSUMPTIONS!$C$20)+ASSUMPTIONS!$C$18*ASSUMPTIONS!$C$21-ASSUMPTIONS!$C$18*ASSUMPTIONS!$C$22)*(1+H1757)*(1-((1+H1757)/(1+I1757))^5)/(I1757-H1757))+((ASSUMPTIONS!$C$18*J1757*(1-ASSUMPTIONS!$C$20)+ASSUMPTIONS!$C$18*ASSUMPTIONS!$C$21-ASSUMPTIONS!$C$18*ASSUMPTIONS!$C$22)*(1+H1757)^5*(1+K1757)/(I1757-K1757)/(1+I1757)^5)-DCF!$C$12)/ASSUMPTIONS!$C$7</f>
        <v/>
      </c>
    </row>
    <row r="1758">
      <c r="H1758" s="83">
        <f>_xlfn.NORM.INV(RAND(),AVERAGE(ASSUMPTIONS!$C$38,ASSUMPTIONS!$C$39,ASSUMPTIONS!$C$40,ASSUMPTIONS!$C$41,ASSUMPTIONS!$C$42),ASSUMPTIONS!$C$68)</f>
        <v/>
      </c>
      <c r="I1758" s="83">
        <f>MAX(_xlfn.NORM.INV(RAND(),DCF!$C$11,ASSUMPTIONS!$C$69),K1758+0.005)</f>
        <v/>
      </c>
      <c r="J1758" s="83">
        <f>_xlfn.NORM.INV(RAND(),ASSUMPTIONS!$C$19,ASSUMPTIONS!$C$70)</f>
        <v/>
      </c>
      <c r="K1758" s="83">
        <f>_xlfn.NORM.INV(RAND(),ASSUMPTIONS!$C$43,ASSUMPTIONS!$C$71)</f>
        <v/>
      </c>
      <c r="L1758" s="84">
        <f>(((ASSUMPTIONS!$C$18*J1758*(1-ASSUMPTIONS!$C$20)+ASSUMPTIONS!$C$18*ASSUMPTIONS!$C$21-ASSUMPTIONS!$C$18*ASSUMPTIONS!$C$22)*(1+H1758)*(1-((1+H1758)/(1+I1758))^5)/(I1758-H1758))+((ASSUMPTIONS!$C$18*J1758*(1-ASSUMPTIONS!$C$20)+ASSUMPTIONS!$C$18*ASSUMPTIONS!$C$21-ASSUMPTIONS!$C$18*ASSUMPTIONS!$C$22)*(1+H1758)^5*(1+K1758)/(I1758-K1758)/(1+I1758)^5)-DCF!$C$12)/ASSUMPTIONS!$C$7</f>
        <v/>
      </c>
    </row>
    <row r="1759">
      <c r="H1759" s="83">
        <f>_xlfn.NORM.INV(RAND(),AVERAGE(ASSUMPTIONS!$C$38,ASSUMPTIONS!$C$39,ASSUMPTIONS!$C$40,ASSUMPTIONS!$C$41,ASSUMPTIONS!$C$42),ASSUMPTIONS!$C$68)</f>
        <v/>
      </c>
      <c r="I1759" s="83">
        <f>MAX(_xlfn.NORM.INV(RAND(),DCF!$C$11,ASSUMPTIONS!$C$69),K1759+0.005)</f>
        <v/>
      </c>
      <c r="J1759" s="83">
        <f>_xlfn.NORM.INV(RAND(),ASSUMPTIONS!$C$19,ASSUMPTIONS!$C$70)</f>
        <v/>
      </c>
      <c r="K1759" s="83">
        <f>_xlfn.NORM.INV(RAND(),ASSUMPTIONS!$C$43,ASSUMPTIONS!$C$71)</f>
        <v/>
      </c>
      <c r="L1759" s="84">
        <f>(((ASSUMPTIONS!$C$18*J1759*(1-ASSUMPTIONS!$C$20)+ASSUMPTIONS!$C$18*ASSUMPTIONS!$C$21-ASSUMPTIONS!$C$18*ASSUMPTIONS!$C$22)*(1+H1759)*(1-((1+H1759)/(1+I1759))^5)/(I1759-H1759))+((ASSUMPTIONS!$C$18*J1759*(1-ASSUMPTIONS!$C$20)+ASSUMPTIONS!$C$18*ASSUMPTIONS!$C$21-ASSUMPTIONS!$C$18*ASSUMPTIONS!$C$22)*(1+H1759)^5*(1+K1759)/(I1759-K1759)/(1+I1759)^5)-DCF!$C$12)/ASSUMPTIONS!$C$7</f>
        <v/>
      </c>
    </row>
    <row r="1760">
      <c r="H1760" s="83">
        <f>_xlfn.NORM.INV(RAND(),AVERAGE(ASSUMPTIONS!$C$38,ASSUMPTIONS!$C$39,ASSUMPTIONS!$C$40,ASSUMPTIONS!$C$41,ASSUMPTIONS!$C$42),ASSUMPTIONS!$C$68)</f>
        <v/>
      </c>
      <c r="I1760" s="83">
        <f>MAX(_xlfn.NORM.INV(RAND(),DCF!$C$11,ASSUMPTIONS!$C$69),K1760+0.005)</f>
        <v/>
      </c>
      <c r="J1760" s="83">
        <f>_xlfn.NORM.INV(RAND(),ASSUMPTIONS!$C$19,ASSUMPTIONS!$C$70)</f>
        <v/>
      </c>
      <c r="K1760" s="83">
        <f>_xlfn.NORM.INV(RAND(),ASSUMPTIONS!$C$43,ASSUMPTIONS!$C$71)</f>
        <v/>
      </c>
      <c r="L1760" s="84">
        <f>(((ASSUMPTIONS!$C$18*J1760*(1-ASSUMPTIONS!$C$20)+ASSUMPTIONS!$C$18*ASSUMPTIONS!$C$21-ASSUMPTIONS!$C$18*ASSUMPTIONS!$C$22)*(1+H1760)*(1-((1+H1760)/(1+I1760))^5)/(I1760-H1760))+((ASSUMPTIONS!$C$18*J1760*(1-ASSUMPTIONS!$C$20)+ASSUMPTIONS!$C$18*ASSUMPTIONS!$C$21-ASSUMPTIONS!$C$18*ASSUMPTIONS!$C$22)*(1+H1760)^5*(1+K1760)/(I1760-K1760)/(1+I1760)^5)-DCF!$C$12)/ASSUMPTIONS!$C$7</f>
        <v/>
      </c>
    </row>
    <row r="1761">
      <c r="H1761" s="83">
        <f>_xlfn.NORM.INV(RAND(),AVERAGE(ASSUMPTIONS!$C$38,ASSUMPTIONS!$C$39,ASSUMPTIONS!$C$40,ASSUMPTIONS!$C$41,ASSUMPTIONS!$C$42),ASSUMPTIONS!$C$68)</f>
        <v/>
      </c>
      <c r="I1761" s="83">
        <f>MAX(_xlfn.NORM.INV(RAND(),DCF!$C$11,ASSUMPTIONS!$C$69),K1761+0.005)</f>
        <v/>
      </c>
      <c r="J1761" s="83">
        <f>_xlfn.NORM.INV(RAND(),ASSUMPTIONS!$C$19,ASSUMPTIONS!$C$70)</f>
        <v/>
      </c>
      <c r="K1761" s="83">
        <f>_xlfn.NORM.INV(RAND(),ASSUMPTIONS!$C$43,ASSUMPTIONS!$C$71)</f>
        <v/>
      </c>
      <c r="L1761" s="84">
        <f>(((ASSUMPTIONS!$C$18*J1761*(1-ASSUMPTIONS!$C$20)+ASSUMPTIONS!$C$18*ASSUMPTIONS!$C$21-ASSUMPTIONS!$C$18*ASSUMPTIONS!$C$22)*(1+H1761)*(1-((1+H1761)/(1+I1761))^5)/(I1761-H1761))+((ASSUMPTIONS!$C$18*J1761*(1-ASSUMPTIONS!$C$20)+ASSUMPTIONS!$C$18*ASSUMPTIONS!$C$21-ASSUMPTIONS!$C$18*ASSUMPTIONS!$C$22)*(1+H1761)^5*(1+K1761)/(I1761-K1761)/(1+I1761)^5)-DCF!$C$12)/ASSUMPTIONS!$C$7</f>
        <v/>
      </c>
    </row>
    <row r="1762">
      <c r="H1762" s="83">
        <f>_xlfn.NORM.INV(RAND(),AVERAGE(ASSUMPTIONS!$C$38,ASSUMPTIONS!$C$39,ASSUMPTIONS!$C$40,ASSUMPTIONS!$C$41,ASSUMPTIONS!$C$42),ASSUMPTIONS!$C$68)</f>
        <v/>
      </c>
      <c r="I1762" s="83">
        <f>MAX(_xlfn.NORM.INV(RAND(),DCF!$C$11,ASSUMPTIONS!$C$69),K1762+0.005)</f>
        <v/>
      </c>
      <c r="J1762" s="83">
        <f>_xlfn.NORM.INV(RAND(),ASSUMPTIONS!$C$19,ASSUMPTIONS!$C$70)</f>
        <v/>
      </c>
      <c r="K1762" s="83">
        <f>_xlfn.NORM.INV(RAND(),ASSUMPTIONS!$C$43,ASSUMPTIONS!$C$71)</f>
        <v/>
      </c>
      <c r="L1762" s="84">
        <f>(((ASSUMPTIONS!$C$18*J1762*(1-ASSUMPTIONS!$C$20)+ASSUMPTIONS!$C$18*ASSUMPTIONS!$C$21-ASSUMPTIONS!$C$18*ASSUMPTIONS!$C$22)*(1+H1762)*(1-((1+H1762)/(1+I1762))^5)/(I1762-H1762))+((ASSUMPTIONS!$C$18*J1762*(1-ASSUMPTIONS!$C$20)+ASSUMPTIONS!$C$18*ASSUMPTIONS!$C$21-ASSUMPTIONS!$C$18*ASSUMPTIONS!$C$22)*(1+H1762)^5*(1+K1762)/(I1762-K1762)/(1+I1762)^5)-DCF!$C$12)/ASSUMPTIONS!$C$7</f>
        <v/>
      </c>
    </row>
    <row r="1763">
      <c r="H1763" s="83">
        <f>_xlfn.NORM.INV(RAND(),AVERAGE(ASSUMPTIONS!$C$38,ASSUMPTIONS!$C$39,ASSUMPTIONS!$C$40,ASSUMPTIONS!$C$41,ASSUMPTIONS!$C$42),ASSUMPTIONS!$C$68)</f>
        <v/>
      </c>
      <c r="I1763" s="83">
        <f>MAX(_xlfn.NORM.INV(RAND(),DCF!$C$11,ASSUMPTIONS!$C$69),K1763+0.005)</f>
        <v/>
      </c>
      <c r="J1763" s="83">
        <f>_xlfn.NORM.INV(RAND(),ASSUMPTIONS!$C$19,ASSUMPTIONS!$C$70)</f>
        <v/>
      </c>
      <c r="K1763" s="83">
        <f>_xlfn.NORM.INV(RAND(),ASSUMPTIONS!$C$43,ASSUMPTIONS!$C$71)</f>
        <v/>
      </c>
      <c r="L1763" s="84">
        <f>(((ASSUMPTIONS!$C$18*J1763*(1-ASSUMPTIONS!$C$20)+ASSUMPTIONS!$C$18*ASSUMPTIONS!$C$21-ASSUMPTIONS!$C$18*ASSUMPTIONS!$C$22)*(1+H1763)*(1-((1+H1763)/(1+I1763))^5)/(I1763-H1763))+((ASSUMPTIONS!$C$18*J1763*(1-ASSUMPTIONS!$C$20)+ASSUMPTIONS!$C$18*ASSUMPTIONS!$C$21-ASSUMPTIONS!$C$18*ASSUMPTIONS!$C$22)*(1+H1763)^5*(1+K1763)/(I1763-K1763)/(1+I1763)^5)-DCF!$C$12)/ASSUMPTIONS!$C$7</f>
        <v/>
      </c>
    </row>
    <row r="1764">
      <c r="H1764" s="83">
        <f>_xlfn.NORM.INV(RAND(),AVERAGE(ASSUMPTIONS!$C$38,ASSUMPTIONS!$C$39,ASSUMPTIONS!$C$40,ASSUMPTIONS!$C$41,ASSUMPTIONS!$C$42),ASSUMPTIONS!$C$68)</f>
        <v/>
      </c>
      <c r="I1764" s="83">
        <f>MAX(_xlfn.NORM.INV(RAND(),DCF!$C$11,ASSUMPTIONS!$C$69),K1764+0.005)</f>
        <v/>
      </c>
      <c r="J1764" s="83">
        <f>_xlfn.NORM.INV(RAND(),ASSUMPTIONS!$C$19,ASSUMPTIONS!$C$70)</f>
        <v/>
      </c>
      <c r="K1764" s="83">
        <f>_xlfn.NORM.INV(RAND(),ASSUMPTIONS!$C$43,ASSUMPTIONS!$C$71)</f>
        <v/>
      </c>
      <c r="L1764" s="84">
        <f>(((ASSUMPTIONS!$C$18*J1764*(1-ASSUMPTIONS!$C$20)+ASSUMPTIONS!$C$18*ASSUMPTIONS!$C$21-ASSUMPTIONS!$C$18*ASSUMPTIONS!$C$22)*(1+H1764)*(1-((1+H1764)/(1+I1764))^5)/(I1764-H1764))+((ASSUMPTIONS!$C$18*J1764*(1-ASSUMPTIONS!$C$20)+ASSUMPTIONS!$C$18*ASSUMPTIONS!$C$21-ASSUMPTIONS!$C$18*ASSUMPTIONS!$C$22)*(1+H1764)^5*(1+K1764)/(I1764-K1764)/(1+I1764)^5)-DCF!$C$12)/ASSUMPTIONS!$C$7</f>
        <v/>
      </c>
    </row>
    <row r="1765">
      <c r="H1765" s="83">
        <f>_xlfn.NORM.INV(RAND(),AVERAGE(ASSUMPTIONS!$C$38,ASSUMPTIONS!$C$39,ASSUMPTIONS!$C$40,ASSUMPTIONS!$C$41,ASSUMPTIONS!$C$42),ASSUMPTIONS!$C$68)</f>
        <v/>
      </c>
      <c r="I1765" s="83">
        <f>MAX(_xlfn.NORM.INV(RAND(),DCF!$C$11,ASSUMPTIONS!$C$69),K1765+0.005)</f>
        <v/>
      </c>
      <c r="J1765" s="83">
        <f>_xlfn.NORM.INV(RAND(),ASSUMPTIONS!$C$19,ASSUMPTIONS!$C$70)</f>
        <v/>
      </c>
      <c r="K1765" s="83">
        <f>_xlfn.NORM.INV(RAND(),ASSUMPTIONS!$C$43,ASSUMPTIONS!$C$71)</f>
        <v/>
      </c>
      <c r="L1765" s="84">
        <f>(((ASSUMPTIONS!$C$18*J1765*(1-ASSUMPTIONS!$C$20)+ASSUMPTIONS!$C$18*ASSUMPTIONS!$C$21-ASSUMPTIONS!$C$18*ASSUMPTIONS!$C$22)*(1+H1765)*(1-((1+H1765)/(1+I1765))^5)/(I1765-H1765))+((ASSUMPTIONS!$C$18*J1765*(1-ASSUMPTIONS!$C$20)+ASSUMPTIONS!$C$18*ASSUMPTIONS!$C$21-ASSUMPTIONS!$C$18*ASSUMPTIONS!$C$22)*(1+H1765)^5*(1+K1765)/(I1765-K1765)/(1+I1765)^5)-DCF!$C$12)/ASSUMPTIONS!$C$7</f>
        <v/>
      </c>
    </row>
    <row r="1766">
      <c r="H1766" s="83">
        <f>_xlfn.NORM.INV(RAND(),AVERAGE(ASSUMPTIONS!$C$38,ASSUMPTIONS!$C$39,ASSUMPTIONS!$C$40,ASSUMPTIONS!$C$41,ASSUMPTIONS!$C$42),ASSUMPTIONS!$C$68)</f>
        <v/>
      </c>
      <c r="I1766" s="83">
        <f>MAX(_xlfn.NORM.INV(RAND(),DCF!$C$11,ASSUMPTIONS!$C$69),K1766+0.005)</f>
        <v/>
      </c>
      <c r="J1766" s="83">
        <f>_xlfn.NORM.INV(RAND(),ASSUMPTIONS!$C$19,ASSUMPTIONS!$C$70)</f>
        <v/>
      </c>
      <c r="K1766" s="83">
        <f>_xlfn.NORM.INV(RAND(),ASSUMPTIONS!$C$43,ASSUMPTIONS!$C$71)</f>
        <v/>
      </c>
      <c r="L1766" s="84">
        <f>(((ASSUMPTIONS!$C$18*J1766*(1-ASSUMPTIONS!$C$20)+ASSUMPTIONS!$C$18*ASSUMPTIONS!$C$21-ASSUMPTIONS!$C$18*ASSUMPTIONS!$C$22)*(1+H1766)*(1-((1+H1766)/(1+I1766))^5)/(I1766-H1766))+((ASSUMPTIONS!$C$18*J1766*(1-ASSUMPTIONS!$C$20)+ASSUMPTIONS!$C$18*ASSUMPTIONS!$C$21-ASSUMPTIONS!$C$18*ASSUMPTIONS!$C$22)*(1+H1766)^5*(1+K1766)/(I1766-K1766)/(1+I1766)^5)-DCF!$C$12)/ASSUMPTIONS!$C$7</f>
        <v/>
      </c>
    </row>
    <row r="1767">
      <c r="H1767" s="83">
        <f>_xlfn.NORM.INV(RAND(),AVERAGE(ASSUMPTIONS!$C$38,ASSUMPTIONS!$C$39,ASSUMPTIONS!$C$40,ASSUMPTIONS!$C$41,ASSUMPTIONS!$C$42),ASSUMPTIONS!$C$68)</f>
        <v/>
      </c>
      <c r="I1767" s="83">
        <f>MAX(_xlfn.NORM.INV(RAND(),DCF!$C$11,ASSUMPTIONS!$C$69),K1767+0.005)</f>
        <v/>
      </c>
      <c r="J1767" s="83">
        <f>_xlfn.NORM.INV(RAND(),ASSUMPTIONS!$C$19,ASSUMPTIONS!$C$70)</f>
        <v/>
      </c>
      <c r="K1767" s="83">
        <f>_xlfn.NORM.INV(RAND(),ASSUMPTIONS!$C$43,ASSUMPTIONS!$C$71)</f>
        <v/>
      </c>
      <c r="L1767" s="84">
        <f>(((ASSUMPTIONS!$C$18*J1767*(1-ASSUMPTIONS!$C$20)+ASSUMPTIONS!$C$18*ASSUMPTIONS!$C$21-ASSUMPTIONS!$C$18*ASSUMPTIONS!$C$22)*(1+H1767)*(1-((1+H1767)/(1+I1767))^5)/(I1767-H1767))+((ASSUMPTIONS!$C$18*J1767*(1-ASSUMPTIONS!$C$20)+ASSUMPTIONS!$C$18*ASSUMPTIONS!$C$21-ASSUMPTIONS!$C$18*ASSUMPTIONS!$C$22)*(1+H1767)^5*(1+K1767)/(I1767-K1767)/(1+I1767)^5)-DCF!$C$12)/ASSUMPTIONS!$C$7</f>
        <v/>
      </c>
    </row>
    <row r="1768">
      <c r="H1768" s="83">
        <f>_xlfn.NORM.INV(RAND(),AVERAGE(ASSUMPTIONS!$C$38,ASSUMPTIONS!$C$39,ASSUMPTIONS!$C$40,ASSUMPTIONS!$C$41,ASSUMPTIONS!$C$42),ASSUMPTIONS!$C$68)</f>
        <v/>
      </c>
      <c r="I1768" s="83">
        <f>MAX(_xlfn.NORM.INV(RAND(),DCF!$C$11,ASSUMPTIONS!$C$69),K1768+0.005)</f>
        <v/>
      </c>
      <c r="J1768" s="83">
        <f>_xlfn.NORM.INV(RAND(),ASSUMPTIONS!$C$19,ASSUMPTIONS!$C$70)</f>
        <v/>
      </c>
      <c r="K1768" s="83">
        <f>_xlfn.NORM.INV(RAND(),ASSUMPTIONS!$C$43,ASSUMPTIONS!$C$71)</f>
        <v/>
      </c>
      <c r="L1768" s="84">
        <f>(((ASSUMPTIONS!$C$18*J1768*(1-ASSUMPTIONS!$C$20)+ASSUMPTIONS!$C$18*ASSUMPTIONS!$C$21-ASSUMPTIONS!$C$18*ASSUMPTIONS!$C$22)*(1+H1768)*(1-((1+H1768)/(1+I1768))^5)/(I1768-H1768))+((ASSUMPTIONS!$C$18*J1768*(1-ASSUMPTIONS!$C$20)+ASSUMPTIONS!$C$18*ASSUMPTIONS!$C$21-ASSUMPTIONS!$C$18*ASSUMPTIONS!$C$22)*(1+H1768)^5*(1+K1768)/(I1768-K1768)/(1+I1768)^5)-DCF!$C$12)/ASSUMPTIONS!$C$7</f>
        <v/>
      </c>
    </row>
    <row r="1769">
      <c r="H1769" s="83">
        <f>_xlfn.NORM.INV(RAND(),AVERAGE(ASSUMPTIONS!$C$38,ASSUMPTIONS!$C$39,ASSUMPTIONS!$C$40,ASSUMPTIONS!$C$41,ASSUMPTIONS!$C$42),ASSUMPTIONS!$C$68)</f>
        <v/>
      </c>
      <c r="I1769" s="83">
        <f>MAX(_xlfn.NORM.INV(RAND(),DCF!$C$11,ASSUMPTIONS!$C$69),K1769+0.005)</f>
        <v/>
      </c>
      <c r="J1769" s="83">
        <f>_xlfn.NORM.INV(RAND(),ASSUMPTIONS!$C$19,ASSUMPTIONS!$C$70)</f>
        <v/>
      </c>
      <c r="K1769" s="83">
        <f>_xlfn.NORM.INV(RAND(),ASSUMPTIONS!$C$43,ASSUMPTIONS!$C$71)</f>
        <v/>
      </c>
      <c r="L1769" s="84">
        <f>(((ASSUMPTIONS!$C$18*J1769*(1-ASSUMPTIONS!$C$20)+ASSUMPTIONS!$C$18*ASSUMPTIONS!$C$21-ASSUMPTIONS!$C$18*ASSUMPTIONS!$C$22)*(1+H1769)*(1-((1+H1769)/(1+I1769))^5)/(I1769-H1769))+((ASSUMPTIONS!$C$18*J1769*(1-ASSUMPTIONS!$C$20)+ASSUMPTIONS!$C$18*ASSUMPTIONS!$C$21-ASSUMPTIONS!$C$18*ASSUMPTIONS!$C$22)*(1+H1769)^5*(1+K1769)/(I1769-K1769)/(1+I1769)^5)-DCF!$C$12)/ASSUMPTIONS!$C$7</f>
        <v/>
      </c>
    </row>
    <row r="1770">
      <c r="H1770" s="83">
        <f>_xlfn.NORM.INV(RAND(),AVERAGE(ASSUMPTIONS!$C$38,ASSUMPTIONS!$C$39,ASSUMPTIONS!$C$40,ASSUMPTIONS!$C$41,ASSUMPTIONS!$C$42),ASSUMPTIONS!$C$68)</f>
        <v/>
      </c>
      <c r="I1770" s="83">
        <f>MAX(_xlfn.NORM.INV(RAND(),DCF!$C$11,ASSUMPTIONS!$C$69),K1770+0.005)</f>
        <v/>
      </c>
      <c r="J1770" s="83">
        <f>_xlfn.NORM.INV(RAND(),ASSUMPTIONS!$C$19,ASSUMPTIONS!$C$70)</f>
        <v/>
      </c>
      <c r="K1770" s="83">
        <f>_xlfn.NORM.INV(RAND(),ASSUMPTIONS!$C$43,ASSUMPTIONS!$C$71)</f>
        <v/>
      </c>
      <c r="L1770" s="84">
        <f>(((ASSUMPTIONS!$C$18*J1770*(1-ASSUMPTIONS!$C$20)+ASSUMPTIONS!$C$18*ASSUMPTIONS!$C$21-ASSUMPTIONS!$C$18*ASSUMPTIONS!$C$22)*(1+H1770)*(1-((1+H1770)/(1+I1770))^5)/(I1770-H1770))+((ASSUMPTIONS!$C$18*J1770*(1-ASSUMPTIONS!$C$20)+ASSUMPTIONS!$C$18*ASSUMPTIONS!$C$21-ASSUMPTIONS!$C$18*ASSUMPTIONS!$C$22)*(1+H1770)^5*(1+K1770)/(I1770-K1770)/(1+I1770)^5)-DCF!$C$12)/ASSUMPTIONS!$C$7</f>
        <v/>
      </c>
    </row>
    <row r="1771">
      <c r="H1771" s="83">
        <f>_xlfn.NORM.INV(RAND(),AVERAGE(ASSUMPTIONS!$C$38,ASSUMPTIONS!$C$39,ASSUMPTIONS!$C$40,ASSUMPTIONS!$C$41,ASSUMPTIONS!$C$42),ASSUMPTIONS!$C$68)</f>
        <v/>
      </c>
      <c r="I1771" s="83">
        <f>MAX(_xlfn.NORM.INV(RAND(),DCF!$C$11,ASSUMPTIONS!$C$69),K1771+0.005)</f>
        <v/>
      </c>
      <c r="J1771" s="83">
        <f>_xlfn.NORM.INV(RAND(),ASSUMPTIONS!$C$19,ASSUMPTIONS!$C$70)</f>
        <v/>
      </c>
      <c r="K1771" s="83">
        <f>_xlfn.NORM.INV(RAND(),ASSUMPTIONS!$C$43,ASSUMPTIONS!$C$71)</f>
        <v/>
      </c>
      <c r="L1771" s="84">
        <f>(((ASSUMPTIONS!$C$18*J1771*(1-ASSUMPTIONS!$C$20)+ASSUMPTIONS!$C$18*ASSUMPTIONS!$C$21-ASSUMPTIONS!$C$18*ASSUMPTIONS!$C$22)*(1+H1771)*(1-((1+H1771)/(1+I1771))^5)/(I1771-H1771))+((ASSUMPTIONS!$C$18*J1771*(1-ASSUMPTIONS!$C$20)+ASSUMPTIONS!$C$18*ASSUMPTIONS!$C$21-ASSUMPTIONS!$C$18*ASSUMPTIONS!$C$22)*(1+H1771)^5*(1+K1771)/(I1771-K1771)/(1+I1771)^5)-DCF!$C$12)/ASSUMPTIONS!$C$7</f>
        <v/>
      </c>
    </row>
    <row r="1772">
      <c r="H1772" s="83">
        <f>_xlfn.NORM.INV(RAND(),AVERAGE(ASSUMPTIONS!$C$38,ASSUMPTIONS!$C$39,ASSUMPTIONS!$C$40,ASSUMPTIONS!$C$41,ASSUMPTIONS!$C$42),ASSUMPTIONS!$C$68)</f>
        <v/>
      </c>
      <c r="I1772" s="83">
        <f>MAX(_xlfn.NORM.INV(RAND(),DCF!$C$11,ASSUMPTIONS!$C$69),K1772+0.005)</f>
        <v/>
      </c>
      <c r="J1772" s="83">
        <f>_xlfn.NORM.INV(RAND(),ASSUMPTIONS!$C$19,ASSUMPTIONS!$C$70)</f>
        <v/>
      </c>
      <c r="K1772" s="83">
        <f>_xlfn.NORM.INV(RAND(),ASSUMPTIONS!$C$43,ASSUMPTIONS!$C$71)</f>
        <v/>
      </c>
      <c r="L1772" s="84">
        <f>(((ASSUMPTIONS!$C$18*J1772*(1-ASSUMPTIONS!$C$20)+ASSUMPTIONS!$C$18*ASSUMPTIONS!$C$21-ASSUMPTIONS!$C$18*ASSUMPTIONS!$C$22)*(1+H1772)*(1-((1+H1772)/(1+I1772))^5)/(I1772-H1772))+((ASSUMPTIONS!$C$18*J1772*(1-ASSUMPTIONS!$C$20)+ASSUMPTIONS!$C$18*ASSUMPTIONS!$C$21-ASSUMPTIONS!$C$18*ASSUMPTIONS!$C$22)*(1+H1772)^5*(1+K1772)/(I1772-K1772)/(1+I1772)^5)-DCF!$C$12)/ASSUMPTIONS!$C$7</f>
        <v/>
      </c>
    </row>
    <row r="1773">
      <c r="H1773" s="83">
        <f>_xlfn.NORM.INV(RAND(),AVERAGE(ASSUMPTIONS!$C$38,ASSUMPTIONS!$C$39,ASSUMPTIONS!$C$40,ASSUMPTIONS!$C$41,ASSUMPTIONS!$C$42),ASSUMPTIONS!$C$68)</f>
        <v/>
      </c>
      <c r="I1773" s="83">
        <f>MAX(_xlfn.NORM.INV(RAND(),DCF!$C$11,ASSUMPTIONS!$C$69),K1773+0.005)</f>
        <v/>
      </c>
      <c r="J1773" s="83">
        <f>_xlfn.NORM.INV(RAND(),ASSUMPTIONS!$C$19,ASSUMPTIONS!$C$70)</f>
        <v/>
      </c>
      <c r="K1773" s="83">
        <f>_xlfn.NORM.INV(RAND(),ASSUMPTIONS!$C$43,ASSUMPTIONS!$C$71)</f>
        <v/>
      </c>
      <c r="L1773" s="84">
        <f>(((ASSUMPTIONS!$C$18*J1773*(1-ASSUMPTIONS!$C$20)+ASSUMPTIONS!$C$18*ASSUMPTIONS!$C$21-ASSUMPTIONS!$C$18*ASSUMPTIONS!$C$22)*(1+H1773)*(1-((1+H1773)/(1+I1773))^5)/(I1773-H1773))+((ASSUMPTIONS!$C$18*J1773*(1-ASSUMPTIONS!$C$20)+ASSUMPTIONS!$C$18*ASSUMPTIONS!$C$21-ASSUMPTIONS!$C$18*ASSUMPTIONS!$C$22)*(1+H1773)^5*(1+K1773)/(I1773-K1773)/(1+I1773)^5)-DCF!$C$12)/ASSUMPTIONS!$C$7</f>
        <v/>
      </c>
    </row>
    <row r="1774">
      <c r="H1774" s="83">
        <f>_xlfn.NORM.INV(RAND(),AVERAGE(ASSUMPTIONS!$C$38,ASSUMPTIONS!$C$39,ASSUMPTIONS!$C$40,ASSUMPTIONS!$C$41,ASSUMPTIONS!$C$42),ASSUMPTIONS!$C$68)</f>
        <v/>
      </c>
      <c r="I1774" s="83">
        <f>MAX(_xlfn.NORM.INV(RAND(),DCF!$C$11,ASSUMPTIONS!$C$69),K1774+0.005)</f>
        <v/>
      </c>
      <c r="J1774" s="83">
        <f>_xlfn.NORM.INV(RAND(),ASSUMPTIONS!$C$19,ASSUMPTIONS!$C$70)</f>
        <v/>
      </c>
      <c r="K1774" s="83">
        <f>_xlfn.NORM.INV(RAND(),ASSUMPTIONS!$C$43,ASSUMPTIONS!$C$71)</f>
        <v/>
      </c>
      <c r="L1774" s="84">
        <f>(((ASSUMPTIONS!$C$18*J1774*(1-ASSUMPTIONS!$C$20)+ASSUMPTIONS!$C$18*ASSUMPTIONS!$C$21-ASSUMPTIONS!$C$18*ASSUMPTIONS!$C$22)*(1+H1774)*(1-((1+H1774)/(1+I1774))^5)/(I1774-H1774))+((ASSUMPTIONS!$C$18*J1774*(1-ASSUMPTIONS!$C$20)+ASSUMPTIONS!$C$18*ASSUMPTIONS!$C$21-ASSUMPTIONS!$C$18*ASSUMPTIONS!$C$22)*(1+H1774)^5*(1+K1774)/(I1774-K1774)/(1+I1774)^5)-DCF!$C$12)/ASSUMPTIONS!$C$7</f>
        <v/>
      </c>
    </row>
    <row r="1775">
      <c r="H1775" s="83">
        <f>_xlfn.NORM.INV(RAND(),AVERAGE(ASSUMPTIONS!$C$38,ASSUMPTIONS!$C$39,ASSUMPTIONS!$C$40,ASSUMPTIONS!$C$41,ASSUMPTIONS!$C$42),ASSUMPTIONS!$C$68)</f>
        <v/>
      </c>
      <c r="I1775" s="83">
        <f>MAX(_xlfn.NORM.INV(RAND(),DCF!$C$11,ASSUMPTIONS!$C$69),K1775+0.005)</f>
        <v/>
      </c>
      <c r="J1775" s="83">
        <f>_xlfn.NORM.INV(RAND(),ASSUMPTIONS!$C$19,ASSUMPTIONS!$C$70)</f>
        <v/>
      </c>
      <c r="K1775" s="83">
        <f>_xlfn.NORM.INV(RAND(),ASSUMPTIONS!$C$43,ASSUMPTIONS!$C$71)</f>
        <v/>
      </c>
      <c r="L1775" s="84">
        <f>(((ASSUMPTIONS!$C$18*J1775*(1-ASSUMPTIONS!$C$20)+ASSUMPTIONS!$C$18*ASSUMPTIONS!$C$21-ASSUMPTIONS!$C$18*ASSUMPTIONS!$C$22)*(1+H1775)*(1-((1+H1775)/(1+I1775))^5)/(I1775-H1775))+((ASSUMPTIONS!$C$18*J1775*(1-ASSUMPTIONS!$C$20)+ASSUMPTIONS!$C$18*ASSUMPTIONS!$C$21-ASSUMPTIONS!$C$18*ASSUMPTIONS!$C$22)*(1+H1775)^5*(1+K1775)/(I1775-K1775)/(1+I1775)^5)-DCF!$C$12)/ASSUMPTIONS!$C$7</f>
        <v/>
      </c>
    </row>
    <row r="1776">
      <c r="H1776" s="83">
        <f>_xlfn.NORM.INV(RAND(),AVERAGE(ASSUMPTIONS!$C$38,ASSUMPTIONS!$C$39,ASSUMPTIONS!$C$40,ASSUMPTIONS!$C$41,ASSUMPTIONS!$C$42),ASSUMPTIONS!$C$68)</f>
        <v/>
      </c>
      <c r="I1776" s="83">
        <f>MAX(_xlfn.NORM.INV(RAND(),DCF!$C$11,ASSUMPTIONS!$C$69),K1776+0.005)</f>
        <v/>
      </c>
      <c r="J1776" s="83">
        <f>_xlfn.NORM.INV(RAND(),ASSUMPTIONS!$C$19,ASSUMPTIONS!$C$70)</f>
        <v/>
      </c>
      <c r="K1776" s="83">
        <f>_xlfn.NORM.INV(RAND(),ASSUMPTIONS!$C$43,ASSUMPTIONS!$C$71)</f>
        <v/>
      </c>
      <c r="L1776" s="84">
        <f>(((ASSUMPTIONS!$C$18*J1776*(1-ASSUMPTIONS!$C$20)+ASSUMPTIONS!$C$18*ASSUMPTIONS!$C$21-ASSUMPTIONS!$C$18*ASSUMPTIONS!$C$22)*(1+H1776)*(1-((1+H1776)/(1+I1776))^5)/(I1776-H1776))+((ASSUMPTIONS!$C$18*J1776*(1-ASSUMPTIONS!$C$20)+ASSUMPTIONS!$C$18*ASSUMPTIONS!$C$21-ASSUMPTIONS!$C$18*ASSUMPTIONS!$C$22)*(1+H1776)^5*(1+K1776)/(I1776-K1776)/(1+I1776)^5)-DCF!$C$12)/ASSUMPTIONS!$C$7</f>
        <v/>
      </c>
    </row>
    <row r="1777">
      <c r="H1777" s="83">
        <f>_xlfn.NORM.INV(RAND(),AVERAGE(ASSUMPTIONS!$C$38,ASSUMPTIONS!$C$39,ASSUMPTIONS!$C$40,ASSUMPTIONS!$C$41,ASSUMPTIONS!$C$42),ASSUMPTIONS!$C$68)</f>
        <v/>
      </c>
      <c r="I1777" s="83">
        <f>MAX(_xlfn.NORM.INV(RAND(),DCF!$C$11,ASSUMPTIONS!$C$69),K1777+0.005)</f>
        <v/>
      </c>
      <c r="J1777" s="83">
        <f>_xlfn.NORM.INV(RAND(),ASSUMPTIONS!$C$19,ASSUMPTIONS!$C$70)</f>
        <v/>
      </c>
      <c r="K1777" s="83">
        <f>_xlfn.NORM.INV(RAND(),ASSUMPTIONS!$C$43,ASSUMPTIONS!$C$71)</f>
        <v/>
      </c>
      <c r="L1777" s="84">
        <f>(((ASSUMPTIONS!$C$18*J1777*(1-ASSUMPTIONS!$C$20)+ASSUMPTIONS!$C$18*ASSUMPTIONS!$C$21-ASSUMPTIONS!$C$18*ASSUMPTIONS!$C$22)*(1+H1777)*(1-((1+H1777)/(1+I1777))^5)/(I1777-H1777))+((ASSUMPTIONS!$C$18*J1777*(1-ASSUMPTIONS!$C$20)+ASSUMPTIONS!$C$18*ASSUMPTIONS!$C$21-ASSUMPTIONS!$C$18*ASSUMPTIONS!$C$22)*(1+H1777)^5*(1+K1777)/(I1777-K1777)/(1+I1777)^5)-DCF!$C$12)/ASSUMPTIONS!$C$7</f>
        <v/>
      </c>
    </row>
    <row r="1778">
      <c r="H1778" s="83">
        <f>_xlfn.NORM.INV(RAND(),AVERAGE(ASSUMPTIONS!$C$38,ASSUMPTIONS!$C$39,ASSUMPTIONS!$C$40,ASSUMPTIONS!$C$41,ASSUMPTIONS!$C$42),ASSUMPTIONS!$C$68)</f>
        <v/>
      </c>
      <c r="I1778" s="83">
        <f>MAX(_xlfn.NORM.INV(RAND(),DCF!$C$11,ASSUMPTIONS!$C$69),K1778+0.005)</f>
        <v/>
      </c>
      <c r="J1778" s="83">
        <f>_xlfn.NORM.INV(RAND(),ASSUMPTIONS!$C$19,ASSUMPTIONS!$C$70)</f>
        <v/>
      </c>
      <c r="K1778" s="83">
        <f>_xlfn.NORM.INV(RAND(),ASSUMPTIONS!$C$43,ASSUMPTIONS!$C$71)</f>
        <v/>
      </c>
      <c r="L1778" s="84">
        <f>(((ASSUMPTIONS!$C$18*J1778*(1-ASSUMPTIONS!$C$20)+ASSUMPTIONS!$C$18*ASSUMPTIONS!$C$21-ASSUMPTIONS!$C$18*ASSUMPTIONS!$C$22)*(1+H1778)*(1-((1+H1778)/(1+I1778))^5)/(I1778-H1778))+((ASSUMPTIONS!$C$18*J1778*(1-ASSUMPTIONS!$C$20)+ASSUMPTIONS!$C$18*ASSUMPTIONS!$C$21-ASSUMPTIONS!$C$18*ASSUMPTIONS!$C$22)*(1+H1778)^5*(1+K1778)/(I1778-K1778)/(1+I1778)^5)-DCF!$C$12)/ASSUMPTIONS!$C$7</f>
        <v/>
      </c>
    </row>
    <row r="1779">
      <c r="H1779" s="83">
        <f>_xlfn.NORM.INV(RAND(),AVERAGE(ASSUMPTIONS!$C$38,ASSUMPTIONS!$C$39,ASSUMPTIONS!$C$40,ASSUMPTIONS!$C$41,ASSUMPTIONS!$C$42),ASSUMPTIONS!$C$68)</f>
        <v/>
      </c>
      <c r="I1779" s="83">
        <f>MAX(_xlfn.NORM.INV(RAND(),DCF!$C$11,ASSUMPTIONS!$C$69),K1779+0.005)</f>
        <v/>
      </c>
      <c r="J1779" s="83">
        <f>_xlfn.NORM.INV(RAND(),ASSUMPTIONS!$C$19,ASSUMPTIONS!$C$70)</f>
        <v/>
      </c>
      <c r="K1779" s="83">
        <f>_xlfn.NORM.INV(RAND(),ASSUMPTIONS!$C$43,ASSUMPTIONS!$C$71)</f>
        <v/>
      </c>
      <c r="L1779" s="84">
        <f>(((ASSUMPTIONS!$C$18*J1779*(1-ASSUMPTIONS!$C$20)+ASSUMPTIONS!$C$18*ASSUMPTIONS!$C$21-ASSUMPTIONS!$C$18*ASSUMPTIONS!$C$22)*(1+H1779)*(1-((1+H1779)/(1+I1779))^5)/(I1779-H1779))+((ASSUMPTIONS!$C$18*J1779*(1-ASSUMPTIONS!$C$20)+ASSUMPTIONS!$C$18*ASSUMPTIONS!$C$21-ASSUMPTIONS!$C$18*ASSUMPTIONS!$C$22)*(1+H1779)^5*(1+K1779)/(I1779-K1779)/(1+I1779)^5)-DCF!$C$12)/ASSUMPTIONS!$C$7</f>
        <v/>
      </c>
    </row>
    <row r="1780">
      <c r="H1780" s="83">
        <f>_xlfn.NORM.INV(RAND(),AVERAGE(ASSUMPTIONS!$C$38,ASSUMPTIONS!$C$39,ASSUMPTIONS!$C$40,ASSUMPTIONS!$C$41,ASSUMPTIONS!$C$42),ASSUMPTIONS!$C$68)</f>
        <v/>
      </c>
      <c r="I1780" s="83">
        <f>MAX(_xlfn.NORM.INV(RAND(),DCF!$C$11,ASSUMPTIONS!$C$69),K1780+0.005)</f>
        <v/>
      </c>
      <c r="J1780" s="83">
        <f>_xlfn.NORM.INV(RAND(),ASSUMPTIONS!$C$19,ASSUMPTIONS!$C$70)</f>
        <v/>
      </c>
      <c r="K1780" s="83">
        <f>_xlfn.NORM.INV(RAND(),ASSUMPTIONS!$C$43,ASSUMPTIONS!$C$71)</f>
        <v/>
      </c>
      <c r="L1780" s="84">
        <f>(((ASSUMPTIONS!$C$18*J1780*(1-ASSUMPTIONS!$C$20)+ASSUMPTIONS!$C$18*ASSUMPTIONS!$C$21-ASSUMPTIONS!$C$18*ASSUMPTIONS!$C$22)*(1+H1780)*(1-((1+H1780)/(1+I1780))^5)/(I1780-H1780))+((ASSUMPTIONS!$C$18*J1780*(1-ASSUMPTIONS!$C$20)+ASSUMPTIONS!$C$18*ASSUMPTIONS!$C$21-ASSUMPTIONS!$C$18*ASSUMPTIONS!$C$22)*(1+H1780)^5*(1+K1780)/(I1780-K1780)/(1+I1780)^5)-DCF!$C$12)/ASSUMPTIONS!$C$7</f>
        <v/>
      </c>
    </row>
    <row r="1781">
      <c r="H1781" s="83">
        <f>_xlfn.NORM.INV(RAND(),AVERAGE(ASSUMPTIONS!$C$38,ASSUMPTIONS!$C$39,ASSUMPTIONS!$C$40,ASSUMPTIONS!$C$41,ASSUMPTIONS!$C$42),ASSUMPTIONS!$C$68)</f>
        <v/>
      </c>
      <c r="I1781" s="83">
        <f>MAX(_xlfn.NORM.INV(RAND(),DCF!$C$11,ASSUMPTIONS!$C$69),K1781+0.005)</f>
        <v/>
      </c>
      <c r="J1781" s="83">
        <f>_xlfn.NORM.INV(RAND(),ASSUMPTIONS!$C$19,ASSUMPTIONS!$C$70)</f>
        <v/>
      </c>
      <c r="K1781" s="83">
        <f>_xlfn.NORM.INV(RAND(),ASSUMPTIONS!$C$43,ASSUMPTIONS!$C$71)</f>
        <v/>
      </c>
      <c r="L1781" s="84">
        <f>(((ASSUMPTIONS!$C$18*J1781*(1-ASSUMPTIONS!$C$20)+ASSUMPTIONS!$C$18*ASSUMPTIONS!$C$21-ASSUMPTIONS!$C$18*ASSUMPTIONS!$C$22)*(1+H1781)*(1-((1+H1781)/(1+I1781))^5)/(I1781-H1781))+((ASSUMPTIONS!$C$18*J1781*(1-ASSUMPTIONS!$C$20)+ASSUMPTIONS!$C$18*ASSUMPTIONS!$C$21-ASSUMPTIONS!$C$18*ASSUMPTIONS!$C$22)*(1+H1781)^5*(1+K1781)/(I1781-K1781)/(1+I1781)^5)-DCF!$C$12)/ASSUMPTIONS!$C$7</f>
        <v/>
      </c>
    </row>
    <row r="1782">
      <c r="H1782" s="83">
        <f>_xlfn.NORM.INV(RAND(),AVERAGE(ASSUMPTIONS!$C$38,ASSUMPTIONS!$C$39,ASSUMPTIONS!$C$40,ASSUMPTIONS!$C$41,ASSUMPTIONS!$C$42),ASSUMPTIONS!$C$68)</f>
        <v/>
      </c>
      <c r="I1782" s="83">
        <f>MAX(_xlfn.NORM.INV(RAND(),DCF!$C$11,ASSUMPTIONS!$C$69),K1782+0.005)</f>
        <v/>
      </c>
      <c r="J1782" s="83">
        <f>_xlfn.NORM.INV(RAND(),ASSUMPTIONS!$C$19,ASSUMPTIONS!$C$70)</f>
        <v/>
      </c>
      <c r="K1782" s="83">
        <f>_xlfn.NORM.INV(RAND(),ASSUMPTIONS!$C$43,ASSUMPTIONS!$C$71)</f>
        <v/>
      </c>
      <c r="L1782" s="84">
        <f>(((ASSUMPTIONS!$C$18*J1782*(1-ASSUMPTIONS!$C$20)+ASSUMPTIONS!$C$18*ASSUMPTIONS!$C$21-ASSUMPTIONS!$C$18*ASSUMPTIONS!$C$22)*(1+H1782)*(1-((1+H1782)/(1+I1782))^5)/(I1782-H1782))+((ASSUMPTIONS!$C$18*J1782*(1-ASSUMPTIONS!$C$20)+ASSUMPTIONS!$C$18*ASSUMPTIONS!$C$21-ASSUMPTIONS!$C$18*ASSUMPTIONS!$C$22)*(1+H1782)^5*(1+K1782)/(I1782-K1782)/(1+I1782)^5)-DCF!$C$12)/ASSUMPTIONS!$C$7</f>
        <v/>
      </c>
    </row>
    <row r="1783">
      <c r="H1783" s="83">
        <f>_xlfn.NORM.INV(RAND(),AVERAGE(ASSUMPTIONS!$C$38,ASSUMPTIONS!$C$39,ASSUMPTIONS!$C$40,ASSUMPTIONS!$C$41,ASSUMPTIONS!$C$42),ASSUMPTIONS!$C$68)</f>
        <v/>
      </c>
      <c r="I1783" s="83">
        <f>MAX(_xlfn.NORM.INV(RAND(),DCF!$C$11,ASSUMPTIONS!$C$69),K1783+0.005)</f>
        <v/>
      </c>
      <c r="J1783" s="83">
        <f>_xlfn.NORM.INV(RAND(),ASSUMPTIONS!$C$19,ASSUMPTIONS!$C$70)</f>
        <v/>
      </c>
      <c r="K1783" s="83">
        <f>_xlfn.NORM.INV(RAND(),ASSUMPTIONS!$C$43,ASSUMPTIONS!$C$71)</f>
        <v/>
      </c>
      <c r="L1783" s="84">
        <f>(((ASSUMPTIONS!$C$18*J1783*(1-ASSUMPTIONS!$C$20)+ASSUMPTIONS!$C$18*ASSUMPTIONS!$C$21-ASSUMPTIONS!$C$18*ASSUMPTIONS!$C$22)*(1+H1783)*(1-((1+H1783)/(1+I1783))^5)/(I1783-H1783))+((ASSUMPTIONS!$C$18*J1783*(1-ASSUMPTIONS!$C$20)+ASSUMPTIONS!$C$18*ASSUMPTIONS!$C$21-ASSUMPTIONS!$C$18*ASSUMPTIONS!$C$22)*(1+H1783)^5*(1+K1783)/(I1783-K1783)/(1+I1783)^5)-DCF!$C$12)/ASSUMPTIONS!$C$7</f>
        <v/>
      </c>
    </row>
    <row r="1784">
      <c r="H1784" s="83">
        <f>_xlfn.NORM.INV(RAND(),AVERAGE(ASSUMPTIONS!$C$38,ASSUMPTIONS!$C$39,ASSUMPTIONS!$C$40,ASSUMPTIONS!$C$41,ASSUMPTIONS!$C$42),ASSUMPTIONS!$C$68)</f>
        <v/>
      </c>
      <c r="I1784" s="83">
        <f>MAX(_xlfn.NORM.INV(RAND(),DCF!$C$11,ASSUMPTIONS!$C$69),K1784+0.005)</f>
        <v/>
      </c>
      <c r="J1784" s="83">
        <f>_xlfn.NORM.INV(RAND(),ASSUMPTIONS!$C$19,ASSUMPTIONS!$C$70)</f>
        <v/>
      </c>
      <c r="K1784" s="83">
        <f>_xlfn.NORM.INV(RAND(),ASSUMPTIONS!$C$43,ASSUMPTIONS!$C$71)</f>
        <v/>
      </c>
      <c r="L1784" s="84">
        <f>(((ASSUMPTIONS!$C$18*J1784*(1-ASSUMPTIONS!$C$20)+ASSUMPTIONS!$C$18*ASSUMPTIONS!$C$21-ASSUMPTIONS!$C$18*ASSUMPTIONS!$C$22)*(1+H1784)*(1-((1+H1784)/(1+I1784))^5)/(I1784-H1784))+((ASSUMPTIONS!$C$18*J1784*(1-ASSUMPTIONS!$C$20)+ASSUMPTIONS!$C$18*ASSUMPTIONS!$C$21-ASSUMPTIONS!$C$18*ASSUMPTIONS!$C$22)*(1+H1784)^5*(1+K1784)/(I1784-K1784)/(1+I1784)^5)-DCF!$C$12)/ASSUMPTIONS!$C$7</f>
        <v/>
      </c>
    </row>
    <row r="1785">
      <c r="H1785" s="83">
        <f>_xlfn.NORM.INV(RAND(),AVERAGE(ASSUMPTIONS!$C$38,ASSUMPTIONS!$C$39,ASSUMPTIONS!$C$40,ASSUMPTIONS!$C$41,ASSUMPTIONS!$C$42),ASSUMPTIONS!$C$68)</f>
        <v/>
      </c>
      <c r="I1785" s="83">
        <f>MAX(_xlfn.NORM.INV(RAND(),DCF!$C$11,ASSUMPTIONS!$C$69),K1785+0.005)</f>
        <v/>
      </c>
      <c r="J1785" s="83">
        <f>_xlfn.NORM.INV(RAND(),ASSUMPTIONS!$C$19,ASSUMPTIONS!$C$70)</f>
        <v/>
      </c>
      <c r="K1785" s="83">
        <f>_xlfn.NORM.INV(RAND(),ASSUMPTIONS!$C$43,ASSUMPTIONS!$C$71)</f>
        <v/>
      </c>
      <c r="L1785" s="84">
        <f>(((ASSUMPTIONS!$C$18*J1785*(1-ASSUMPTIONS!$C$20)+ASSUMPTIONS!$C$18*ASSUMPTIONS!$C$21-ASSUMPTIONS!$C$18*ASSUMPTIONS!$C$22)*(1+H1785)*(1-((1+H1785)/(1+I1785))^5)/(I1785-H1785))+((ASSUMPTIONS!$C$18*J1785*(1-ASSUMPTIONS!$C$20)+ASSUMPTIONS!$C$18*ASSUMPTIONS!$C$21-ASSUMPTIONS!$C$18*ASSUMPTIONS!$C$22)*(1+H1785)^5*(1+K1785)/(I1785-K1785)/(1+I1785)^5)-DCF!$C$12)/ASSUMPTIONS!$C$7</f>
        <v/>
      </c>
    </row>
    <row r="1786">
      <c r="H1786" s="83">
        <f>_xlfn.NORM.INV(RAND(),AVERAGE(ASSUMPTIONS!$C$38,ASSUMPTIONS!$C$39,ASSUMPTIONS!$C$40,ASSUMPTIONS!$C$41,ASSUMPTIONS!$C$42),ASSUMPTIONS!$C$68)</f>
        <v/>
      </c>
      <c r="I1786" s="83">
        <f>MAX(_xlfn.NORM.INV(RAND(),DCF!$C$11,ASSUMPTIONS!$C$69),K1786+0.005)</f>
        <v/>
      </c>
      <c r="J1786" s="83">
        <f>_xlfn.NORM.INV(RAND(),ASSUMPTIONS!$C$19,ASSUMPTIONS!$C$70)</f>
        <v/>
      </c>
      <c r="K1786" s="83">
        <f>_xlfn.NORM.INV(RAND(),ASSUMPTIONS!$C$43,ASSUMPTIONS!$C$71)</f>
        <v/>
      </c>
      <c r="L1786" s="84">
        <f>(((ASSUMPTIONS!$C$18*J1786*(1-ASSUMPTIONS!$C$20)+ASSUMPTIONS!$C$18*ASSUMPTIONS!$C$21-ASSUMPTIONS!$C$18*ASSUMPTIONS!$C$22)*(1+H1786)*(1-((1+H1786)/(1+I1786))^5)/(I1786-H1786))+((ASSUMPTIONS!$C$18*J1786*(1-ASSUMPTIONS!$C$20)+ASSUMPTIONS!$C$18*ASSUMPTIONS!$C$21-ASSUMPTIONS!$C$18*ASSUMPTIONS!$C$22)*(1+H1786)^5*(1+K1786)/(I1786-K1786)/(1+I1786)^5)-DCF!$C$12)/ASSUMPTIONS!$C$7</f>
        <v/>
      </c>
    </row>
    <row r="1787">
      <c r="H1787" s="83">
        <f>_xlfn.NORM.INV(RAND(),AVERAGE(ASSUMPTIONS!$C$38,ASSUMPTIONS!$C$39,ASSUMPTIONS!$C$40,ASSUMPTIONS!$C$41,ASSUMPTIONS!$C$42),ASSUMPTIONS!$C$68)</f>
        <v/>
      </c>
      <c r="I1787" s="83">
        <f>MAX(_xlfn.NORM.INV(RAND(),DCF!$C$11,ASSUMPTIONS!$C$69),K1787+0.005)</f>
        <v/>
      </c>
      <c r="J1787" s="83">
        <f>_xlfn.NORM.INV(RAND(),ASSUMPTIONS!$C$19,ASSUMPTIONS!$C$70)</f>
        <v/>
      </c>
      <c r="K1787" s="83">
        <f>_xlfn.NORM.INV(RAND(),ASSUMPTIONS!$C$43,ASSUMPTIONS!$C$71)</f>
        <v/>
      </c>
      <c r="L1787" s="84">
        <f>(((ASSUMPTIONS!$C$18*J1787*(1-ASSUMPTIONS!$C$20)+ASSUMPTIONS!$C$18*ASSUMPTIONS!$C$21-ASSUMPTIONS!$C$18*ASSUMPTIONS!$C$22)*(1+H1787)*(1-((1+H1787)/(1+I1787))^5)/(I1787-H1787))+((ASSUMPTIONS!$C$18*J1787*(1-ASSUMPTIONS!$C$20)+ASSUMPTIONS!$C$18*ASSUMPTIONS!$C$21-ASSUMPTIONS!$C$18*ASSUMPTIONS!$C$22)*(1+H1787)^5*(1+K1787)/(I1787-K1787)/(1+I1787)^5)-DCF!$C$12)/ASSUMPTIONS!$C$7</f>
        <v/>
      </c>
    </row>
    <row r="1788">
      <c r="H1788" s="83">
        <f>_xlfn.NORM.INV(RAND(),AVERAGE(ASSUMPTIONS!$C$38,ASSUMPTIONS!$C$39,ASSUMPTIONS!$C$40,ASSUMPTIONS!$C$41,ASSUMPTIONS!$C$42),ASSUMPTIONS!$C$68)</f>
        <v/>
      </c>
      <c r="I1788" s="83">
        <f>MAX(_xlfn.NORM.INV(RAND(),DCF!$C$11,ASSUMPTIONS!$C$69),K1788+0.005)</f>
        <v/>
      </c>
      <c r="J1788" s="83">
        <f>_xlfn.NORM.INV(RAND(),ASSUMPTIONS!$C$19,ASSUMPTIONS!$C$70)</f>
        <v/>
      </c>
      <c r="K1788" s="83">
        <f>_xlfn.NORM.INV(RAND(),ASSUMPTIONS!$C$43,ASSUMPTIONS!$C$71)</f>
        <v/>
      </c>
      <c r="L1788" s="84">
        <f>(((ASSUMPTIONS!$C$18*J1788*(1-ASSUMPTIONS!$C$20)+ASSUMPTIONS!$C$18*ASSUMPTIONS!$C$21-ASSUMPTIONS!$C$18*ASSUMPTIONS!$C$22)*(1+H1788)*(1-((1+H1788)/(1+I1788))^5)/(I1788-H1788))+((ASSUMPTIONS!$C$18*J1788*(1-ASSUMPTIONS!$C$20)+ASSUMPTIONS!$C$18*ASSUMPTIONS!$C$21-ASSUMPTIONS!$C$18*ASSUMPTIONS!$C$22)*(1+H1788)^5*(1+K1788)/(I1788-K1788)/(1+I1788)^5)-DCF!$C$12)/ASSUMPTIONS!$C$7</f>
        <v/>
      </c>
    </row>
    <row r="1789">
      <c r="H1789" s="83">
        <f>_xlfn.NORM.INV(RAND(),AVERAGE(ASSUMPTIONS!$C$38,ASSUMPTIONS!$C$39,ASSUMPTIONS!$C$40,ASSUMPTIONS!$C$41,ASSUMPTIONS!$C$42),ASSUMPTIONS!$C$68)</f>
        <v/>
      </c>
      <c r="I1789" s="83">
        <f>MAX(_xlfn.NORM.INV(RAND(),DCF!$C$11,ASSUMPTIONS!$C$69),K1789+0.005)</f>
        <v/>
      </c>
      <c r="J1789" s="83">
        <f>_xlfn.NORM.INV(RAND(),ASSUMPTIONS!$C$19,ASSUMPTIONS!$C$70)</f>
        <v/>
      </c>
      <c r="K1789" s="83">
        <f>_xlfn.NORM.INV(RAND(),ASSUMPTIONS!$C$43,ASSUMPTIONS!$C$71)</f>
        <v/>
      </c>
      <c r="L1789" s="84">
        <f>(((ASSUMPTIONS!$C$18*J1789*(1-ASSUMPTIONS!$C$20)+ASSUMPTIONS!$C$18*ASSUMPTIONS!$C$21-ASSUMPTIONS!$C$18*ASSUMPTIONS!$C$22)*(1+H1789)*(1-((1+H1789)/(1+I1789))^5)/(I1789-H1789))+((ASSUMPTIONS!$C$18*J1789*(1-ASSUMPTIONS!$C$20)+ASSUMPTIONS!$C$18*ASSUMPTIONS!$C$21-ASSUMPTIONS!$C$18*ASSUMPTIONS!$C$22)*(1+H1789)^5*(1+K1789)/(I1789-K1789)/(1+I1789)^5)-DCF!$C$12)/ASSUMPTIONS!$C$7</f>
        <v/>
      </c>
    </row>
    <row r="1790">
      <c r="H1790" s="83">
        <f>_xlfn.NORM.INV(RAND(),AVERAGE(ASSUMPTIONS!$C$38,ASSUMPTIONS!$C$39,ASSUMPTIONS!$C$40,ASSUMPTIONS!$C$41,ASSUMPTIONS!$C$42),ASSUMPTIONS!$C$68)</f>
        <v/>
      </c>
      <c r="I1790" s="83">
        <f>MAX(_xlfn.NORM.INV(RAND(),DCF!$C$11,ASSUMPTIONS!$C$69),K1790+0.005)</f>
        <v/>
      </c>
      <c r="J1790" s="83">
        <f>_xlfn.NORM.INV(RAND(),ASSUMPTIONS!$C$19,ASSUMPTIONS!$C$70)</f>
        <v/>
      </c>
      <c r="K1790" s="83">
        <f>_xlfn.NORM.INV(RAND(),ASSUMPTIONS!$C$43,ASSUMPTIONS!$C$71)</f>
        <v/>
      </c>
      <c r="L1790" s="84">
        <f>(((ASSUMPTIONS!$C$18*J1790*(1-ASSUMPTIONS!$C$20)+ASSUMPTIONS!$C$18*ASSUMPTIONS!$C$21-ASSUMPTIONS!$C$18*ASSUMPTIONS!$C$22)*(1+H1790)*(1-((1+H1790)/(1+I1790))^5)/(I1790-H1790))+((ASSUMPTIONS!$C$18*J1790*(1-ASSUMPTIONS!$C$20)+ASSUMPTIONS!$C$18*ASSUMPTIONS!$C$21-ASSUMPTIONS!$C$18*ASSUMPTIONS!$C$22)*(1+H1790)^5*(1+K1790)/(I1790-K1790)/(1+I1790)^5)-DCF!$C$12)/ASSUMPTIONS!$C$7</f>
        <v/>
      </c>
    </row>
    <row r="1791">
      <c r="H1791" s="83">
        <f>_xlfn.NORM.INV(RAND(),AVERAGE(ASSUMPTIONS!$C$38,ASSUMPTIONS!$C$39,ASSUMPTIONS!$C$40,ASSUMPTIONS!$C$41,ASSUMPTIONS!$C$42),ASSUMPTIONS!$C$68)</f>
        <v/>
      </c>
      <c r="I1791" s="83">
        <f>MAX(_xlfn.NORM.INV(RAND(),DCF!$C$11,ASSUMPTIONS!$C$69),K1791+0.005)</f>
        <v/>
      </c>
      <c r="J1791" s="83">
        <f>_xlfn.NORM.INV(RAND(),ASSUMPTIONS!$C$19,ASSUMPTIONS!$C$70)</f>
        <v/>
      </c>
      <c r="K1791" s="83">
        <f>_xlfn.NORM.INV(RAND(),ASSUMPTIONS!$C$43,ASSUMPTIONS!$C$71)</f>
        <v/>
      </c>
      <c r="L1791" s="84">
        <f>(((ASSUMPTIONS!$C$18*J1791*(1-ASSUMPTIONS!$C$20)+ASSUMPTIONS!$C$18*ASSUMPTIONS!$C$21-ASSUMPTIONS!$C$18*ASSUMPTIONS!$C$22)*(1+H1791)*(1-((1+H1791)/(1+I1791))^5)/(I1791-H1791))+((ASSUMPTIONS!$C$18*J1791*(1-ASSUMPTIONS!$C$20)+ASSUMPTIONS!$C$18*ASSUMPTIONS!$C$21-ASSUMPTIONS!$C$18*ASSUMPTIONS!$C$22)*(1+H1791)^5*(1+K1791)/(I1791-K1791)/(1+I1791)^5)-DCF!$C$12)/ASSUMPTIONS!$C$7</f>
        <v/>
      </c>
    </row>
    <row r="1792">
      <c r="H1792" s="83">
        <f>_xlfn.NORM.INV(RAND(),AVERAGE(ASSUMPTIONS!$C$38,ASSUMPTIONS!$C$39,ASSUMPTIONS!$C$40,ASSUMPTIONS!$C$41,ASSUMPTIONS!$C$42),ASSUMPTIONS!$C$68)</f>
        <v/>
      </c>
      <c r="I1792" s="83">
        <f>MAX(_xlfn.NORM.INV(RAND(),DCF!$C$11,ASSUMPTIONS!$C$69),K1792+0.005)</f>
        <v/>
      </c>
      <c r="J1792" s="83">
        <f>_xlfn.NORM.INV(RAND(),ASSUMPTIONS!$C$19,ASSUMPTIONS!$C$70)</f>
        <v/>
      </c>
      <c r="K1792" s="83">
        <f>_xlfn.NORM.INV(RAND(),ASSUMPTIONS!$C$43,ASSUMPTIONS!$C$71)</f>
        <v/>
      </c>
      <c r="L1792" s="84">
        <f>(((ASSUMPTIONS!$C$18*J1792*(1-ASSUMPTIONS!$C$20)+ASSUMPTIONS!$C$18*ASSUMPTIONS!$C$21-ASSUMPTIONS!$C$18*ASSUMPTIONS!$C$22)*(1+H1792)*(1-((1+H1792)/(1+I1792))^5)/(I1792-H1792))+((ASSUMPTIONS!$C$18*J1792*(1-ASSUMPTIONS!$C$20)+ASSUMPTIONS!$C$18*ASSUMPTIONS!$C$21-ASSUMPTIONS!$C$18*ASSUMPTIONS!$C$22)*(1+H1792)^5*(1+K1792)/(I1792-K1792)/(1+I1792)^5)-DCF!$C$12)/ASSUMPTIONS!$C$7</f>
        <v/>
      </c>
    </row>
    <row r="1793">
      <c r="H1793" s="83">
        <f>_xlfn.NORM.INV(RAND(),AVERAGE(ASSUMPTIONS!$C$38,ASSUMPTIONS!$C$39,ASSUMPTIONS!$C$40,ASSUMPTIONS!$C$41,ASSUMPTIONS!$C$42),ASSUMPTIONS!$C$68)</f>
        <v/>
      </c>
      <c r="I1793" s="83">
        <f>MAX(_xlfn.NORM.INV(RAND(),DCF!$C$11,ASSUMPTIONS!$C$69),K1793+0.005)</f>
        <v/>
      </c>
      <c r="J1793" s="83">
        <f>_xlfn.NORM.INV(RAND(),ASSUMPTIONS!$C$19,ASSUMPTIONS!$C$70)</f>
        <v/>
      </c>
      <c r="K1793" s="83">
        <f>_xlfn.NORM.INV(RAND(),ASSUMPTIONS!$C$43,ASSUMPTIONS!$C$71)</f>
        <v/>
      </c>
      <c r="L1793" s="84">
        <f>(((ASSUMPTIONS!$C$18*J1793*(1-ASSUMPTIONS!$C$20)+ASSUMPTIONS!$C$18*ASSUMPTIONS!$C$21-ASSUMPTIONS!$C$18*ASSUMPTIONS!$C$22)*(1+H1793)*(1-((1+H1793)/(1+I1793))^5)/(I1793-H1793))+((ASSUMPTIONS!$C$18*J1793*(1-ASSUMPTIONS!$C$20)+ASSUMPTIONS!$C$18*ASSUMPTIONS!$C$21-ASSUMPTIONS!$C$18*ASSUMPTIONS!$C$22)*(1+H1793)^5*(1+K1793)/(I1793-K1793)/(1+I1793)^5)-DCF!$C$12)/ASSUMPTIONS!$C$7</f>
        <v/>
      </c>
    </row>
    <row r="1794">
      <c r="H1794" s="83">
        <f>_xlfn.NORM.INV(RAND(),AVERAGE(ASSUMPTIONS!$C$38,ASSUMPTIONS!$C$39,ASSUMPTIONS!$C$40,ASSUMPTIONS!$C$41,ASSUMPTIONS!$C$42),ASSUMPTIONS!$C$68)</f>
        <v/>
      </c>
      <c r="I1794" s="83">
        <f>MAX(_xlfn.NORM.INV(RAND(),DCF!$C$11,ASSUMPTIONS!$C$69),K1794+0.005)</f>
        <v/>
      </c>
      <c r="J1794" s="83">
        <f>_xlfn.NORM.INV(RAND(),ASSUMPTIONS!$C$19,ASSUMPTIONS!$C$70)</f>
        <v/>
      </c>
      <c r="K1794" s="83">
        <f>_xlfn.NORM.INV(RAND(),ASSUMPTIONS!$C$43,ASSUMPTIONS!$C$71)</f>
        <v/>
      </c>
      <c r="L1794" s="84">
        <f>(((ASSUMPTIONS!$C$18*J1794*(1-ASSUMPTIONS!$C$20)+ASSUMPTIONS!$C$18*ASSUMPTIONS!$C$21-ASSUMPTIONS!$C$18*ASSUMPTIONS!$C$22)*(1+H1794)*(1-((1+H1794)/(1+I1794))^5)/(I1794-H1794))+((ASSUMPTIONS!$C$18*J1794*(1-ASSUMPTIONS!$C$20)+ASSUMPTIONS!$C$18*ASSUMPTIONS!$C$21-ASSUMPTIONS!$C$18*ASSUMPTIONS!$C$22)*(1+H1794)^5*(1+K1794)/(I1794-K1794)/(1+I1794)^5)-DCF!$C$12)/ASSUMPTIONS!$C$7</f>
        <v/>
      </c>
    </row>
    <row r="1795">
      <c r="H1795" s="83">
        <f>_xlfn.NORM.INV(RAND(),AVERAGE(ASSUMPTIONS!$C$38,ASSUMPTIONS!$C$39,ASSUMPTIONS!$C$40,ASSUMPTIONS!$C$41,ASSUMPTIONS!$C$42),ASSUMPTIONS!$C$68)</f>
        <v/>
      </c>
      <c r="I1795" s="83">
        <f>MAX(_xlfn.NORM.INV(RAND(),DCF!$C$11,ASSUMPTIONS!$C$69),K1795+0.005)</f>
        <v/>
      </c>
      <c r="J1795" s="83">
        <f>_xlfn.NORM.INV(RAND(),ASSUMPTIONS!$C$19,ASSUMPTIONS!$C$70)</f>
        <v/>
      </c>
      <c r="K1795" s="83">
        <f>_xlfn.NORM.INV(RAND(),ASSUMPTIONS!$C$43,ASSUMPTIONS!$C$71)</f>
        <v/>
      </c>
      <c r="L1795" s="84">
        <f>(((ASSUMPTIONS!$C$18*J1795*(1-ASSUMPTIONS!$C$20)+ASSUMPTIONS!$C$18*ASSUMPTIONS!$C$21-ASSUMPTIONS!$C$18*ASSUMPTIONS!$C$22)*(1+H1795)*(1-((1+H1795)/(1+I1795))^5)/(I1795-H1795))+((ASSUMPTIONS!$C$18*J1795*(1-ASSUMPTIONS!$C$20)+ASSUMPTIONS!$C$18*ASSUMPTIONS!$C$21-ASSUMPTIONS!$C$18*ASSUMPTIONS!$C$22)*(1+H1795)^5*(1+K1795)/(I1795-K1795)/(1+I1795)^5)-DCF!$C$12)/ASSUMPTIONS!$C$7</f>
        <v/>
      </c>
    </row>
    <row r="1796">
      <c r="H1796" s="83">
        <f>_xlfn.NORM.INV(RAND(),AVERAGE(ASSUMPTIONS!$C$38,ASSUMPTIONS!$C$39,ASSUMPTIONS!$C$40,ASSUMPTIONS!$C$41,ASSUMPTIONS!$C$42),ASSUMPTIONS!$C$68)</f>
        <v/>
      </c>
      <c r="I1796" s="83">
        <f>MAX(_xlfn.NORM.INV(RAND(),DCF!$C$11,ASSUMPTIONS!$C$69),K1796+0.005)</f>
        <v/>
      </c>
      <c r="J1796" s="83">
        <f>_xlfn.NORM.INV(RAND(),ASSUMPTIONS!$C$19,ASSUMPTIONS!$C$70)</f>
        <v/>
      </c>
      <c r="K1796" s="83">
        <f>_xlfn.NORM.INV(RAND(),ASSUMPTIONS!$C$43,ASSUMPTIONS!$C$71)</f>
        <v/>
      </c>
      <c r="L1796" s="84">
        <f>(((ASSUMPTIONS!$C$18*J1796*(1-ASSUMPTIONS!$C$20)+ASSUMPTIONS!$C$18*ASSUMPTIONS!$C$21-ASSUMPTIONS!$C$18*ASSUMPTIONS!$C$22)*(1+H1796)*(1-((1+H1796)/(1+I1796))^5)/(I1796-H1796))+((ASSUMPTIONS!$C$18*J1796*(1-ASSUMPTIONS!$C$20)+ASSUMPTIONS!$C$18*ASSUMPTIONS!$C$21-ASSUMPTIONS!$C$18*ASSUMPTIONS!$C$22)*(1+H1796)^5*(1+K1796)/(I1796-K1796)/(1+I1796)^5)-DCF!$C$12)/ASSUMPTIONS!$C$7</f>
        <v/>
      </c>
    </row>
    <row r="1797">
      <c r="H1797" s="83">
        <f>_xlfn.NORM.INV(RAND(),AVERAGE(ASSUMPTIONS!$C$38,ASSUMPTIONS!$C$39,ASSUMPTIONS!$C$40,ASSUMPTIONS!$C$41,ASSUMPTIONS!$C$42),ASSUMPTIONS!$C$68)</f>
        <v/>
      </c>
      <c r="I1797" s="83">
        <f>MAX(_xlfn.NORM.INV(RAND(),DCF!$C$11,ASSUMPTIONS!$C$69),K1797+0.005)</f>
        <v/>
      </c>
      <c r="J1797" s="83">
        <f>_xlfn.NORM.INV(RAND(),ASSUMPTIONS!$C$19,ASSUMPTIONS!$C$70)</f>
        <v/>
      </c>
      <c r="K1797" s="83">
        <f>_xlfn.NORM.INV(RAND(),ASSUMPTIONS!$C$43,ASSUMPTIONS!$C$71)</f>
        <v/>
      </c>
      <c r="L1797" s="84">
        <f>(((ASSUMPTIONS!$C$18*J1797*(1-ASSUMPTIONS!$C$20)+ASSUMPTIONS!$C$18*ASSUMPTIONS!$C$21-ASSUMPTIONS!$C$18*ASSUMPTIONS!$C$22)*(1+H1797)*(1-((1+H1797)/(1+I1797))^5)/(I1797-H1797))+((ASSUMPTIONS!$C$18*J1797*(1-ASSUMPTIONS!$C$20)+ASSUMPTIONS!$C$18*ASSUMPTIONS!$C$21-ASSUMPTIONS!$C$18*ASSUMPTIONS!$C$22)*(1+H1797)^5*(1+K1797)/(I1797-K1797)/(1+I1797)^5)-DCF!$C$12)/ASSUMPTIONS!$C$7</f>
        <v/>
      </c>
    </row>
    <row r="1798">
      <c r="H1798" s="83">
        <f>_xlfn.NORM.INV(RAND(),AVERAGE(ASSUMPTIONS!$C$38,ASSUMPTIONS!$C$39,ASSUMPTIONS!$C$40,ASSUMPTIONS!$C$41,ASSUMPTIONS!$C$42),ASSUMPTIONS!$C$68)</f>
        <v/>
      </c>
      <c r="I1798" s="83">
        <f>MAX(_xlfn.NORM.INV(RAND(),DCF!$C$11,ASSUMPTIONS!$C$69),K1798+0.005)</f>
        <v/>
      </c>
      <c r="J1798" s="83">
        <f>_xlfn.NORM.INV(RAND(),ASSUMPTIONS!$C$19,ASSUMPTIONS!$C$70)</f>
        <v/>
      </c>
      <c r="K1798" s="83">
        <f>_xlfn.NORM.INV(RAND(),ASSUMPTIONS!$C$43,ASSUMPTIONS!$C$71)</f>
        <v/>
      </c>
      <c r="L1798" s="84">
        <f>(((ASSUMPTIONS!$C$18*J1798*(1-ASSUMPTIONS!$C$20)+ASSUMPTIONS!$C$18*ASSUMPTIONS!$C$21-ASSUMPTIONS!$C$18*ASSUMPTIONS!$C$22)*(1+H1798)*(1-((1+H1798)/(1+I1798))^5)/(I1798-H1798))+((ASSUMPTIONS!$C$18*J1798*(1-ASSUMPTIONS!$C$20)+ASSUMPTIONS!$C$18*ASSUMPTIONS!$C$21-ASSUMPTIONS!$C$18*ASSUMPTIONS!$C$22)*(1+H1798)^5*(1+K1798)/(I1798-K1798)/(1+I1798)^5)-DCF!$C$12)/ASSUMPTIONS!$C$7</f>
        <v/>
      </c>
    </row>
    <row r="1799">
      <c r="H1799" s="83">
        <f>_xlfn.NORM.INV(RAND(),AVERAGE(ASSUMPTIONS!$C$38,ASSUMPTIONS!$C$39,ASSUMPTIONS!$C$40,ASSUMPTIONS!$C$41,ASSUMPTIONS!$C$42),ASSUMPTIONS!$C$68)</f>
        <v/>
      </c>
      <c r="I1799" s="83">
        <f>MAX(_xlfn.NORM.INV(RAND(),DCF!$C$11,ASSUMPTIONS!$C$69),K1799+0.005)</f>
        <v/>
      </c>
      <c r="J1799" s="83">
        <f>_xlfn.NORM.INV(RAND(),ASSUMPTIONS!$C$19,ASSUMPTIONS!$C$70)</f>
        <v/>
      </c>
      <c r="K1799" s="83">
        <f>_xlfn.NORM.INV(RAND(),ASSUMPTIONS!$C$43,ASSUMPTIONS!$C$71)</f>
        <v/>
      </c>
      <c r="L1799" s="84">
        <f>(((ASSUMPTIONS!$C$18*J1799*(1-ASSUMPTIONS!$C$20)+ASSUMPTIONS!$C$18*ASSUMPTIONS!$C$21-ASSUMPTIONS!$C$18*ASSUMPTIONS!$C$22)*(1+H1799)*(1-((1+H1799)/(1+I1799))^5)/(I1799-H1799))+((ASSUMPTIONS!$C$18*J1799*(1-ASSUMPTIONS!$C$20)+ASSUMPTIONS!$C$18*ASSUMPTIONS!$C$21-ASSUMPTIONS!$C$18*ASSUMPTIONS!$C$22)*(1+H1799)^5*(1+K1799)/(I1799-K1799)/(1+I1799)^5)-DCF!$C$12)/ASSUMPTIONS!$C$7</f>
        <v/>
      </c>
    </row>
    <row r="1800">
      <c r="H1800" s="83">
        <f>_xlfn.NORM.INV(RAND(),AVERAGE(ASSUMPTIONS!$C$38,ASSUMPTIONS!$C$39,ASSUMPTIONS!$C$40,ASSUMPTIONS!$C$41,ASSUMPTIONS!$C$42),ASSUMPTIONS!$C$68)</f>
        <v/>
      </c>
      <c r="I1800" s="83">
        <f>MAX(_xlfn.NORM.INV(RAND(),DCF!$C$11,ASSUMPTIONS!$C$69),K1800+0.005)</f>
        <v/>
      </c>
      <c r="J1800" s="83">
        <f>_xlfn.NORM.INV(RAND(),ASSUMPTIONS!$C$19,ASSUMPTIONS!$C$70)</f>
        <v/>
      </c>
      <c r="K1800" s="83">
        <f>_xlfn.NORM.INV(RAND(),ASSUMPTIONS!$C$43,ASSUMPTIONS!$C$71)</f>
        <v/>
      </c>
      <c r="L1800" s="84">
        <f>(((ASSUMPTIONS!$C$18*J1800*(1-ASSUMPTIONS!$C$20)+ASSUMPTIONS!$C$18*ASSUMPTIONS!$C$21-ASSUMPTIONS!$C$18*ASSUMPTIONS!$C$22)*(1+H1800)*(1-((1+H1800)/(1+I1800))^5)/(I1800-H1800))+((ASSUMPTIONS!$C$18*J1800*(1-ASSUMPTIONS!$C$20)+ASSUMPTIONS!$C$18*ASSUMPTIONS!$C$21-ASSUMPTIONS!$C$18*ASSUMPTIONS!$C$22)*(1+H1800)^5*(1+K1800)/(I1800-K1800)/(1+I1800)^5)-DCF!$C$12)/ASSUMPTIONS!$C$7</f>
        <v/>
      </c>
    </row>
    <row r="1801">
      <c r="H1801" s="83">
        <f>_xlfn.NORM.INV(RAND(),AVERAGE(ASSUMPTIONS!$C$38,ASSUMPTIONS!$C$39,ASSUMPTIONS!$C$40,ASSUMPTIONS!$C$41,ASSUMPTIONS!$C$42),ASSUMPTIONS!$C$68)</f>
        <v/>
      </c>
      <c r="I1801" s="83">
        <f>MAX(_xlfn.NORM.INV(RAND(),DCF!$C$11,ASSUMPTIONS!$C$69),K1801+0.005)</f>
        <v/>
      </c>
      <c r="J1801" s="83">
        <f>_xlfn.NORM.INV(RAND(),ASSUMPTIONS!$C$19,ASSUMPTIONS!$C$70)</f>
        <v/>
      </c>
      <c r="K1801" s="83">
        <f>_xlfn.NORM.INV(RAND(),ASSUMPTIONS!$C$43,ASSUMPTIONS!$C$71)</f>
        <v/>
      </c>
      <c r="L1801" s="84">
        <f>(((ASSUMPTIONS!$C$18*J1801*(1-ASSUMPTIONS!$C$20)+ASSUMPTIONS!$C$18*ASSUMPTIONS!$C$21-ASSUMPTIONS!$C$18*ASSUMPTIONS!$C$22)*(1+H1801)*(1-((1+H1801)/(1+I1801))^5)/(I1801-H1801))+((ASSUMPTIONS!$C$18*J1801*(1-ASSUMPTIONS!$C$20)+ASSUMPTIONS!$C$18*ASSUMPTIONS!$C$21-ASSUMPTIONS!$C$18*ASSUMPTIONS!$C$22)*(1+H1801)^5*(1+K1801)/(I1801-K1801)/(1+I1801)^5)-DCF!$C$12)/ASSUMPTIONS!$C$7</f>
        <v/>
      </c>
    </row>
    <row r="1802">
      <c r="H1802" s="83">
        <f>_xlfn.NORM.INV(RAND(),AVERAGE(ASSUMPTIONS!$C$38,ASSUMPTIONS!$C$39,ASSUMPTIONS!$C$40,ASSUMPTIONS!$C$41,ASSUMPTIONS!$C$42),ASSUMPTIONS!$C$68)</f>
        <v/>
      </c>
      <c r="I1802" s="83">
        <f>MAX(_xlfn.NORM.INV(RAND(),DCF!$C$11,ASSUMPTIONS!$C$69),K1802+0.005)</f>
        <v/>
      </c>
      <c r="J1802" s="83">
        <f>_xlfn.NORM.INV(RAND(),ASSUMPTIONS!$C$19,ASSUMPTIONS!$C$70)</f>
        <v/>
      </c>
      <c r="K1802" s="83">
        <f>_xlfn.NORM.INV(RAND(),ASSUMPTIONS!$C$43,ASSUMPTIONS!$C$71)</f>
        <v/>
      </c>
      <c r="L1802" s="84">
        <f>(((ASSUMPTIONS!$C$18*J1802*(1-ASSUMPTIONS!$C$20)+ASSUMPTIONS!$C$18*ASSUMPTIONS!$C$21-ASSUMPTIONS!$C$18*ASSUMPTIONS!$C$22)*(1+H1802)*(1-((1+H1802)/(1+I1802))^5)/(I1802-H1802))+((ASSUMPTIONS!$C$18*J1802*(1-ASSUMPTIONS!$C$20)+ASSUMPTIONS!$C$18*ASSUMPTIONS!$C$21-ASSUMPTIONS!$C$18*ASSUMPTIONS!$C$22)*(1+H1802)^5*(1+K1802)/(I1802-K1802)/(1+I1802)^5)-DCF!$C$12)/ASSUMPTIONS!$C$7</f>
        <v/>
      </c>
    </row>
    <row r="1803">
      <c r="H1803" s="83">
        <f>_xlfn.NORM.INV(RAND(),AVERAGE(ASSUMPTIONS!$C$38,ASSUMPTIONS!$C$39,ASSUMPTIONS!$C$40,ASSUMPTIONS!$C$41,ASSUMPTIONS!$C$42),ASSUMPTIONS!$C$68)</f>
        <v/>
      </c>
      <c r="I1803" s="83">
        <f>MAX(_xlfn.NORM.INV(RAND(),DCF!$C$11,ASSUMPTIONS!$C$69),K1803+0.005)</f>
        <v/>
      </c>
      <c r="J1803" s="83">
        <f>_xlfn.NORM.INV(RAND(),ASSUMPTIONS!$C$19,ASSUMPTIONS!$C$70)</f>
        <v/>
      </c>
      <c r="K1803" s="83">
        <f>_xlfn.NORM.INV(RAND(),ASSUMPTIONS!$C$43,ASSUMPTIONS!$C$71)</f>
        <v/>
      </c>
      <c r="L1803" s="84">
        <f>(((ASSUMPTIONS!$C$18*J1803*(1-ASSUMPTIONS!$C$20)+ASSUMPTIONS!$C$18*ASSUMPTIONS!$C$21-ASSUMPTIONS!$C$18*ASSUMPTIONS!$C$22)*(1+H1803)*(1-((1+H1803)/(1+I1803))^5)/(I1803-H1803))+((ASSUMPTIONS!$C$18*J1803*(1-ASSUMPTIONS!$C$20)+ASSUMPTIONS!$C$18*ASSUMPTIONS!$C$21-ASSUMPTIONS!$C$18*ASSUMPTIONS!$C$22)*(1+H1803)^5*(1+K1803)/(I1803-K1803)/(1+I1803)^5)-DCF!$C$12)/ASSUMPTIONS!$C$7</f>
        <v/>
      </c>
    </row>
    <row r="1804">
      <c r="H1804" s="83">
        <f>_xlfn.NORM.INV(RAND(),AVERAGE(ASSUMPTIONS!$C$38,ASSUMPTIONS!$C$39,ASSUMPTIONS!$C$40,ASSUMPTIONS!$C$41,ASSUMPTIONS!$C$42),ASSUMPTIONS!$C$68)</f>
        <v/>
      </c>
      <c r="I1804" s="83">
        <f>MAX(_xlfn.NORM.INV(RAND(),DCF!$C$11,ASSUMPTIONS!$C$69),K1804+0.005)</f>
        <v/>
      </c>
      <c r="J1804" s="83">
        <f>_xlfn.NORM.INV(RAND(),ASSUMPTIONS!$C$19,ASSUMPTIONS!$C$70)</f>
        <v/>
      </c>
      <c r="K1804" s="83">
        <f>_xlfn.NORM.INV(RAND(),ASSUMPTIONS!$C$43,ASSUMPTIONS!$C$71)</f>
        <v/>
      </c>
      <c r="L1804" s="84">
        <f>(((ASSUMPTIONS!$C$18*J1804*(1-ASSUMPTIONS!$C$20)+ASSUMPTIONS!$C$18*ASSUMPTIONS!$C$21-ASSUMPTIONS!$C$18*ASSUMPTIONS!$C$22)*(1+H1804)*(1-((1+H1804)/(1+I1804))^5)/(I1804-H1804))+((ASSUMPTIONS!$C$18*J1804*(1-ASSUMPTIONS!$C$20)+ASSUMPTIONS!$C$18*ASSUMPTIONS!$C$21-ASSUMPTIONS!$C$18*ASSUMPTIONS!$C$22)*(1+H1804)^5*(1+K1804)/(I1804-K1804)/(1+I1804)^5)-DCF!$C$12)/ASSUMPTIONS!$C$7</f>
        <v/>
      </c>
    </row>
    <row r="1805">
      <c r="H1805" s="83">
        <f>_xlfn.NORM.INV(RAND(),AVERAGE(ASSUMPTIONS!$C$38,ASSUMPTIONS!$C$39,ASSUMPTIONS!$C$40,ASSUMPTIONS!$C$41,ASSUMPTIONS!$C$42),ASSUMPTIONS!$C$68)</f>
        <v/>
      </c>
      <c r="I1805" s="83">
        <f>MAX(_xlfn.NORM.INV(RAND(),DCF!$C$11,ASSUMPTIONS!$C$69),K1805+0.005)</f>
        <v/>
      </c>
      <c r="J1805" s="83">
        <f>_xlfn.NORM.INV(RAND(),ASSUMPTIONS!$C$19,ASSUMPTIONS!$C$70)</f>
        <v/>
      </c>
      <c r="K1805" s="83">
        <f>_xlfn.NORM.INV(RAND(),ASSUMPTIONS!$C$43,ASSUMPTIONS!$C$71)</f>
        <v/>
      </c>
      <c r="L1805" s="84">
        <f>(((ASSUMPTIONS!$C$18*J1805*(1-ASSUMPTIONS!$C$20)+ASSUMPTIONS!$C$18*ASSUMPTIONS!$C$21-ASSUMPTIONS!$C$18*ASSUMPTIONS!$C$22)*(1+H1805)*(1-((1+H1805)/(1+I1805))^5)/(I1805-H1805))+((ASSUMPTIONS!$C$18*J1805*(1-ASSUMPTIONS!$C$20)+ASSUMPTIONS!$C$18*ASSUMPTIONS!$C$21-ASSUMPTIONS!$C$18*ASSUMPTIONS!$C$22)*(1+H1805)^5*(1+K1805)/(I1805-K1805)/(1+I1805)^5)-DCF!$C$12)/ASSUMPTIONS!$C$7</f>
        <v/>
      </c>
    </row>
    <row r="1806">
      <c r="H1806" s="83">
        <f>_xlfn.NORM.INV(RAND(),AVERAGE(ASSUMPTIONS!$C$38,ASSUMPTIONS!$C$39,ASSUMPTIONS!$C$40,ASSUMPTIONS!$C$41,ASSUMPTIONS!$C$42),ASSUMPTIONS!$C$68)</f>
        <v/>
      </c>
      <c r="I1806" s="83">
        <f>MAX(_xlfn.NORM.INV(RAND(),DCF!$C$11,ASSUMPTIONS!$C$69),K1806+0.005)</f>
        <v/>
      </c>
      <c r="J1806" s="83">
        <f>_xlfn.NORM.INV(RAND(),ASSUMPTIONS!$C$19,ASSUMPTIONS!$C$70)</f>
        <v/>
      </c>
      <c r="K1806" s="83">
        <f>_xlfn.NORM.INV(RAND(),ASSUMPTIONS!$C$43,ASSUMPTIONS!$C$71)</f>
        <v/>
      </c>
      <c r="L1806" s="84">
        <f>(((ASSUMPTIONS!$C$18*J1806*(1-ASSUMPTIONS!$C$20)+ASSUMPTIONS!$C$18*ASSUMPTIONS!$C$21-ASSUMPTIONS!$C$18*ASSUMPTIONS!$C$22)*(1+H1806)*(1-((1+H1806)/(1+I1806))^5)/(I1806-H1806))+((ASSUMPTIONS!$C$18*J1806*(1-ASSUMPTIONS!$C$20)+ASSUMPTIONS!$C$18*ASSUMPTIONS!$C$21-ASSUMPTIONS!$C$18*ASSUMPTIONS!$C$22)*(1+H1806)^5*(1+K1806)/(I1806-K1806)/(1+I1806)^5)-DCF!$C$12)/ASSUMPTIONS!$C$7</f>
        <v/>
      </c>
    </row>
    <row r="1807">
      <c r="H1807" s="83">
        <f>_xlfn.NORM.INV(RAND(),AVERAGE(ASSUMPTIONS!$C$38,ASSUMPTIONS!$C$39,ASSUMPTIONS!$C$40,ASSUMPTIONS!$C$41,ASSUMPTIONS!$C$42),ASSUMPTIONS!$C$68)</f>
        <v/>
      </c>
      <c r="I1807" s="83">
        <f>MAX(_xlfn.NORM.INV(RAND(),DCF!$C$11,ASSUMPTIONS!$C$69),K1807+0.005)</f>
        <v/>
      </c>
      <c r="J1807" s="83">
        <f>_xlfn.NORM.INV(RAND(),ASSUMPTIONS!$C$19,ASSUMPTIONS!$C$70)</f>
        <v/>
      </c>
      <c r="K1807" s="83">
        <f>_xlfn.NORM.INV(RAND(),ASSUMPTIONS!$C$43,ASSUMPTIONS!$C$71)</f>
        <v/>
      </c>
      <c r="L1807" s="84">
        <f>(((ASSUMPTIONS!$C$18*J1807*(1-ASSUMPTIONS!$C$20)+ASSUMPTIONS!$C$18*ASSUMPTIONS!$C$21-ASSUMPTIONS!$C$18*ASSUMPTIONS!$C$22)*(1+H1807)*(1-((1+H1807)/(1+I1807))^5)/(I1807-H1807))+((ASSUMPTIONS!$C$18*J1807*(1-ASSUMPTIONS!$C$20)+ASSUMPTIONS!$C$18*ASSUMPTIONS!$C$21-ASSUMPTIONS!$C$18*ASSUMPTIONS!$C$22)*(1+H1807)^5*(1+K1807)/(I1807-K1807)/(1+I1807)^5)-DCF!$C$12)/ASSUMPTIONS!$C$7</f>
        <v/>
      </c>
    </row>
    <row r="1808">
      <c r="H1808" s="83">
        <f>_xlfn.NORM.INV(RAND(),AVERAGE(ASSUMPTIONS!$C$38,ASSUMPTIONS!$C$39,ASSUMPTIONS!$C$40,ASSUMPTIONS!$C$41,ASSUMPTIONS!$C$42),ASSUMPTIONS!$C$68)</f>
        <v/>
      </c>
      <c r="I1808" s="83">
        <f>MAX(_xlfn.NORM.INV(RAND(),DCF!$C$11,ASSUMPTIONS!$C$69),K1808+0.005)</f>
        <v/>
      </c>
      <c r="J1808" s="83">
        <f>_xlfn.NORM.INV(RAND(),ASSUMPTIONS!$C$19,ASSUMPTIONS!$C$70)</f>
        <v/>
      </c>
      <c r="K1808" s="83">
        <f>_xlfn.NORM.INV(RAND(),ASSUMPTIONS!$C$43,ASSUMPTIONS!$C$71)</f>
        <v/>
      </c>
      <c r="L1808" s="84">
        <f>(((ASSUMPTIONS!$C$18*J1808*(1-ASSUMPTIONS!$C$20)+ASSUMPTIONS!$C$18*ASSUMPTIONS!$C$21-ASSUMPTIONS!$C$18*ASSUMPTIONS!$C$22)*(1+H1808)*(1-((1+H1808)/(1+I1808))^5)/(I1808-H1808))+((ASSUMPTIONS!$C$18*J1808*(1-ASSUMPTIONS!$C$20)+ASSUMPTIONS!$C$18*ASSUMPTIONS!$C$21-ASSUMPTIONS!$C$18*ASSUMPTIONS!$C$22)*(1+H1808)^5*(1+K1808)/(I1808-K1808)/(1+I1808)^5)-DCF!$C$12)/ASSUMPTIONS!$C$7</f>
        <v/>
      </c>
    </row>
    <row r="1809">
      <c r="H1809" s="83">
        <f>_xlfn.NORM.INV(RAND(),AVERAGE(ASSUMPTIONS!$C$38,ASSUMPTIONS!$C$39,ASSUMPTIONS!$C$40,ASSUMPTIONS!$C$41,ASSUMPTIONS!$C$42),ASSUMPTIONS!$C$68)</f>
        <v/>
      </c>
      <c r="I1809" s="83">
        <f>MAX(_xlfn.NORM.INV(RAND(),DCF!$C$11,ASSUMPTIONS!$C$69),K1809+0.005)</f>
        <v/>
      </c>
      <c r="J1809" s="83">
        <f>_xlfn.NORM.INV(RAND(),ASSUMPTIONS!$C$19,ASSUMPTIONS!$C$70)</f>
        <v/>
      </c>
      <c r="K1809" s="83">
        <f>_xlfn.NORM.INV(RAND(),ASSUMPTIONS!$C$43,ASSUMPTIONS!$C$71)</f>
        <v/>
      </c>
      <c r="L1809" s="84">
        <f>(((ASSUMPTIONS!$C$18*J1809*(1-ASSUMPTIONS!$C$20)+ASSUMPTIONS!$C$18*ASSUMPTIONS!$C$21-ASSUMPTIONS!$C$18*ASSUMPTIONS!$C$22)*(1+H1809)*(1-((1+H1809)/(1+I1809))^5)/(I1809-H1809))+((ASSUMPTIONS!$C$18*J1809*(1-ASSUMPTIONS!$C$20)+ASSUMPTIONS!$C$18*ASSUMPTIONS!$C$21-ASSUMPTIONS!$C$18*ASSUMPTIONS!$C$22)*(1+H1809)^5*(1+K1809)/(I1809-K1809)/(1+I1809)^5)-DCF!$C$12)/ASSUMPTIONS!$C$7</f>
        <v/>
      </c>
    </row>
    <row r="1810">
      <c r="H1810" s="83">
        <f>_xlfn.NORM.INV(RAND(),AVERAGE(ASSUMPTIONS!$C$38,ASSUMPTIONS!$C$39,ASSUMPTIONS!$C$40,ASSUMPTIONS!$C$41,ASSUMPTIONS!$C$42),ASSUMPTIONS!$C$68)</f>
        <v/>
      </c>
      <c r="I1810" s="83">
        <f>MAX(_xlfn.NORM.INV(RAND(),DCF!$C$11,ASSUMPTIONS!$C$69),K1810+0.005)</f>
        <v/>
      </c>
      <c r="J1810" s="83">
        <f>_xlfn.NORM.INV(RAND(),ASSUMPTIONS!$C$19,ASSUMPTIONS!$C$70)</f>
        <v/>
      </c>
      <c r="K1810" s="83">
        <f>_xlfn.NORM.INV(RAND(),ASSUMPTIONS!$C$43,ASSUMPTIONS!$C$71)</f>
        <v/>
      </c>
      <c r="L1810" s="84">
        <f>(((ASSUMPTIONS!$C$18*J1810*(1-ASSUMPTIONS!$C$20)+ASSUMPTIONS!$C$18*ASSUMPTIONS!$C$21-ASSUMPTIONS!$C$18*ASSUMPTIONS!$C$22)*(1+H1810)*(1-((1+H1810)/(1+I1810))^5)/(I1810-H1810))+((ASSUMPTIONS!$C$18*J1810*(1-ASSUMPTIONS!$C$20)+ASSUMPTIONS!$C$18*ASSUMPTIONS!$C$21-ASSUMPTIONS!$C$18*ASSUMPTIONS!$C$22)*(1+H1810)^5*(1+K1810)/(I1810-K1810)/(1+I1810)^5)-DCF!$C$12)/ASSUMPTIONS!$C$7</f>
        <v/>
      </c>
    </row>
    <row r="1811">
      <c r="H1811" s="83">
        <f>_xlfn.NORM.INV(RAND(),AVERAGE(ASSUMPTIONS!$C$38,ASSUMPTIONS!$C$39,ASSUMPTIONS!$C$40,ASSUMPTIONS!$C$41,ASSUMPTIONS!$C$42),ASSUMPTIONS!$C$68)</f>
        <v/>
      </c>
      <c r="I1811" s="83">
        <f>MAX(_xlfn.NORM.INV(RAND(),DCF!$C$11,ASSUMPTIONS!$C$69),K1811+0.005)</f>
        <v/>
      </c>
      <c r="J1811" s="83">
        <f>_xlfn.NORM.INV(RAND(),ASSUMPTIONS!$C$19,ASSUMPTIONS!$C$70)</f>
        <v/>
      </c>
      <c r="K1811" s="83">
        <f>_xlfn.NORM.INV(RAND(),ASSUMPTIONS!$C$43,ASSUMPTIONS!$C$71)</f>
        <v/>
      </c>
      <c r="L1811" s="84">
        <f>(((ASSUMPTIONS!$C$18*J1811*(1-ASSUMPTIONS!$C$20)+ASSUMPTIONS!$C$18*ASSUMPTIONS!$C$21-ASSUMPTIONS!$C$18*ASSUMPTIONS!$C$22)*(1+H1811)*(1-((1+H1811)/(1+I1811))^5)/(I1811-H1811))+((ASSUMPTIONS!$C$18*J1811*(1-ASSUMPTIONS!$C$20)+ASSUMPTIONS!$C$18*ASSUMPTIONS!$C$21-ASSUMPTIONS!$C$18*ASSUMPTIONS!$C$22)*(1+H1811)^5*(1+K1811)/(I1811-K1811)/(1+I1811)^5)-DCF!$C$12)/ASSUMPTIONS!$C$7</f>
        <v/>
      </c>
    </row>
    <row r="1812">
      <c r="H1812" s="83">
        <f>_xlfn.NORM.INV(RAND(),AVERAGE(ASSUMPTIONS!$C$38,ASSUMPTIONS!$C$39,ASSUMPTIONS!$C$40,ASSUMPTIONS!$C$41,ASSUMPTIONS!$C$42),ASSUMPTIONS!$C$68)</f>
        <v/>
      </c>
      <c r="I1812" s="83">
        <f>MAX(_xlfn.NORM.INV(RAND(),DCF!$C$11,ASSUMPTIONS!$C$69),K1812+0.005)</f>
        <v/>
      </c>
      <c r="J1812" s="83">
        <f>_xlfn.NORM.INV(RAND(),ASSUMPTIONS!$C$19,ASSUMPTIONS!$C$70)</f>
        <v/>
      </c>
      <c r="K1812" s="83">
        <f>_xlfn.NORM.INV(RAND(),ASSUMPTIONS!$C$43,ASSUMPTIONS!$C$71)</f>
        <v/>
      </c>
      <c r="L1812" s="84">
        <f>(((ASSUMPTIONS!$C$18*J1812*(1-ASSUMPTIONS!$C$20)+ASSUMPTIONS!$C$18*ASSUMPTIONS!$C$21-ASSUMPTIONS!$C$18*ASSUMPTIONS!$C$22)*(1+H1812)*(1-((1+H1812)/(1+I1812))^5)/(I1812-H1812))+((ASSUMPTIONS!$C$18*J1812*(1-ASSUMPTIONS!$C$20)+ASSUMPTIONS!$C$18*ASSUMPTIONS!$C$21-ASSUMPTIONS!$C$18*ASSUMPTIONS!$C$22)*(1+H1812)^5*(1+K1812)/(I1812-K1812)/(1+I1812)^5)-DCF!$C$12)/ASSUMPTIONS!$C$7</f>
        <v/>
      </c>
    </row>
    <row r="1813">
      <c r="H1813" s="83">
        <f>_xlfn.NORM.INV(RAND(),AVERAGE(ASSUMPTIONS!$C$38,ASSUMPTIONS!$C$39,ASSUMPTIONS!$C$40,ASSUMPTIONS!$C$41,ASSUMPTIONS!$C$42),ASSUMPTIONS!$C$68)</f>
        <v/>
      </c>
      <c r="I1813" s="83">
        <f>MAX(_xlfn.NORM.INV(RAND(),DCF!$C$11,ASSUMPTIONS!$C$69),K1813+0.005)</f>
        <v/>
      </c>
      <c r="J1813" s="83">
        <f>_xlfn.NORM.INV(RAND(),ASSUMPTIONS!$C$19,ASSUMPTIONS!$C$70)</f>
        <v/>
      </c>
      <c r="K1813" s="83">
        <f>_xlfn.NORM.INV(RAND(),ASSUMPTIONS!$C$43,ASSUMPTIONS!$C$71)</f>
        <v/>
      </c>
      <c r="L1813" s="84">
        <f>(((ASSUMPTIONS!$C$18*J1813*(1-ASSUMPTIONS!$C$20)+ASSUMPTIONS!$C$18*ASSUMPTIONS!$C$21-ASSUMPTIONS!$C$18*ASSUMPTIONS!$C$22)*(1+H1813)*(1-((1+H1813)/(1+I1813))^5)/(I1813-H1813))+((ASSUMPTIONS!$C$18*J1813*(1-ASSUMPTIONS!$C$20)+ASSUMPTIONS!$C$18*ASSUMPTIONS!$C$21-ASSUMPTIONS!$C$18*ASSUMPTIONS!$C$22)*(1+H1813)^5*(1+K1813)/(I1813-K1813)/(1+I1813)^5)-DCF!$C$12)/ASSUMPTIONS!$C$7</f>
        <v/>
      </c>
    </row>
    <row r="1814">
      <c r="H1814" s="83">
        <f>_xlfn.NORM.INV(RAND(),AVERAGE(ASSUMPTIONS!$C$38,ASSUMPTIONS!$C$39,ASSUMPTIONS!$C$40,ASSUMPTIONS!$C$41,ASSUMPTIONS!$C$42),ASSUMPTIONS!$C$68)</f>
        <v/>
      </c>
      <c r="I1814" s="83">
        <f>MAX(_xlfn.NORM.INV(RAND(),DCF!$C$11,ASSUMPTIONS!$C$69),K1814+0.005)</f>
        <v/>
      </c>
      <c r="J1814" s="83">
        <f>_xlfn.NORM.INV(RAND(),ASSUMPTIONS!$C$19,ASSUMPTIONS!$C$70)</f>
        <v/>
      </c>
      <c r="K1814" s="83">
        <f>_xlfn.NORM.INV(RAND(),ASSUMPTIONS!$C$43,ASSUMPTIONS!$C$71)</f>
        <v/>
      </c>
      <c r="L1814" s="84">
        <f>(((ASSUMPTIONS!$C$18*J1814*(1-ASSUMPTIONS!$C$20)+ASSUMPTIONS!$C$18*ASSUMPTIONS!$C$21-ASSUMPTIONS!$C$18*ASSUMPTIONS!$C$22)*(1+H1814)*(1-((1+H1814)/(1+I1814))^5)/(I1814-H1814))+((ASSUMPTIONS!$C$18*J1814*(1-ASSUMPTIONS!$C$20)+ASSUMPTIONS!$C$18*ASSUMPTIONS!$C$21-ASSUMPTIONS!$C$18*ASSUMPTIONS!$C$22)*(1+H1814)^5*(1+K1814)/(I1814-K1814)/(1+I1814)^5)-DCF!$C$12)/ASSUMPTIONS!$C$7</f>
        <v/>
      </c>
    </row>
    <row r="1815">
      <c r="H1815" s="83">
        <f>_xlfn.NORM.INV(RAND(),AVERAGE(ASSUMPTIONS!$C$38,ASSUMPTIONS!$C$39,ASSUMPTIONS!$C$40,ASSUMPTIONS!$C$41,ASSUMPTIONS!$C$42),ASSUMPTIONS!$C$68)</f>
        <v/>
      </c>
      <c r="I1815" s="83">
        <f>MAX(_xlfn.NORM.INV(RAND(),DCF!$C$11,ASSUMPTIONS!$C$69),K1815+0.005)</f>
        <v/>
      </c>
      <c r="J1815" s="83">
        <f>_xlfn.NORM.INV(RAND(),ASSUMPTIONS!$C$19,ASSUMPTIONS!$C$70)</f>
        <v/>
      </c>
      <c r="K1815" s="83">
        <f>_xlfn.NORM.INV(RAND(),ASSUMPTIONS!$C$43,ASSUMPTIONS!$C$71)</f>
        <v/>
      </c>
      <c r="L1815" s="84">
        <f>(((ASSUMPTIONS!$C$18*J1815*(1-ASSUMPTIONS!$C$20)+ASSUMPTIONS!$C$18*ASSUMPTIONS!$C$21-ASSUMPTIONS!$C$18*ASSUMPTIONS!$C$22)*(1+H1815)*(1-((1+H1815)/(1+I1815))^5)/(I1815-H1815))+((ASSUMPTIONS!$C$18*J1815*(1-ASSUMPTIONS!$C$20)+ASSUMPTIONS!$C$18*ASSUMPTIONS!$C$21-ASSUMPTIONS!$C$18*ASSUMPTIONS!$C$22)*(1+H1815)^5*(1+K1815)/(I1815-K1815)/(1+I1815)^5)-DCF!$C$12)/ASSUMPTIONS!$C$7</f>
        <v/>
      </c>
    </row>
    <row r="1816">
      <c r="H1816" s="83">
        <f>_xlfn.NORM.INV(RAND(),AVERAGE(ASSUMPTIONS!$C$38,ASSUMPTIONS!$C$39,ASSUMPTIONS!$C$40,ASSUMPTIONS!$C$41,ASSUMPTIONS!$C$42),ASSUMPTIONS!$C$68)</f>
        <v/>
      </c>
      <c r="I1816" s="83">
        <f>MAX(_xlfn.NORM.INV(RAND(),DCF!$C$11,ASSUMPTIONS!$C$69),K1816+0.005)</f>
        <v/>
      </c>
      <c r="J1816" s="83">
        <f>_xlfn.NORM.INV(RAND(),ASSUMPTIONS!$C$19,ASSUMPTIONS!$C$70)</f>
        <v/>
      </c>
      <c r="K1816" s="83">
        <f>_xlfn.NORM.INV(RAND(),ASSUMPTIONS!$C$43,ASSUMPTIONS!$C$71)</f>
        <v/>
      </c>
      <c r="L1816" s="84">
        <f>(((ASSUMPTIONS!$C$18*J1816*(1-ASSUMPTIONS!$C$20)+ASSUMPTIONS!$C$18*ASSUMPTIONS!$C$21-ASSUMPTIONS!$C$18*ASSUMPTIONS!$C$22)*(1+H1816)*(1-((1+H1816)/(1+I1816))^5)/(I1816-H1816))+((ASSUMPTIONS!$C$18*J1816*(1-ASSUMPTIONS!$C$20)+ASSUMPTIONS!$C$18*ASSUMPTIONS!$C$21-ASSUMPTIONS!$C$18*ASSUMPTIONS!$C$22)*(1+H1816)^5*(1+K1816)/(I1816-K1816)/(1+I1816)^5)-DCF!$C$12)/ASSUMPTIONS!$C$7</f>
        <v/>
      </c>
    </row>
    <row r="1817">
      <c r="H1817" s="83">
        <f>_xlfn.NORM.INV(RAND(),AVERAGE(ASSUMPTIONS!$C$38,ASSUMPTIONS!$C$39,ASSUMPTIONS!$C$40,ASSUMPTIONS!$C$41,ASSUMPTIONS!$C$42),ASSUMPTIONS!$C$68)</f>
        <v/>
      </c>
      <c r="I1817" s="83">
        <f>MAX(_xlfn.NORM.INV(RAND(),DCF!$C$11,ASSUMPTIONS!$C$69),K1817+0.005)</f>
        <v/>
      </c>
      <c r="J1817" s="83">
        <f>_xlfn.NORM.INV(RAND(),ASSUMPTIONS!$C$19,ASSUMPTIONS!$C$70)</f>
        <v/>
      </c>
      <c r="K1817" s="83">
        <f>_xlfn.NORM.INV(RAND(),ASSUMPTIONS!$C$43,ASSUMPTIONS!$C$71)</f>
        <v/>
      </c>
      <c r="L1817" s="84">
        <f>(((ASSUMPTIONS!$C$18*J1817*(1-ASSUMPTIONS!$C$20)+ASSUMPTIONS!$C$18*ASSUMPTIONS!$C$21-ASSUMPTIONS!$C$18*ASSUMPTIONS!$C$22)*(1+H1817)*(1-((1+H1817)/(1+I1817))^5)/(I1817-H1817))+((ASSUMPTIONS!$C$18*J1817*(1-ASSUMPTIONS!$C$20)+ASSUMPTIONS!$C$18*ASSUMPTIONS!$C$21-ASSUMPTIONS!$C$18*ASSUMPTIONS!$C$22)*(1+H1817)^5*(1+K1817)/(I1817-K1817)/(1+I1817)^5)-DCF!$C$12)/ASSUMPTIONS!$C$7</f>
        <v/>
      </c>
    </row>
    <row r="1818">
      <c r="H1818" s="83">
        <f>_xlfn.NORM.INV(RAND(),AVERAGE(ASSUMPTIONS!$C$38,ASSUMPTIONS!$C$39,ASSUMPTIONS!$C$40,ASSUMPTIONS!$C$41,ASSUMPTIONS!$C$42),ASSUMPTIONS!$C$68)</f>
        <v/>
      </c>
      <c r="I1818" s="83">
        <f>MAX(_xlfn.NORM.INV(RAND(),DCF!$C$11,ASSUMPTIONS!$C$69),K1818+0.005)</f>
        <v/>
      </c>
      <c r="J1818" s="83">
        <f>_xlfn.NORM.INV(RAND(),ASSUMPTIONS!$C$19,ASSUMPTIONS!$C$70)</f>
        <v/>
      </c>
      <c r="K1818" s="83">
        <f>_xlfn.NORM.INV(RAND(),ASSUMPTIONS!$C$43,ASSUMPTIONS!$C$71)</f>
        <v/>
      </c>
      <c r="L1818" s="84">
        <f>(((ASSUMPTIONS!$C$18*J1818*(1-ASSUMPTIONS!$C$20)+ASSUMPTIONS!$C$18*ASSUMPTIONS!$C$21-ASSUMPTIONS!$C$18*ASSUMPTIONS!$C$22)*(1+H1818)*(1-((1+H1818)/(1+I1818))^5)/(I1818-H1818))+((ASSUMPTIONS!$C$18*J1818*(1-ASSUMPTIONS!$C$20)+ASSUMPTIONS!$C$18*ASSUMPTIONS!$C$21-ASSUMPTIONS!$C$18*ASSUMPTIONS!$C$22)*(1+H1818)^5*(1+K1818)/(I1818-K1818)/(1+I1818)^5)-DCF!$C$12)/ASSUMPTIONS!$C$7</f>
        <v/>
      </c>
    </row>
    <row r="1819">
      <c r="H1819" s="83">
        <f>_xlfn.NORM.INV(RAND(),AVERAGE(ASSUMPTIONS!$C$38,ASSUMPTIONS!$C$39,ASSUMPTIONS!$C$40,ASSUMPTIONS!$C$41,ASSUMPTIONS!$C$42),ASSUMPTIONS!$C$68)</f>
        <v/>
      </c>
      <c r="I1819" s="83">
        <f>MAX(_xlfn.NORM.INV(RAND(),DCF!$C$11,ASSUMPTIONS!$C$69),K1819+0.005)</f>
        <v/>
      </c>
      <c r="J1819" s="83">
        <f>_xlfn.NORM.INV(RAND(),ASSUMPTIONS!$C$19,ASSUMPTIONS!$C$70)</f>
        <v/>
      </c>
      <c r="K1819" s="83">
        <f>_xlfn.NORM.INV(RAND(),ASSUMPTIONS!$C$43,ASSUMPTIONS!$C$71)</f>
        <v/>
      </c>
      <c r="L1819" s="84">
        <f>(((ASSUMPTIONS!$C$18*J1819*(1-ASSUMPTIONS!$C$20)+ASSUMPTIONS!$C$18*ASSUMPTIONS!$C$21-ASSUMPTIONS!$C$18*ASSUMPTIONS!$C$22)*(1+H1819)*(1-((1+H1819)/(1+I1819))^5)/(I1819-H1819))+((ASSUMPTIONS!$C$18*J1819*(1-ASSUMPTIONS!$C$20)+ASSUMPTIONS!$C$18*ASSUMPTIONS!$C$21-ASSUMPTIONS!$C$18*ASSUMPTIONS!$C$22)*(1+H1819)^5*(1+K1819)/(I1819-K1819)/(1+I1819)^5)-DCF!$C$12)/ASSUMPTIONS!$C$7</f>
        <v/>
      </c>
    </row>
    <row r="1820">
      <c r="H1820" s="83">
        <f>_xlfn.NORM.INV(RAND(),AVERAGE(ASSUMPTIONS!$C$38,ASSUMPTIONS!$C$39,ASSUMPTIONS!$C$40,ASSUMPTIONS!$C$41,ASSUMPTIONS!$C$42),ASSUMPTIONS!$C$68)</f>
        <v/>
      </c>
      <c r="I1820" s="83">
        <f>MAX(_xlfn.NORM.INV(RAND(),DCF!$C$11,ASSUMPTIONS!$C$69),K1820+0.005)</f>
        <v/>
      </c>
      <c r="J1820" s="83">
        <f>_xlfn.NORM.INV(RAND(),ASSUMPTIONS!$C$19,ASSUMPTIONS!$C$70)</f>
        <v/>
      </c>
      <c r="K1820" s="83">
        <f>_xlfn.NORM.INV(RAND(),ASSUMPTIONS!$C$43,ASSUMPTIONS!$C$71)</f>
        <v/>
      </c>
      <c r="L1820" s="84">
        <f>(((ASSUMPTIONS!$C$18*J1820*(1-ASSUMPTIONS!$C$20)+ASSUMPTIONS!$C$18*ASSUMPTIONS!$C$21-ASSUMPTIONS!$C$18*ASSUMPTIONS!$C$22)*(1+H1820)*(1-((1+H1820)/(1+I1820))^5)/(I1820-H1820))+((ASSUMPTIONS!$C$18*J1820*(1-ASSUMPTIONS!$C$20)+ASSUMPTIONS!$C$18*ASSUMPTIONS!$C$21-ASSUMPTIONS!$C$18*ASSUMPTIONS!$C$22)*(1+H1820)^5*(1+K1820)/(I1820-K1820)/(1+I1820)^5)-DCF!$C$12)/ASSUMPTIONS!$C$7</f>
        <v/>
      </c>
    </row>
    <row r="1821">
      <c r="H1821" s="83">
        <f>_xlfn.NORM.INV(RAND(),AVERAGE(ASSUMPTIONS!$C$38,ASSUMPTIONS!$C$39,ASSUMPTIONS!$C$40,ASSUMPTIONS!$C$41,ASSUMPTIONS!$C$42),ASSUMPTIONS!$C$68)</f>
        <v/>
      </c>
      <c r="I1821" s="83">
        <f>MAX(_xlfn.NORM.INV(RAND(),DCF!$C$11,ASSUMPTIONS!$C$69),K1821+0.005)</f>
        <v/>
      </c>
      <c r="J1821" s="83">
        <f>_xlfn.NORM.INV(RAND(),ASSUMPTIONS!$C$19,ASSUMPTIONS!$C$70)</f>
        <v/>
      </c>
      <c r="K1821" s="83">
        <f>_xlfn.NORM.INV(RAND(),ASSUMPTIONS!$C$43,ASSUMPTIONS!$C$71)</f>
        <v/>
      </c>
      <c r="L1821" s="84">
        <f>(((ASSUMPTIONS!$C$18*J1821*(1-ASSUMPTIONS!$C$20)+ASSUMPTIONS!$C$18*ASSUMPTIONS!$C$21-ASSUMPTIONS!$C$18*ASSUMPTIONS!$C$22)*(1+H1821)*(1-((1+H1821)/(1+I1821))^5)/(I1821-H1821))+((ASSUMPTIONS!$C$18*J1821*(1-ASSUMPTIONS!$C$20)+ASSUMPTIONS!$C$18*ASSUMPTIONS!$C$21-ASSUMPTIONS!$C$18*ASSUMPTIONS!$C$22)*(1+H1821)^5*(1+K1821)/(I1821-K1821)/(1+I1821)^5)-DCF!$C$12)/ASSUMPTIONS!$C$7</f>
        <v/>
      </c>
    </row>
    <row r="1822">
      <c r="H1822" s="83">
        <f>_xlfn.NORM.INV(RAND(),AVERAGE(ASSUMPTIONS!$C$38,ASSUMPTIONS!$C$39,ASSUMPTIONS!$C$40,ASSUMPTIONS!$C$41,ASSUMPTIONS!$C$42),ASSUMPTIONS!$C$68)</f>
        <v/>
      </c>
      <c r="I1822" s="83">
        <f>MAX(_xlfn.NORM.INV(RAND(),DCF!$C$11,ASSUMPTIONS!$C$69),K1822+0.005)</f>
        <v/>
      </c>
      <c r="J1822" s="83">
        <f>_xlfn.NORM.INV(RAND(),ASSUMPTIONS!$C$19,ASSUMPTIONS!$C$70)</f>
        <v/>
      </c>
      <c r="K1822" s="83">
        <f>_xlfn.NORM.INV(RAND(),ASSUMPTIONS!$C$43,ASSUMPTIONS!$C$71)</f>
        <v/>
      </c>
      <c r="L1822" s="84">
        <f>(((ASSUMPTIONS!$C$18*J1822*(1-ASSUMPTIONS!$C$20)+ASSUMPTIONS!$C$18*ASSUMPTIONS!$C$21-ASSUMPTIONS!$C$18*ASSUMPTIONS!$C$22)*(1+H1822)*(1-((1+H1822)/(1+I1822))^5)/(I1822-H1822))+((ASSUMPTIONS!$C$18*J1822*(1-ASSUMPTIONS!$C$20)+ASSUMPTIONS!$C$18*ASSUMPTIONS!$C$21-ASSUMPTIONS!$C$18*ASSUMPTIONS!$C$22)*(1+H1822)^5*(1+K1822)/(I1822-K1822)/(1+I1822)^5)-DCF!$C$12)/ASSUMPTIONS!$C$7</f>
        <v/>
      </c>
    </row>
    <row r="1823">
      <c r="H1823" s="83">
        <f>_xlfn.NORM.INV(RAND(),AVERAGE(ASSUMPTIONS!$C$38,ASSUMPTIONS!$C$39,ASSUMPTIONS!$C$40,ASSUMPTIONS!$C$41,ASSUMPTIONS!$C$42),ASSUMPTIONS!$C$68)</f>
        <v/>
      </c>
      <c r="I1823" s="83">
        <f>MAX(_xlfn.NORM.INV(RAND(),DCF!$C$11,ASSUMPTIONS!$C$69),K1823+0.005)</f>
        <v/>
      </c>
      <c r="J1823" s="83">
        <f>_xlfn.NORM.INV(RAND(),ASSUMPTIONS!$C$19,ASSUMPTIONS!$C$70)</f>
        <v/>
      </c>
      <c r="K1823" s="83">
        <f>_xlfn.NORM.INV(RAND(),ASSUMPTIONS!$C$43,ASSUMPTIONS!$C$71)</f>
        <v/>
      </c>
      <c r="L1823" s="84">
        <f>(((ASSUMPTIONS!$C$18*J1823*(1-ASSUMPTIONS!$C$20)+ASSUMPTIONS!$C$18*ASSUMPTIONS!$C$21-ASSUMPTIONS!$C$18*ASSUMPTIONS!$C$22)*(1+H1823)*(1-((1+H1823)/(1+I1823))^5)/(I1823-H1823))+((ASSUMPTIONS!$C$18*J1823*(1-ASSUMPTIONS!$C$20)+ASSUMPTIONS!$C$18*ASSUMPTIONS!$C$21-ASSUMPTIONS!$C$18*ASSUMPTIONS!$C$22)*(1+H1823)^5*(1+K1823)/(I1823-K1823)/(1+I1823)^5)-DCF!$C$12)/ASSUMPTIONS!$C$7</f>
        <v/>
      </c>
    </row>
    <row r="1824">
      <c r="H1824" s="83">
        <f>_xlfn.NORM.INV(RAND(),AVERAGE(ASSUMPTIONS!$C$38,ASSUMPTIONS!$C$39,ASSUMPTIONS!$C$40,ASSUMPTIONS!$C$41,ASSUMPTIONS!$C$42),ASSUMPTIONS!$C$68)</f>
        <v/>
      </c>
      <c r="I1824" s="83">
        <f>MAX(_xlfn.NORM.INV(RAND(),DCF!$C$11,ASSUMPTIONS!$C$69),K1824+0.005)</f>
        <v/>
      </c>
      <c r="J1824" s="83">
        <f>_xlfn.NORM.INV(RAND(),ASSUMPTIONS!$C$19,ASSUMPTIONS!$C$70)</f>
        <v/>
      </c>
      <c r="K1824" s="83">
        <f>_xlfn.NORM.INV(RAND(),ASSUMPTIONS!$C$43,ASSUMPTIONS!$C$71)</f>
        <v/>
      </c>
      <c r="L1824" s="84">
        <f>(((ASSUMPTIONS!$C$18*J1824*(1-ASSUMPTIONS!$C$20)+ASSUMPTIONS!$C$18*ASSUMPTIONS!$C$21-ASSUMPTIONS!$C$18*ASSUMPTIONS!$C$22)*(1+H1824)*(1-((1+H1824)/(1+I1824))^5)/(I1824-H1824))+((ASSUMPTIONS!$C$18*J1824*(1-ASSUMPTIONS!$C$20)+ASSUMPTIONS!$C$18*ASSUMPTIONS!$C$21-ASSUMPTIONS!$C$18*ASSUMPTIONS!$C$22)*(1+H1824)^5*(1+K1824)/(I1824-K1824)/(1+I1824)^5)-DCF!$C$12)/ASSUMPTIONS!$C$7</f>
        <v/>
      </c>
    </row>
    <row r="1825">
      <c r="H1825" s="83">
        <f>_xlfn.NORM.INV(RAND(),AVERAGE(ASSUMPTIONS!$C$38,ASSUMPTIONS!$C$39,ASSUMPTIONS!$C$40,ASSUMPTIONS!$C$41,ASSUMPTIONS!$C$42),ASSUMPTIONS!$C$68)</f>
        <v/>
      </c>
      <c r="I1825" s="83">
        <f>MAX(_xlfn.NORM.INV(RAND(),DCF!$C$11,ASSUMPTIONS!$C$69),K1825+0.005)</f>
        <v/>
      </c>
      <c r="J1825" s="83">
        <f>_xlfn.NORM.INV(RAND(),ASSUMPTIONS!$C$19,ASSUMPTIONS!$C$70)</f>
        <v/>
      </c>
      <c r="K1825" s="83">
        <f>_xlfn.NORM.INV(RAND(),ASSUMPTIONS!$C$43,ASSUMPTIONS!$C$71)</f>
        <v/>
      </c>
      <c r="L1825" s="84">
        <f>(((ASSUMPTIONS!$C$18*J1825*(1-ASSUMPTIONS!$C$20)+ASSUMPTIONS!$C$18*ASSUMPTIONS!$C$21-ASSUMPTIONS!$C$18*ASSUMPTIONS!$C$22)*(1+H1825)*(1-((1+H1825)/(1+I1825))^5)/(I1825-H1825))+((ASSUMPTIONS!$C$18*J1825*(1-ASSUMPTIONS!$C$20)+ASSUMPTIONS!$C$18*ASSUMPTIONS!$C$21-ASSUMPTIONS!$C$18*ASSUMPTIONS!$C$22)*(1+H1825)^5*(1+K1825)/(I1825-K1825)/(1+I1825)^5)-DCF!$C$12)/ASSUMPTIONS!$C$7</f>
        <v/>
      </c>
    </row>
    <row r="1826">
      <c r="H1826" s="83">
        <f>_xlfn.NORM.INV(RAND(),AVERAGE(ASSUMPTIONS!$C$38,ASSUMPTIONS!$C$39,ASSUMPTIONS!$C$40,ASSUMPTIONS!$C$41,ASSUMPTIONS!$C$42),ASSUMPTIONS!$C$68)</f>
        <v/>
      </c>
      <c r="I1826" s="83">
        <f>MAX(_xlfn.NORM.INV(RAND(),DCF!$C$11,ASSUMPTIONS!$C$69),K1826+0.005)</f>
        <v/>
      </c>
      <c r="J1826" s="83">
        <f>_xlfn.NORM.INV(RAND(),ASSUMPTIONS!$C$19,ASSUMPTIONS!$C$70)</f>
        <v/>
      </c>
      <c r="K1826" s="83">
        <f>_xlfn.NORM.INV(RAND(),ASSUMPTIONS!$C$43,ASSUMPTIONS!$C$71)</f>
        <v/>
      </c>
      <c r="L1826" s="84">
        <f>(((ASSUMPTIONS!$C$18*J1826*(1-ASSUMPTIONS!$C$20)+ASSUMPTIONS!$C$18*ASSUMPTIONS!$C$21-ASSUMPTIONS!$C$18*ASSUMPTIONS!$C$22)*(1+H1826)*(1-((1+H1826)/(1+I1826))^5)/(I1826-H1826))+((ASSUMPTIONS!$C$18*J1826*(1-ASSUMPTIONS!$C$20)+ASSUMPTIONS!$C$18*ASSUMPTIONS!$C$21-ASSUMPTIONS!$C$18*ASSUMPTIONS!$C$22)*(1+H1826)^5*(1+K1826)/(I1826-K1826)/(1+I1826)^5)-DCF!$C$12)/ASSUMPTIONS!$C$7</f>
        <v/>
      </c>
    </row>
    <row r="1827">
      <c r="H1827" s="83">
        <f>_xlfn.NORM.INV(RAND(),AVERAGE(ASSUMPTIONS!$C$38,ASSUMPTIONS!$C$39,ASSUMPTIONS!$C$40,ASSUMPTIONS!$C$41,ASSUMPTIONS!$C$42),ASSUMPTIONS!$C$68)</f>
        <v/>
      </c>
      <c r="I1827" s="83">
        <f>MAX(_xlfn.NORM.INV(RAND(),DCF!$C$11,ASSUMPTIONS!$C$69),K1827+0.005)</f>
        <v/>
      </c>
      <c r="J1827" s="83">
        <f>_xlfn.NORM.INV(RAND(),ASSUMPTIONS!$C$19,ASSUMPTIONS!$C$70)</f>
        <v/>
      </c>
      <c r="K1827" s="83">
        <f>_xlfn.NORM.INV(RAND(),ASSUMPTIONS!$C$43,ASSUMPTIONS!$C$71)</f>
        <v/>
      </c>
      <c r="L1827" s="84">
        <f>(((ASSUMPTIONS!$C$18*J1827*(1-ASSUMPTIONS!$C$20)+ASSUMPTIONS!$C$18*ASSUMPTIONS!$C$21-ASSUMPTIONS!$C$18*ASSUMPTIONS!$C$22)*(1+H1827)*(1-((1+H1827)/(1+I1827))^5)/(I1827-H1827))+((ASSUMPTIONS!$C$18*J1827*(1-ASSUMPTIONS!$C$20)+ASSUMPTIONS!$C$18*ASSUMPTIONS!$C$21-ASSUMPTIONS!$C$18*ASSUMPTIONS!$C$22)*(1+H1827)^5*(1+K1827)/(I1827-K1827)/(1+I1827)^5)-DCF!$C$12)/ASSUMPTIONS!$C$7</f>
        <v/>
      </c>
    </row>
    <row r="1828">
      <c r="H1828" s="83">
        <f>_xlfn.NORM.INV(RAND(),AVERAGE(ASSUMPTIONS!$C$38,ASSUMPTIONS!$C$39,ASSUMPTIONS!$C$40,ASSUMPTIONS!$C$41,ASSUMPTIONS!$C$42),ASSUMPTIONS!$C$68)</f>
        <v/>
      </c>
      <c r="I1828" s="83">
        <f>MAX(_xlfn.NORM.INV(RAND(),DCF!$C$11,ASSUMPTIONS!$C$69),K1828+0.005)</f>
        <v/>
      </c>
      <c r="J1828" s="83">
        <f>_xlfn.NORM.INV(RAND(),ASSUMPTIONS!$C$19,ASSUMPTIONS!$C$70)</f>
        <v/>
      </c>
      <c r="K1828" s="83">
        <f>_xlfn.NORM.INV(RAND(),ASSUMPTIONS!$C$43,ASSUMPTIONS!$C$71)</f>
        <v/>
      </c>
      <c r="L1828" s="84">
        <f>(((ASSUMPTIONS!$C$18*J1828*(1-ASSUMPTIONS!$C$20)+ASSUMPTIONS!$C$18*ASSUMPTIONS!$C$21-ASSUMPTIONS!$C$18*ASSUMPTIONS!$C$22)*(1+H1828)*(1-((1+H1828)/(1+I1828))^5)/(I1828-H1828))+((ASSUMPTIONS!$C$18*J1828*(1-ASSUMPTIONS!$C$20)+ASSUMPTIONS!$C$18*ASSUMPTIONS!$C$21-ASSUMPTIONS!$C$18*ASSUMPTIONS!$C$22)*(1+H1828)^5*(1+K1828)/(I1828-K1828)/(1+I1828)^5)-DCF!$C$12)/ASSUMPTIONS!$C$7</f>
        <v/>
      </c>
    </row>
    <row r="1829">
      <c r="H1829" s="83">
        <f>_xlfn.NORM.INV(RAND(),AVERAGE(ASSUMPTIONS!$C$38,ASSUMPTIONS!$C$39,ASSUMPTIONS!$C$40,ASSUMPTIONS!$C$41,ASSUMPTIONS!$C$42),ASSUMPTIONS!$C$68)</f>
        <v/>
      </c>
      <c r="I1829" s="83">
        <f>MAX(_xlfn.NORM.INV(RAND(),DCF!$C$11,ASSUMPTIONS!$C$69),K1829+0.005)</f>
        <v/>
      </c>
      <c r="J1829" s="83">
        <f>_xlfn.NORM.INV(RAND(),ASSUMPTIONS!$C$19,ASSUMPTIONS!$C$70)</f>
        <v/>
      </c>
      <c r="K1829" s="83">
        <f>_xlfn.NORM.INV(RAND(),ASSUMPTIONS!$C$43,ASSUMPTIONS!$C$71)</f>
        <v/>
      </c>
      <c r="L1829" s="84">
        <f>(((ASSUMPTIONS!$C$18*J1829*(1-ASSUMPTIONS!$C$20)+ASSUMPTIONS!$C$18*ASSUMPTIONS!$C$21-ASSUMPTIONS!$C$18*ASSUMPTIONS!$C$22)*(1+H1829)*(1-((1+H1829)/(1+I1829))^5)/(I1829-H1829))+((ASSUMPTIONS!$C$18*J1829*(1-ASSUMPTIONS!$C$20)+ASSUMPTIONS!$C$18*ASSUMPTIONS!$C$21-ASSUMPTIONS!$C$18*ASSUMPTIONS!$C$22)*(1+H1829)^5*(1+K1829)/(I1829-K1829)/(1+I1829)^5)-DCF!$C$12)/ASSUMPTIONS!$C$7</f>
        <v/>
      </c>
    </row>
    <row r="1830">
      <c r="H1830" s="83">
        <f>_xlfn.NORM.INV(RAND(),AVERAGE(ASSUMPTIONS!$C$38,ASSUMPTIONS!$C$39,ASSUMPTIONS!$C$40,ASSUMPTIONS!$C$41,ASSUMPTIONS!$C$42),ASSUMPTIONS!$C$68)</f>
        <v/>
      </c>
      <c r="I1830" s="83">
        <f>MAX(_xlfn.NORM.INV(RAND(),DCF!$C$11,ASSUMPTIONS!$C$69),K1830+0.005)</f>
        <v/>
      </c>
      <c r="J1830" s="83">
        <f>_xlfn.NORM.INV(RAND(),ASSUMPTIONS!$C$19,ASSUMPTIONS!$C$70)</f>
        <v/>
      </c>
      <c r="K1830" s="83">
        <f>_xlfn.NORM.INV(RAND(),ASSUMPTIONS!$C$43,ASSUMPTIONS!$C$71)</f>
        <v/>
      </c>
      <c r="L1830" s="84">
        <f>(((ASSUMPTIONS!$C$18*J1830*(1-ASSUMPTIONS!$C$20)+ASSUMPTIONS!$C$18*ASSUMPTIONS!$C$21-ASSUMPTIONS!$C$18*ASSUMPTIONS!$C$22)*(1+H1830)*(1-((1+H1830)/(1+I1830))^5)/(I1830-H1830))+((ASSUMPTIONS!$C$18*J1830*(1-ASSUMPTIONS!$C$20)+ASSUMPTIONS!$C$18*ASSUMPTIONS!$C$21-ASSUMPTIONS!$C$18*ASSUMPTIONS!$C$22)*(1+H1830)^5*(1+K1830)/(I1830-K1830)/(1+I1830)^5)-DCF!$C$12)/ASSUMPTIONS!$C$7</f>
        <v/>
      </c>
    </row>
    <row r="1831">
      <c r="H1831" s="83">
        <f>_xlfn.NORM.INV(RAND(),AVERAGE(ASSUMPTIONS!$C$38,ASSUMPTIONS!$C$39,ASSUMPTIONS!$C$40,ASSUMPTIONS!$C$41,ASSUMPTIONS!$C$42),ASSUMPTIONS!$C$68)</f>
        <v/>
      </c>
      <c r="I1831" s="83">
        <f>MAX(_xlfn.NORM.INV(RAND(),DCF!$C$11,ASSUMPTIONS!$C$69),K1831+0.005)</f>
        <v/>
      </c>
      <c r="J1831" s="83">
        <f>_xlfn.NORM.INV(RAND(),ASSUMPTIONS!$C$19,ASSUMPTIONS!$C$70)</f>
        <v/>
      </c>
      <c r="K1831" s="83">
        <f>_xlfn.NORM.INV(RAND(),ASSUMPTIONS!$C$43,ASSUMPTIONS!$C$71)</f>
        <v/>
      </c>
      <c r="L1831" s="84">
        <f>(((ASSUMPTIONS!$C$18*J1831*(1-ASSUMPTIONS!$C$20)+ASSUMPTIONS!$C$18*ASSUMPTIONS!$C$21-ASSUMPTIONS!$C$18*ASSUMPTIONS!$C$22)*(1+H1831)*(1-((1+H1831)/(1+I1831))^5)/(I1831-H1831))+((ASSUMPTIONS!$C$18*J1831*(1-ASSUMPTIONS!$C$20)+ASSUMPTIONS!$C$18*ASSUMPTIONS!$C$21-ASSUMPTIONS!$C$18*ASSUMPTIONS!$C$22)*(1+H1831)^5*(1+K1831)/(I1831-K1831)/(1+I1831)^5)-DCF!$C$12)/ASSUMPTIONS!$C$7</f>
        <v/>
      </c>
    </row>
    <row r="1832">
      <c r="H1832" s="83">
        <f>_xlfn.NORM.INV(RAND(),AVERAGE(ASSUMPTIONS!$C$38,ASSUMPTIONS!$C$39,ASSUMPTIONS!$C$40,ASSUMPTIONS!$C$41,ASSUMPTIONS!$C$42),ASSUMPTIONS!$C$68)</f>
        <v/>
      </c>
      <c r="I1832" s="83">
        <f>MAX(_xlfn.NORM.INV(RAND(),DCF!$C$11,ASSUMPTIONS!$C$69),K1832+0.005)</f>
        <v/>
      </c>
      <c r="J1832" s="83">
        <f>_xlfn.NORM.INV(RAND(),ASSUMPTIONS!$C$19,ASSUMPTIONS!$C$70)</f>
        <v/>
      </c>
      <c r="K1832" s="83">
        <f>_xlfn.NORM.INV(RAND(),ASSUMPTIONS!$C$43,ASSUMPTIONS!$C$71)</f>
        <v/>
      </c>
      <c r="L1832" s="84">
        <f>(((ASSUMPTIONS!$C$18*J1832*(1-ASSUMPTIONS!$C$20)+ASSUMPTIONS!$C$18*ASSUMPTIONS!$C$21-ASSUMPTIONS!$C$18*ASSUMPTIONS!$C$22)*(1+H1832)*(1-((1+H1832)/(1+I1832))^5)/(I1832-H1832))+((ASSUMPTIONS!$C$18*J1832*(1-ASSUMPTIONS!$C$20)+ASSUMPTIONS!$C$18*ASSUMPTIONS!$C$21-ASSUMPTIONS!$C$18*ASSUMPTIONS!$C$22)*(1+H1832)^5*(1+K1832)/(I1832-K1832)/(1+I1832)^5)-DCF!$C$12)/ASSUMPTIONS!$C$7</f>
        <v/>
      </c>
    </row>
    <row r="1833">
      <c r="H1833" s="83">
        <f>_xlfn.NORM.INV(RAND(),AVERAGE(ASSUMPTIONS!$C$38,ASSUMPTIONS!$C$39,ASSUMPTIONS!$C$40,ASSUMPTIONS!$C$41,ASSUMPTIONS!$C$42),ASSUMPTIONS!$C$68)</f>
        <v/>
      </c>
      <c r="I1833" s="83">
        <f>MAX(_xlfn.NORM.INV(RAND(),DCF!$C$11,ASSUMPTIONS!$C$69),K1833+0.005)</f>
        <v/>
      </c>
      <c r="J1833" s="83">
        <f>_xlfn.NORM.INV(RAND(),ASSUMPTIONS!$C$19,ASSUMPTIONS!$C$70)</f>
        <v/>
      </c>
      <c r="K1833" s="83">
        <f>_xlfn.NORM.INV(RAND(),ASSUMPTIONS!$C$43,ASSUMPTIONS!$C$71)</f>
        <v/>
      </c>
      <c r="L1833" s="84">
        <f>(((ASSUMPTIONS!$C$18*J1833*(1-ASSUMPTIONS!$C$20)+ASSUMPTIONS!$C$18*ASSUMPTIONS!$C$21-ASSUMPTIONS!$C$18*ASSUMPTIONS!$C$22)*(1+H1833)*(1-((1+H1833)/(1+I1833))^5)/(I1833-H1833))+((ASSUMPTIONS!$C$18*J1833*(1-ASSUMPTIONS!$C$20)+ASSUMPTIONS!$C$18*ASSUMPTIONS!$C$21-ASSUMPTIONS!$C$18*ASSUMPTIONS!$C$22)*(1+H1833)^5*(1+K1833)/(I1833-K1833)/(1+I1833)^5)-DCF!$C$12)/ASSUMPTIONS!$C$7</f>
        <v/>
      </c>
    </row>
    <row r="1834">
      <c r="H1834" s="83">
        <f>_xlfn.NORM.INV(RAND(),AVERAGE(ASSUMPTIONS!$C$38,ASSUMPTIONS!$C$39,ASSUMPTIONS!$C$40,ASSUMPTIONS!$C$41,ASSUMPTIONS!$C$42),ASSUMPTIONS!$C$68)</f>
        <v/>
      </c>
      <c r="I1834" s="83">
        <f>MAX(_xlfn.NORM.INV(RAND(),DCF!$C$11,ASSUMPTIONS!$C$69),K1834+0.005)</f>
        <v/>
      </c>
      <c r="J1834" s="83">
        <f>_xlfn.NORM.INV(RAND(),ASSUMPTIONS!$C$19,ASSUMPTIONS!$C$70)</f>
        <v/>
      </c>
      <c r="K1834" s="83">
        <f>_xlfn.NORM.INV(RAND(),ASSUMPTIONS!$C$43,ASSUMPTIONS!$C$71)</f>
        <v/>
      </c>
      <c r="L1834" s="84">
        <f>(((ASSUMPTIONS!$C$18*J1834*(1-ASSUMPTIONS!$C$20)+ASSUMPTIONS!$C$18*ASSUMPTIONS!$C$21-ASSUMPTIONS!$C$18*ASSUMPTIONS!$C$22)*(1+H1834)*(1-((1+H1834)/(1+I1834))^5)/(I1834-H1834))+((ASSUMPTIONS!$C$18*J1834*(1-ASSUMPTIONS!$C$20)+ASSUMPTIONS!$C$18*ASSUMPTIONS!$C$21-ASSUMPTIONS!$C$18*ASSUMPTIONS!$C$22)*(1+H1834)^5*(1+K1834)/(I1834-K1834)/(1+I1834)^5)-DCF!$C$12)/ASSUMPTIONS!$C$7</f>
        <v/>
      </c>
    </row>
    <row r="1835">
      <c r="H1835" s="83">
        <f>_xlfn.NORM.INV(RAND(),AVERAGE(ASSUMPTIONS!$C$38,ASSUMPTIONS!$C$39,ASSUMPTIONS!$C$40,ASSUMPTIONS!$C$41,ASSUMPTIONS!$C$42),ASSUMPTIONS!$C$68)</f>
        <v/>
      </c>
      <c r="I1835" s="83">
        <f>MAX(_xlfn.NORM.INV(RAND(),DCF!$C$11,ASSUMPTIONS!$C$69),K1835+0.005)</f>
        <v/>
      </c>
      <c r="J1835" s="83">
        <f>_xlfn.NORM.INV(RAND(),ASSUMPTIONS!$C$19,ASSUMPTIONS!$C$70)</f>
        <v/>
      </c>
      <c r="K1835" s="83">
        <f>_xlfn.NORM.INV(RAND(),ASSUMPTIONS!$C$43,ASSUMPTIONS!$C$71)</f>
        <v/>
      </c>
      <c r="L1835" s="84">
        <f>(((ASSUMPTIONS!$C$18*J1835*(1-ASSUMPTIONS!$C$20)+ASSUMPTIONS!$C$18*ASSUMPTIONS!$C$21-ASSUMPTIONS!$C$18*ASSUMPTIONS!$C$22)*(1+H1835)*(1-((1+H1835)/(1+I1835))^5)/(I1835-H1835))+((ASSUMPTIONS!$C$18*J1835*(1-ASSUMPTIONS!$C$20)+ASSUMPTIONS!$C$18*ASSUMPTIONS!$C$21-ASSUMPTIONS!$C$18*ASSUMPTIONS!$C$22)*(1+H1835)^5*(1+K1835)/(I1835-K1835)/(1+I1835)^5)-DCF!$C$12)/ASSUMPTIONS!$C$7</f>
        <v/>
      </c>
    </row>
    <row r="1836">
      <c r="H1836" s="83">
        <f>_xlfn.NORM.INV(RAND(),AVERAGE(ASSUMPTIONS!$C$38,ASSUMPTIONS!$C$39,ASSUMPTIONS!$C$40,ASSUMPTIONS!$C$41,ASSUMPTIONS!$C$42),ASSUMPTIONS!$C$68)</f>
        <v/>
      </c>
      <c r="I1836" s="83">
        <f>MAX(_xlfn.NORM.INV(RAND(),DCF!$C$11,ASSUMPTIONS!$C$69),K1836+0.005)</f>
        <v/>
      </c>
      <c r="J1836" s="83">
        <f>_xlfn.NORM.INV(RAND(),ASSUMPTIONS!$C$19,ASSUMPTIONS!$C$70)</f>
        <v/>
      </c>
      <c r="K1836" s="83">
        <f>_xlfn.NORM.INV(RAND(),ASSUMPTIONS!$C$43,ASSUMPTIONS!$C$71)</f>
        <v/>
      </c>
      <c r="L1836" s="84">
        <f>(((ASSUMPTIONS!$C$18*J1836*(1-ASSUMPTIONS!$C$20)+ASSUMPTIONS!$C$18*ASSUMPTIONS!$C$21-ASSUMPTIONS!$C$18*ASSUMPTIONS!$C$22)*(1+H1836)*(1-((1+H1836)/(1+I1836))^5)/(I1836-H1836))+((ASSUMPTIONS!$C$18*J1836*(1-ASSUMPTIONS!$C$20)+ASSUMPTIONS!$C$18*ASSUMPTIONS!$C$21-ASSUMPTIONS!$C$18*ASSUMPTIONS!$C$22)*(1+H1836)^5*(1+K1836)/(I1836-K1836)/(1+I1836)^5)-DCF!$C$12)/ASSUMPTIONS!$C$7</f>
        <v/>
      </c>
    </row>
    <row r="1837">
      <c r="H1837" s="83">
        <f>_xlfn.NORM.INV(RAND(),AVERAGE(ASSUMPTIONS!$C$38,ASSUMPTIONS!$C$39,ASSUMPTIONS!$C$40,ASSUMPTIONS!$C$41,ASSUMPTIONS!$C$42),ASSUMPTIONS!$C$68)</f>
        <v/>
      </c>
      <c r="I1837" s="83">
        <f>MAX(_xlfn.NORM.INV(RAND(),DCF!$C$11,ASSUMPTIONS!$C$69),K1837+0.005)</f>
        <v/>
      </c>
      <c r="J1837" s="83">
        <f>_xlfn.NORM.INV(RAND(),ASSUMPTIONS!$C$19,ASSUMPTIONS!$C$70)</f>
        <v/>
      </c>
      <c r="K1837" s="83">
        <f>_xlfn.NORM.INV(RAND(),ASSUMPTIONS!$C$43,ASSUMPTIONS!$C$71)</f>
        <v/>
      </c>
      <c r="L1837" s="84">
        <f>(((ASSUMPTIONS!$C$18*J1837*(1-ASSUMPTIONS!$C$20)+ASSUMPTIONS!$C$18*ASSUMPTIONS!$C$21-ASSUMPTIONS!$C$18*ASSUMPTIONS!$C$22)*(1+H1837)*(1-((1+H1837)/(1+I1837))^5)/(I1837-H1837))+((ASSUMPTIONS!$C$18*J1837*(1-ASSUMPTIONS!$C$20)+ASSUMPTIONS!$C$18*ASSUMPTIONS!$C$21-ASSUMPTIONS!$C$18*ASSUMPTIONS!$C$22)*(1+H1837)^5*(1+K1837)/(I1837-K1837)/(1+I1837)^5)-DCF!$C$12)/ASSUMPTIONS!$C$7</f>
        <v/>
      </c>
    </row>
    <row r="1838">
      <c r="H1838" s="83">
        <f>_xlfn.NORM.INV(RAND(),AVERAGE(ASSUMPTIONS!$C$38,ASSUMPTIONS!$C$39,ASSUMPTIONS!$C$40,ASSUMPTIONS!$C$41,ASSUMPTIONS!$C$42),ASSUMPTIONS!$C$68)</f>
        <v/>
      </c>
      <c r="I1838" s="83">
        <f>MAX(_xlfn.NORM.INV(RAND(),DCF!$C$11,ASSUMPTIONS!$C$69),K1838+0.005)</f>
        <v/>
      </c>
      <c r="J1838" s="83">
        <f>_xlfn.NORM.INV(RAND(),ASSUMPTIONS!$C$19,ASSUMPTIONS!$C$70)</f>
        <v/>
      </c>
      <c r="K1838" s="83">
        <f>_xlfn.NORM.INV(RAND(),ASSUMPTIONS!$C$43,ASSUMPTIONS!$C$71)</f>
        <v/>
      </c>
      <c r="L1838" s="84">
        <f>(((ASSUMPTIONS!$C$18*J1838*(1-ASSUMPTIONS!$C$20)+ASSUMPTIONS!$C$18*ASSUMPTIONS!$C$21-ASSUMPTIONS!$C$18*ASSUMPTIONS!$C$22)*(1+H1838)*(1-((1+H1838)/(1+I1838))^5)/(I1838-H1838))+((ASSUMPTIONS!$C$18*J1838*(1-ASSUMPTIONS!$C$20)+ASSUMPTIONS!$C$18*ASSUMPTIONS!$C$21-ASSUMPTIONS!$C$18*ASSUMPTIONS!$C$22)*(1+H1838)^5*(1+K1838)/(I1838-K1838)/(1+I1838)^5)-DCF!$C$12)/ASSUMPTIONS!$C$7</f>
        <v/>
      </c>
    </row>
    <row r="1839">
      <c r="H1839" s="83">
        <f>_xlfn.NORM.INV(RAND(),AVERAGE(ASSUMPTIONS!$C$38,ASSUMPTIONS!$C$39,ASSUMPTIONS!$C$40,ASSUMPTIONS!$C$41,ASSUMPTIONS!$C$42),ASSUMPTIONS!$C$68)</f>
        <v/>
      </c>
      <c r="I1839" s="83">
        <f>MAX(_xlfn.NORM.INV(RAND(),DCF!$C$11,ASSUMPTIONS!$C$69),K1839+0.005)</f>
        <v/>
      </c>
      <c r="J1839" s="83">
        <f>_xlfn.NORM.INV(RAND(),ASSUMPTIONS!$C$19,ASSUMPTIONS!$C$70)</f>
        <v/>
      </c>
      <c r="K1839" s="83">
        <f>_xlfn.NORM.INV(RAND(),ASSUMPTIONS!$C$43,ASSUMPTIONS!$C$71)</f>
        <v/>
      </c>
      <c r="L1839" s="84">
        <f>(((ASSUMPTIONS!$C$18*J1839*(1-ASSUMPTIONS!$C$20)+ASSUMPTIONS!$C$18*ASSUMPTIONS!$C$21-ASSUMPTIONS!$C$18*ASSUMPTIONS!$C$22)*(1+H1839)*(1-((1+H1839)/(1+I1839))^5)/(I1839-H1839))+((ASSUMPTIONS!$C$18*J1839*(1-ASSUMPTIONS!$C$20)+ASSUMPTIONS!$C$18*ASSUMPTIONS!$C$21-ASSUMPTIONS!$C$18*ASSUMPTIONS!$C$22)*(1+H1839)^5*(1+K1839)/(I1839-K1839)/(1+I1839)^5)-DCF!$C$12)/ASSUMPTIONS!$C$7</f>
        <v/>
      </c>
    </row>
    <row r="1840">
      <c r="H1840" s="83">
        <f>_xlfn.NORM.INV(RAND(),AVERAGE(ASSUMPTIONS!$C$38,ASSUMPTIONS!$C$39,ASSUMPTIONS!$C$40,ASSUMPTIONS!$C$41,ASSUMPTIONS!$C$42),ASSUMPTIONS!$C$68)</f>
        <v/>
      </c>
      <c r="I1840" s="83">
        <f>MAX(_xlfn.NORM.INV(RAND(),DCF!$C$11,ASSUMPTIONS!$C$69),K1840+0.005)</f>
        <v/>
      </c>
      <c r="J1840" s="83">
        <f>_xlfn.NORM.INV(RAND(),ASSUMPTIONS!$C$19,ASSUMPTIONS!$C$70)</f>
        <v/>
      </c>
      <c r="K1840" s="83">
        <f>_xlfn.NORM.INV(RAND(),ASSUMPTIONS!$C$43,ASSUMPTIONS!$C$71)</f>
        <v/>
      </c>
      <c r="L1840" s="84">
        <f>(((ASSUMPTIONS!$C$18*J1840*(1-ASSUMPTIONS!$C$20)+ASSUMPTIONS!$C$18*ASSUMPTIONS!$C$21-ASSUMPTIONS!$C$18*ASSUMPTIONS!$C$22)*(1+H1840)*(1-((1+H1840)/(1+I1840))^5)/(I1840-H1840))+((ASSUMPTIONS!$C$18*J1840*(1-ASSUMPTIONS!$C$20)+ASSUMPTIONS!$C$18*ASSUMPTIONS!$C$21-ASSUMPTIONS!$C$18*ASSUMPTIONS!$C$22)*(1+H1840)^5*(1+K1840)/(I1840-K1840)/(1+I1840)^5)-DCF!$C$12)/ASSUMPTIONS!$C$7</f>
        <v/>
      </c>
    </row>
    <row r="1841">
      <c r="H1841" s="83">
        <f>_xlfn.NORM.INV(RAND(),AVERAGE(ASSUMPTIONS!$C$38,ASSUMPTIONS!$C$39,ASSUMPTIONS!$C$40,ASSUMPTIONS!$C$41,ASSUMPTIONS!$C$42),ASSUMPTIONS!$C$68)</f>
        <v/>
      </c>
      <c r="I1841" s="83">
        <f>MAX(_xlfn.NORM.INV(RAND(),DCF!$C$11,ASSUMPTIONS!$C$69),K1841+0.005)</f>
        <v/>
      </c>
      <c r="J1841" s="83">
        <f>_xlfn.NORM.INV(RAND(),ASSUMPTIONS!$C$19,ASSUMPTIONS!$C$70)</f>
        <v/>
      </c>
      <c r="K1841" s="83">
        <f>_xlfn.NORM.INV(RAND(),ASSUMPTIONS!$C$43,ASSUMPTIONS!$C$71)</f>
        <v/>
      </c>
      <c r="L1841" s="84">
        <f>(((ASSUMPTIONS!$C$18*J1841*(1-ASSUMPTIONS!$C$20)+ASSUMPTIONS!$C$18*ASSUMPTIONS!$C$21-ASSUMPTIONS!$C$18*ASSUMPTIONS!$C$22)*(1+H1841)*(1-((1+H1841)/(1+I1841))^5)/(I1841-H1841))+((ASSUMPTIONS!$C$18*J1841*(1-ASSUMPTIONS!$C$20)+ASSUMPTIONS!$C$18*ASSUMPTIONS!$C$21-ASSUMPTIONS!$C$18*ASSUMPTIONS!$C$22)*(1+H1841)^5*(1+K1841)/(I1841-K1841)/(1+I1841)^5)-DCF!$C$12)/ASSUMPTIONS!$C$7</f>
        <v/>
      </c>
    </row>
    <row r="1842">
      <c r="H1842" s="83">
        <f>_xlfn.NORM.INV(RAND(),AVERAGE(ASSUMPTIONS!$C$38,ASSUMPTIONS!$C$39,ASSUMPTIONS!$C$40,ASSUMPTIONS!$C$41,ASSUMPTIONS!$C$42),ASSUMPTIONS!$C$68)</f>
        <v/>
      </c>
      <c r="I1842" s="83">
        <f>MAX(_xlfn.NORM.INV(RAND(),DCF!$C$11,ASSUMPTIONS!$C$69),K1842+0.005)</f>
        <v/>
      </c>
      <c r="J1842" s="83">
        <f>_xlfn.NORM.INV(RAND(),ASSUMPTIONS!$C$19,ASSUMPTIONS!$C$70)</f>
        <v/>
      </c>
      <c r="K1842" s="83">
        <f>_xlfn.NORM.INV(RAND(),ASSUMPTIONS!$C$43,ASSUMPTIONS!$C$71)</f>
        <v/>
      </c>
      <c r="L1842" s="84">
        <f>(((ASSUMPTIONS!$C$18*J1842*(1-ASSUMPTIONS!$C$20)+ASSUMPTIONS!$C$18*ASSUMPTIONS!$C$21-ASSUMPTIONS!$C$18*ASSUMPTIONS!$C$22)*(1+H1842)*(1-((1+H1842)/(1+I1842))^5)/(I1842-H1842))+((ASSUMPTIONS!$C$18*J1842*(1-ASSUMPTIONS!$C$20)+ASSUMPTIONS!$C$18*ASSUMPTIONS!$C$21-ASSUMPTIONS!$C$18*ASSUMPTIONS!$C$22)*(1+H1842)^5*(1+K1842)/(I1842-K1842)/(1+I1842)^5)-DCF!$C$12)/ASSUMPTIONS!$C$7</f>
        <v/>
      </c>
    </row>
    <row r="1843">
      <c r="H1843" s="83">
        <f>_xlfn.NORM.INV(RAND(),AVERAGE(ASSUMPTIONS!$C$38,ASSUMPTIONS!$C$39,ASSUMPTIONS!$C$40,ASSUMPTIONS!$C$41,ASSUMPTIONS!$C$42),ASSUMPTIONS!$C$68)</f>
        <v/>
      </c>
      <c r="I1843" s="83">
        <f>MAX(_xlfn.NORM.INV(RAND(),DCF!$C$11,ASSUMPTIONS!$C$69),K1843+0.005)</f>
        <v/>
      </c>
      <c r="J1843" s="83">
        <f>_xlfn.NORM.INV(RAND(),ASSUMPTIONS!$C$19,ASSUMPTIONS!$C$70)</f>
        <v/>
      </c>
      <c r="K1843" s="83">
        <f>_xlfn.NORM.INV(RAND(),ASSUMPTIONS!$C$43,ASSUMPTIONS!$C$71)</f>
        <v/>
      </c>
      <c r="L1843" s="84">
        <f>(((ASSUMPTIONS!$C$18*J1843*(1-ASSUMPTIONS!$C$20)+ASSUMPTIONS!$C$18*ASSUMPTIONS!$C$21-ASSUMPTIONS!$C$18*ASSUMPTIONS!$C$22)*(1+H1843)*(1-((1+H1843)/(1+I1843))^5)/(I1843-H1843))+((ASSUMPTIONS!$C$18*J1843*(1-ASSUMPTIONS!$C$20)+ASSUMPTIONS!$C$18*ASSUMPTIONS!$C$21-ASSUMPTIONS!$C$18*ASSUMPTIONS!$C$22)*(1+H1843)^5*(1+K1843)/(I1843-K1843)/(1+I1843)^5)-DCF!$C$12)/ASSUMPTIONS!$C$7</f>
        <v/>
      </c>
    </row>
    <row r="1844">
      <c r="H1844" s="83">
        <f>_xlfn.NORM.INV(RAND(),AVERAGE(ASSUMPTIONS!$C$38,ASSUMPTIONS!$C$39,ASSUMPTIONS!$C$40,ASSUMPTIONS!$C$41,ASSUMPTIONS!$C$42),ASSUMPTIONS!$C$68)</f>
        <v/>
      </c>
      <c r="I1844" s="83">
        <f>MAX(_xlfn.NORM.INV(RAND(),DCF!$C$11,ASSUMPTIONS!$C$69),K1844+0.005)</f>
        <v/>
      </c>
      <c r="J1844" s="83">
        <f>_xlfn.NORM.INV(RAND(),ASSUMPTIONS!$C$19,ASSUMPTIONS!$C$70)</f>
        <v/>
      </c>
      <c r="K1844" s="83">
        <f>_xlfn.NORM.INV(RAND(),ASSUMPTIONS!$C$43,ASSUMPTIONS!$C$71)</f>
        <v/>
      </c>
      <c r="L1844" s="84">
        <f>(((ASSUMPTIONS!$C$18*J1844*(1-ASSUMPTIONS!$C$20)+ASSUMPTIONS!$C$18*ASSUMPTIONS!$C$21-ASSUMPTIONS!$C$18*ASSUMPTIONS!$C$22)*(1+H1844)*(1-((1+H1844)/(1+I1844))^5)/(I1844-H1844))+((ASSUMPTIONS!$C$18*J1844*(1-ASSUMPTIONS!$C$20)+ASSUMPTIONS!$C$18*ASSUMPTIONS!$C$21-ASSUMPTIONS!$C$18*ASSUMPTIONS!$C$22)*(1+H1844)^5*(1+K1844)/(I1844-K1844)/(1+I1844)^5)-DCF!$C$12)/ASSUMPTIONS!$C$7</f>
        <v/>
      </c>
    </row>
    <row r="1845">
      <c r="H1845" s="83">
        <f>_xlfn.NORM.INV(RAND(),AVERAGE(ASSUMPTIONS!$C$38,ASSUMPTIONS!$C$39,ASSUMPTIONS!$C$40,ASSUMPTIONS!$C$41,ASSUMPTIONS!$C$42),ASSUMPTIONS!$C$68)</f>
        <v/>
      </c>
      <c r="I1845" s="83">
        <f>MAX(_xlfn.NORM.INV(RAND(),DCF!$C$11,ASSUMPTIONS!$C$69),K1845+0.005)</f>
        <v/>
      </c>
      <c r="J1845" s="83">
        <f>_xlfn.NORM.INV(RAND(),ASSUMPTIONS!$C$19,ASSUMPTIONS!$C$70)</f>
        <v/>
      </c>
      <c r="K1845" s="83">
        <f>_xlfn.NORM.INV(RAND(),ASSUMPTIONS!$C$43,ASSUMPTIONS!$C$71)</f>
        <v/>
      </c>
      <c r="L1845" s="84">
        <f>(((ASSUMPTIONS!$C$18*J1845*(1-ASSUMPTIONS!$C$20)+ASSUMPTIONS!$C$18*ASSUMPTIONS!$C$21-ASSUMPTIONS!$C$18*ASSUMPTIONS!$C$22)*(1+H1845)*(1-((1+H1845)/(1+I1845))^5)/(I1845-H1845))+((ASSUMPTIONS!$C$18*J1845*(1-ASSUMPTIONS!$C$20)+ASSUMPTIONS!$C$18*ASSUMPTIONS!$C$21-ASSUMPTIONS!$C$18*ASSUMPTIONS!$C$22)*(1+H1845)^5*(1+K1845)/(I1845-K1845)/(1+I1845)^5)-DCF!$C$12)/ASSUMPTIONS!$C$7</f>
        <v/>
      </c>
    </row>
    <row r="1846">
      <c r="H1846" s="83">
        <f>_xlfn.NORM.INV(RAND(),AVERAGE(ASSUMPTIONS!$C$38,ASSUMPTIONS!$C$39,ASSUMPTIONS!$C$40,ASSUMPTIONS!$C$41,ASSUMPTIONS!$C$42),ASSUMPTIONS!$C$68)</f>
        <v/>
      </c>
      <c r="I1846" s="83">
        <f>MAX(_xlfn.NORM.INV(RAND(),DCF!$C$11,ASSUMPTIONS!$C$69),K1846+0.005)</f>
        <v/>
      </c>
      <c r="J1846" s="83">
        <f>_xlfn.NORM.INV(RAND(),ASSUMPTIONS!$C$19,ASSUMPTIONS!$C$70)</f>
        <v/>
      </c>
      <c r="K1846" s="83">
        <f>_xlfn.NORM.INV(RAND(),ASSUMPTIONS!$C$43,ASSUMPTIONS!$C$71)</f>
        <v/>
      </c>
      <c r="L1846" s="84">
        <f>(((ASSUMPTIONS!$C$18*J1846*(1-ASSUMPTIONS!$C$20)+ASSUMPTIONS!$C$18*ASSUMPTIONS!$C$21-ASSUMPTIONS!$C$18*ASSUMPTIONS!$C$22)*(1+H1846)*(1-((1+H1846)/(1+I1846))^5)/(I1846-H1846))+((ASSUMPTIONS!$C$18*J1846*(1-ASSUMPTIONS!$C$20)+ASSUMPTIONS!$C$18*ASSUMPTIONS!$C$21-ASSUMPTIONS!$C$18*ASSUMPTIONS!$C$22)*(1+H1846)^5*(1+K1846)/(I1846-K1846)/(1+I1846)^5)-DCF!$C$12)/ASSUMPTIONS!$C$7</f>
        <v/>
      </c>
    </row>
    <row r="1847">
      <c r="H1847" s="83">
        <f>_xlfn.NORM.INV(RAND(),AVERAGE(ASSUMPTIONS!$C$38,ASSUMPTIONS!$C$39,ASSUMPTIONS!$C$40,ASSUMPTIONS!$C$41,ASSUMPTIONS!$C$42),ASSUMPTIONS!$C$68)</f>
        <v/>
      </c>
      <c r="I1847" s="83">
        <f>MAX(_xlfn.NORM.INV(RAND(),DCF!$C$11,ASSUMPTIONS!$C$69),K1847+0.005)</f>
        <v/>
      </c>
      <c r="J1847" s="83">
        <f>_xlfn.NORM.INV(RAND(),ASSUMPTIONS!$C$19,ASSUMPTIONS!$C$70)</f>
        <v/>
      </c>
      <c r="K1847" s="83">
        <f>_xlfn.NORM.INV(RAND(),ASSUMPTIONS!$C$43,ASSUMPTIONS!$C$71)</f>
        <v/>
      </c>
      <c r="L1847" s="84">
        <f>(((ASSUMPTIONS!$C$18*J1847*(1-ASSUMPTIONS!$C$20)+ASSUMPTIONS!$C$18*ASSUMPTIONS!$C$21-ASSUMPTIONS!$C$18*ASSUMPTIONS!$C$22)*(1+H1847)*(1-((1+H1847)/(1+I1847))^5)/(I1847-H1847))+((ASSUMPTIONS!$C$18*J1847*(1-ASSUMPTIONS!$C$20)+ASSUMPTIONS!$C$18*ASSUMPTIONS!$C$21-ASSUMPTIONS!$C$18*ASSUMPTIONS!$C$22)*(1+H1847)^5*(1+K1847)/(I1847-K1847)/(1+I1847)^5)-DCF!$C$12)/ASSUMPTIONS!$C$7</f>
        <v/>
      </c>
    </row>
    <row r="1848">
      <c r="H1848" s="83">
        <f>_xlfn.NORM.INV(RAND(),AVERAGE(ASSUMPTIONS!$C$38,ASSUMPTIONS!$C$39,ASSUMPTIONS!$C$40,ASSUMPTIONS!$C$41,ASSUMPTIONS!$C$42),ASSUMPTIONS!$C$68)</f>
        <v/>
      </c>
      <c r="I1848" s="83">
        <f>MAX(_xlfn.NORM.INV(RAND(),DCF!$C$11,ASSUMPTIONS!$C$69),K1848+0.005)</f>
        <v/>
      </c>
      <c r="J1848" s="83">
        <f>_xlfn.NORM.INV(RAND(),ASSUMPTIONS!$C$19,ASSUMPTIONS!$C$70)</f>
        <v/>
      </c>
      <c r="K1848" s="83">
        <f>_xlfn.NORM.INV(RAND(),ASSUMPTIONS!$C$43,ASSUMPTIONS!$C$71)</f>
        <v/>
      </c>
      <c r="L1848" s="84">
        <f>(((ASSUMPTIONS!$C$18*J1848*(1-ASSUMPTIONS!$C$20)+ASSUMPTIONS!$C$18*ASSUMPTIONS!$C$21-ASSUMPTIONS!$C$18*ASSUMPTIONS!$C$22)*(1+H1848)*(1-((1+H1848)/(1+I1848))^5)/(I1848-H1848))+((ASSUMPTIONS!$C$18*J1848*(1-ASSUMPTIONS!$C$20)+ASSUMPTIONS!$C$18*ASSUMPTIONS!$C$21-ASSUMPTIONS!$C$18*ASSUMPTIONS!$C$22)*(1+H1848)^5*(1+K1848)/(I1848-K1848)/(1+I1848)^5)-DCF!$C$12)/ASSUMPTIONS!$C$7</f>
        <v/>
      </c>
    </row>
    <row r="1849">
      <c r="H1849" s="83">
        <f>_xlfn.NORM.INV(RAND(),AVERAGE(ASSUMPTIONS!$C$38,ASSUMPTIONS!$C$39,ASSUMPTIONS!$C$40,ASSUMPTIONS!$C$41,ASSUMPTIONS!$C$42),ASSUMPTIONS!$C$68)</f>
        <v/>
      </c>
      <c r="I1849" s="83">
        <f>MAX(_xlfn.NORM.INV(RAND(),DCF!$C$11,ASSUMPTIONS!$C$69),K1849+0.005)</f>
        <v/>
      </c>
      <c r="J1849" s="83">
        <f>_xlfn.NORM.INV(RAND(),ASSUMPTIONS!$C$19,ASSUMPTIONS!$C$70)</f>
        <v/>
      </c>
      <c r="K1849" s="83">
        <f>_xlfn.NORM.INV(RAND(),ASSUMPTIONS!$C$43,ASSUMPTIONS!$C$71)</f>
        <v/>
      </c>
      <c r="L1849" s="84">
        <f>(((ASSUMPTIONS!$C$18*J1849*(1-ASSUMPTIONS!$C$20)+ASSUMPTIONS!$C$18*ASSUMPTIONS!$C$21-ASSUMPTIONS!$C$18*ASSUMPTIONS!$C$22)*(1+H1849)*(1-((1+H1849)/(1+I1849))^5)/(I1849-H1849))+((ASSUMPTIONS!$C$18*J1849*(1-ASSUMPTIONS!$C$20)+ASSUMPTIONS!$C$18*ASSUMPTIONS!$C$21-ASSUMPTIONS!$C$18*ASSUMPTIONS!$C$22)*(1+H1849)^5*(1+K1849)/(I1849-K1849)/(1+I1849)^5)-DCF!$C$12)/ASSUMPTIONS!$C$7</f>
        <v/>
      </c>
    </row>
    <row r="1850">
      <c r="H1850" s="83">
        <f>_xlfn.NORM.INV(RAND(),AVERAGE(ASSUMPTIONS!$C$38,ASSUMPTIONS!$C$39,ASSUMPTIONS!$C$40,ASSUMPTIONS!$C$41,ASSUMPTIONS!$C$42),ASSUMPTIONS!$C$68)</f>
        <v/>
      </c>
      <c r="I1850" s="83">
        <f>MAX(_xlfn.NORM.INV(RAND(),DCF!$C$11,ASSUMPTIONS!$C$69),K1850+0.005)</f>
        <v/>
      </c>
      <c r="J1850" s="83">
        <f>_xlfn.NORM.INV(RAND(),ASSUMPTIONS!$C$19,ASSUMPTIONS!$C$70)</f>
        <v/>
      </c>
      <c r="K1850" s="83">
        <f>_xlfn.NORM.INV(RAND(),ASSUMPTIONS!$C$43,ASSUMPTIONS!$C$71)</f>
        <v/>
      </c>
      <c r="L1850" s="84">
        <f>(((ASSUMPTIONS!$C$18*J1850*(1-ASSUMPTIONS!$C$20)+ASSUMPTIONS!$C$18*ASSUMPTIONS!$C$21-ASSUMPTIONS!$C$18*ASSUMPTIONS!$C$22)*(1+H1850)*(1-((1+H1850)/(1+I1850))^5)/(I1850-H1850))+((ASSUMPTIONS!$C$18*J1850*(1-ASSUMPTIONS!$C$20)+ASSUMPTIONS!$C$18*ASSUMPTIONS!$C$21-ASSUMPTIONS!$C$18*ASSUMPTIONS!$C$22)*(1+H1850)^5*(1+K1850)/(I1850-K1850)/(1+I1850)^5)-DCF!$C$12)/ASSUMPTIONS!$C$7</f>
        <v/>
      </c>
    </row>
    <row r="1851">
      <c r="H1851" s="83">
        <f>_xlfn.NORM.INV(RAND(),AVERAGE(ASSUMPTIONS!$C$38,ASSUMPTIONS!$C$39,ASSUMPTIONS!$C$40,ASSUMPTIONS!$C$41,ASSUMPTIONS!$C$42),ASSUMPTIONS!$C$68)</f>
        <v/>
      </c>
      <c r="I1851" s="83">
        <f>MAX(_xlfn.NORM.INV(RAND(),DCF!$C$11,ASSUMPTIONS!$C$69),K1851+0.005)</f>
        <v/>
      </c>
      <c r="J1851" s="83">
        <f>_xlfn.NORM.INV(RAND(),ASSUMPTIONS!$C$19,ASSUMPTIONS!$C$70)</f>
        <v/>
      </c>
      <c r="K1851" s="83">
        <f>_xlfn.NORM.INV(RAND(),ASSUMPTIONS!$C$43,ASSUMPTIONS!$C$71)</f>
        <v/>
      </c>
      <c r="L1851" s="84">
        <f>(((ASSUMPTIONS!$C$18*J1851*(1-ASSUMPTIONS!$C$20)+ASSUMPTIONS!$C$18*ASSUMPTIONS!$C$21-ASSUMPTIONS!$C$18*ASSUMPTIONS!$C$22)*(1+H1851)*(1-((1+H1851)/(1+I1851))^5)/(I1851-H1851))+((ASSUMPTIONS!$C$18*J1851*(1-ASSUMPTIONS!$C$20)+ASSUMPTIONS!$C$18*ASSUMPTIONS!$C$21-ASSUMPTIONS!$C$18*ASSUMPTIONS!$C$22)*(1+H1851)^5*(1+K1851)/(I1851-K1851)/(1+I1851)^5)-DCF!$C$12)/ASSUMPTIONS!$C$7</f>
        <v/>
      </c>
    </row>
    <row r="1852">
      <c r="H1852" s="83">
        <f>_xlfn.NORM.INV(RAND(),AVERAGE(ASSUMPTIONS!$C$38,ASSUMPTIONS!$C$39,ASSUMPTIONS!$C$40,ASSUMPTIONS!$C$41,ASSUMPTIONS!$C$42),ASSUMPTIONS!$C$68)</f>
        <v/>
      </c>
      <c r="I1852" s="83">
        <f>MAX(_xlfn.NORM.INV(RAND(),DCF!$C$11,ASSUMPTIONS!$C$69),K1852+0.005)</f>
        <v/>
      </c>
      <c r="J1852" s="83">
        <f>_xlfn.NORM.INV(RAND(),ASSUMPTIONS!$C$19,ASSUMPTIONS!$C$70)</f>
        <v/>
      </c>
      <c r="K1852" s="83">
        <f>_xlfn.NORM.INV(RAND(),ASSUMPTIONS!$C$43,ASSUMPTIONS!$C$71)</f>
        <v/>
      </c>
      <c r="L1852" s="84">
        <f>(((ASSUMPTIONS!$C$18*J1852*(1-ASSUMPTIONS!$C$20)+ASSUMPTIONS!$C$18*ASSUMPTIONS!$C$21-ASSUMPTIONS!$C$18*ASSUMPTIONS!$C$22)*(1+H1852)*(1-((1+H1852)/(1+I1852))^5)/(I1852-H1852))+((ASSUMPTIONS!$C$18*J1852*(1-ASSUMPTIONS!$C$20)+ASSUMPTIONS!$C$18*ASSUMPTIONS!$C$21-ASSUMPTIONS!$C$18*ASSUMPTIONS!$C$22)*(1+H1852)^5*(1+K1852)/(I1852-K1852)/(1+I1852)^5)-DCF!$C$12)/ASSUMPTIONS!$C$7</f>
        <v/>
      </c>
    </row>
    <row r="1853">
      <c r="H1853" s="83">
        <f>_xlfn.NORM.INV(RAND(),AVERAGE(ASSUMPTIONS!$C$38,ASSUMPTIONS!$C$39,ASSUMPTIONS!$C$40,ASSUMPTIONS!$C$41,ASSUMPTIONS!$C$42),ASSUMPTIONS!$C$68)</f>
        <v/>
      </c>
      <c r="I1853" s="83">
        <f>MAX(_xlfn.NORM.INV(RAND(),DCF!$C$11,ASSUMPTIONS!$C$69),K1853+0.005)</f>
        <v/>
      </c>
      <c r="J1853" s="83">
        <f>_xlfn.NORM.INV(RAND(),ASSUMPTIONS!$C$19,ASSUMPTIONS!$C$70)</f>
        <v/>
      </c>
      <c r="K1853" s="83">
        <f>_xlfn.NORM.INV(RAND(),ASSUMPTIONS!$C$43,ASSUMPTIONS!$C$71)</f>
        <v/>
      </c>
      <c r="L1853" s="84">
        <f>(((ASSUMPTIONS!$C$18*J1853*(1-ASSUMPTIONS!$C$20)+ASSUMPTIONS!$C$18*ASSUMPTIONS!$C$21-ASSUMPTIONS!$C$18*ASSUMPTIONS!$C$22)*(1+H1853)*(1-((1+H1853)/(1+I1853))^5)/(I1853-H1853))+((ASSUMPTIONS!$C$18*J1853*(1-ASSUMPTIONS!$C$20)+ASSUMPTIONS!$C$18*ASSUMPTIONS!$C$21-ASSUMPTIONS!$C$18*ASSUMPTIONS!$C$22)*(1+H1853)^5*(1+K1853)/(I1853-K1853)/(1+I1853)^5)-DCF!$C$12)/ASSUMPTIONS!$C$7</f>
        <v/>
      </c>
    </row>
    <row r="1854">
      <c r="H1854" s="83">
        <f>_xlfn.NORM.INV(RAND(),AVERAGE(ASSUMPTIONS!$C$38,ASSUMPTIONS!$C$39,ASSUMPTIONS!$C$40,ASSUMPTIONS!$C$41,ASSUMPTIONS!$C$42),ASSUMPTIONS!$C$68)</f>
        <v/>
      </c>
      <c r="I1854" s="83">
        <f>MAX(_xlfn.NORM.INV(RAND(),DCF!$C$11,ASSUMPTIONS!$C$69),K1854+0.005)</f>
        <v/>
      </c>
      <c r="J1854" s="83">
        <f>_xlfn.NORM.INV(RAND(),ASSUMPTIONS!$C$19,ASSUMPTIONS!$C$70)</f>
        <v/>
      </c>
      <c r="K1854" s="83">
        <f>_xlfn.NORM.INV(RAND(),ASSUMPTIONS!$C$43,ASSUMPTIONS!$C$71)</f>
        <v/>
      </c>
      <c r="L1854" s="84">
        <f>(((ASSUMPTIONS!$C$18*J1854*(1-ASSUMPTIONS!$C$20)+ASSUMPTIONS!$C$18*ASSUMPTIONS!$C$21-ASSUMPTIONS!$C$18*ASSUMPTIONS!$C$22)*(1+H1854)*(1-((1+H1854)/(1+I1854))^5)/(I1854-H1854))+((ASSUMPTIONS!$C$18*J1854*(1-ASSUMPTIONS!$C$20)+ASSUMPTIONS!$C$18*ASSUMPTIONS!$C$21-ASSUMPTIONS!$C$18*ASSUMPTIONS!$C$22)*(1+H1854)^5*(1+K1854)/(I1854-K1854)/(1+I1854)^5)-DCF!$C$12)/ASSUMPTIONS!$C$7</f>
        <v/>
      </c>
    </row>
    <row r="1855">
      <c r="H1855" s="83">
        <f>_xlfn.NORM.INV(RAND(),AVERAGE(ASSUMPTIONS!$C$38,ASSUMPTIONS!$C$39,ASSUMPTIONS!$C$40,ASSUMPTIONS!$C$41,ASSUMPTIONS!$C$42),ASSUMPTIONS!$C$68)</f>
        <v/>
      </c>
      <c r="I1855" s="83">
        <f>MAX(_xlfn.NORM.INV(RAND(),DCF!$C$11,ASSUMPTIONS!$C$69),K1855+0.005)</f>
        <v/>
      </c>
      <c r="J1855" s="83">
        <f>_xlfn.NORM.INV(RAND(),ASSUMPTIONS!$C$19,ASSUMPTIONS!$C$70)</f>
        <v/>
      </c>
      <c r="K1855" s="83">
        <f>_xlfn.NORM.INV(RAND(),ASSUMPTIONS!$C$43,ASSUMPTIONS!$C$71)</f>
        <v/>
      </c>
      <c r="L1855" s="84">
        <f>(((ASSUMPTIONS!$C$18*J1855*(1-ASSUMPTIONS!$C$20)+ASSUMPTIONS!$C$18*ASSUMPTIONS!$C$21-ASSUMPTIONS!$C$18*ASSUMPTIONS!$C$22)*(1+H1855)*(1-((1+H1855)/(1+I1855))^5)/(I1855-H1855))+((ASSUMPTIONS!$C$18*J1855*(1-ASSUMPTIONS!$C$20)+ASSUMPTIONS!$C$18*ASSUMPTIONS!$C$21-ASSUMPTIONS!$C$18*ASSUMPTIONS!$C$22)*(1+H1855)^5*(1+K1855)/(I1855-K1855)/(1+I1855)^5)-DCF!$C$12)/ASSUMPTIONS!$C$7</f>
        <v/>
      </c>
    </row>
    <row r="1856">
      <c r="H1856" s="83">
        <f>_xlfn.NORM.INV(RAND(),AVERAGE(ASSUMPTIONS!$C$38,ASSUMPTIONS!$C$39,ASSUMPTIONS!$C$40,ASSUMPTIONS!$C$41,ASSUMPTIONS!$C$42),ASSUMPTIONS!$C$68)</f>
        <v/>
      </c>
      <c r="I1856" s="83">
        <f>MAX(_xlfn.NORM.INV(RAND(),DCF!$C$11,ASSUMPTIONS!$C$69),K1856+0.005)</f>
        <v/>
      </c>
      <c r="J1856" s="83">
        <f>_xlfn.NORM.INV(RAND(),ASSUMPTIONS!$C$19,ASSUMPTIONS!$C$70)</f>
        <v/>
      </c>
      <c r="K1856" s="83">
        <f>_xlfn.NORM.INV(RAND(),ASSUMPTIONS!$C$43,ASSUMPTIONS!$C$71)</f>
        <v/>
      </c>
      <c r="L1856" s="84">
        <f>(((ASSUMPTIONS!$C$18*J1856*(1-ASSUMPTIONS!$C$20)+ASSUMPTIONS!$C$18*ASSUMPTIONS!$C$21-ASSUMPTIONS!$C$18*ASSUMPTIONS!$C$22)*(1+H1856)*(1-((1+H1856)/(1+I1856))^5)/(I1856-H1856))+((ASSUMPTIONS!$C$18*J1856*(1-ASSUMPTIONS!$C$20)+ASSUMPTIONS!$C$18*ASSUMPTIONS!$C$21-ASSUMPTIONS!$C$18*ASSUMPTIONS!$C$22)*(1+H1856)^5*(1+K1856)/(I1856-K1856)/(1+I1856)^5)-DCF!$C$12)/ASSUMPTIONS!$C$7</f>
        <v/>
      </c>
    </row>
    <row r="1857">
      <c r="H1857" s="83">
        <f>_xlfn.NORM.INV(RAND(),AVERAGE(ASSUMPTIONS!$C$38,ASSUMPTIONS!$C$39,ASSUMPTIONS!$C$40,ASSUMPTIONS!$C$41,ASSUMPTIONS!$C$42),ASSUMPTIONS!$C$68)</f>
        <v/>
      </c>
      <c r="I1857" s="83">
        <f>MAX(_xlfn.NORM.INV(RAND(),DCF!$C$11,ASSUMPTIONS!$C$69),K1857+0.005)</f>
        <v/>
      </c>
      <c r="J1857" s="83">
        <f>_xlfn.NORM.INV(RAND(),ASSUMPTIONS!$C$19,ASSUMPTIONS!$C$70)</f>
        <v/>
      </c>
      <c r="K1857" s="83">
        <f>_xlfn.NORM.INV(RAND(),ASSUMPTIONS!$C$43,ASSUMPTIONS!$C$71)</f>
        <v/>
      </c>
      <c r="L1857" s="84">
        <f>(((ASSUMPTIONS!$C$18*J1857*(1-ASSUMPTIONS!$C$20)+ASSUMPTIONS!$C$18*ASSUMPTIONS!$C$21-ASSUMPTIONS!$C$18*ASSUMPTIONS!$C$22)*(1+H1857)*(1-((1+H1857)/(1+I1857))^5)/(I1857-H1857))+((ASSUMPTIONS!$C$18*J1857*(1-ASSUMPTIONS!$C$20)+ASSUMPTIONS!$C$18*ASSUMPTIONS!$C$21-ASSUMPTIONS!$C$18*ASSUMPTIONS!$C$22)*(1+H1857)^5*(1+K1857)/(I1857-K1857)/(1+I1857)^5)-DCF!$C$12)/ASSUMPTIONS!$C$7</f>
        <v/>
      </c>
    </row>
    <row r="1858">
      <c r="H1858" s="83">
        <f>_xlfn.NORM.INV(RAND(),AVERAGE(ASSUMPTIONS!$C$38,ASSUMPTIONS!$C$39,ASSUMPTIONS!$C$40,ASSUMPTIONS!$C$41,ASSUMPTIONS!$C$42),ASSUMPTIONS!$C$68)</f>
        <v/>
      </c>
      <c r="I1858" s="83">
        <f>MAX(_xlfn.NORM.INV(RAND(),DCF!$C$11,ASSUMPTIONS!$C$69),K1858+0.005)</f>
        <v/>
      </c>
      <c r="J1858" s="83">
        <f>_xlfn.NORM.INV(RAND(),ASSUMPTIONS!$C$19,ASSUMPTIONS!$C$70)</f>
        <v/>
      </c>
      <c r="K1858" s="83">
        <f>_xlfn.NORM.INV(RAND(),ASSUMPTIONS!$C$43,ASSUMPTIONS!$C$71)</f>
        <v/>
      </c>
      <c r="L1858" s="84">
        <f>(((ASSUMPTIONS!$C$18*J1858*(1-ASSUMPTIONS!$C$20)+ASSUMPTIONS!$C$18*ASSUMPTIONS!$C$21-ASSUMPTIONS!$C$18*ASSUMPTIONS!$C$22)*(1+H1858)*(1-((1+H1858)/(1+I1858))^5)/(I1858-H1858))+((ASSUMPTIONS!$C$18*J1858*(1-ASSUMPTIONS!$C$20)+ASSUMPTIONS!$C$18*ASSUMPTIONS!$C$21-ASSUMPTIONS!$C$18*ASSUMPTIONS!$C$22)*(1+H1858)^5*(1+K1858)/(I1858-K1858)/(1+I1858)^5)-DCF!$C$12)/ASSUMPTIONS!$C$7</f>
        <v/>
      </c>
    </row>
    <row r="1859">
      <c r="H1859" s="83">
        <f>_xlfn.NORM.INV(RAND(),AVERAGE(ASSUMPTIONS!$C$38,ASSUMPTIONS!$C$39,ASSUMPTIONS!$C$40,ASSUMPTIONS!$C$41,ASSUMPTIONS!$C$42),ASSUMPTIONS!$C$68)</f>
        <v/>
      </c>
      <c r="I1859" s="83">
        <f>MAX(_xlfn.NORM.INV(RAND(),DCF!$C$11,ASSUMPTIONS!$C$69),K1859+0.005)</f>
        <v/>
      </c>
      <c r="J1859" s="83">
        <f>_xlfn.NORM.INV(RAND(),ASSUMPTIONS!$C$19,ASSUMPTIONS!$C$70)</f>
        <v/>
      </c>
      <c r="K1859" s="83">
        <f>_xlfn.NORM.INV(RAND(),ASSUMPTIONS!$C$43,ASSUMPTIONS!$C$71)</f>
        <v/>
      </c>
      <c r="L1859" s="84">
        <f>(((ASSUMPTIONS!$C$18*J1859*(1-ASSUMPTIONS!$C$20)+ASSUMPTIONS!$C$18*ASSUMPTIONS!$C$21-ASSUMPTIONS!$C$18*ASSUMPTIONS!$C$22)*(1+H1859)*(1-((1+H1859)/(1+I1859))^5)/(I1859-H1859))+((ASSUMPTIONS!$C$18*J1859*(1-ASSUMPTIONS!$C$20)+ASSUMPTIONS!$C$18*ASSUMPTIONS!$C$21-ASSUMPTIONS!$C$18*ASSUMPTIONS!$C$22)*(1+H1859)^5*(1+K1859)/(I1859-K1859)/(1+I1859)^5)-DCF!$C$12)/ASSUMPTIONS!$C$7</f>
        <v/>
      </c>
    </row>
    <row r="1860">
      <c r="H1860" s="83">
        <f>_xlfn.NORM.INV(RAND(),AVERAGE(ASSUMPTIONS!$C$38,ASSUMPTIONS!$C$39,ASSUMPTIONS!$C$40,ASSUMPTIONS!$C$41,ASSUMPTIONS!$C$42),ASSUMPTIONS!$C$68)</f>
        <v/>
      </c>
      <c r="I1860" s="83">
        <f>MAX(_xlfn.NORM.INV(RAND(),DCF!$C$11,ASSUMPTIONS!$C$69),K1860+0.005)</f>
        <v/>
      </c>
      <c r="J1860" s="83">
        <f>_xlfn.NORM.INV(RAND(),ASSUMPTIONS!$C$19,ASSUMPTIONS!$C$70)</f>
        <v/>
      </c>
      <c r="K1860" s="83">
        <f>_xlfn.NORM.INV(RAND(),ASSUMPTIONS!$C$43,ASSUMPTIONS!$C$71)</f>
        <v/>
      </c>
      <c r="L1860" s="84">
        <f>(((ASSUMPTIONS!$C$18*J1860*(1-ASSUMPTIONS!$C$20)+ASSUMPTIONS!$C$18*ASSUMPTIONS!$C$21-ASSUMPTIONS!$C$18*ASSUMPTIONS!$C$22)*(1+H1860)*(1-((1+H1860)/(1+I1860))^5)/(I1860-H1860))+((ASSUMPTIONS!$C$18*J1860*(1-ASSUMPTIONS!$C$20)+ASSUMPTIONS!$C$18*ASSUMPTIONS!$C$21-ASSUMPTIONS!$C$18*ASSUMPTIONS!$C$22)*(1+H1860)^5*(1+K1860)/(I1860-K1860)/(1+I1860)^5)-DCF!$C$12)/ASSUMPTIONS!$C$7</f>
        <v/>
      </c>
    </row>
    <row r="1861">
      <c r="H1861" s="83">
        <f>_xlfn.NORM.INV(RAND(),AVERAGE(ASSUMPTIONS!$C$38,ASSUMPTIONS!$C$39,ASSUMPTIONS!$C$40,ASSUMPTIONS!$C$41,ASSUMPTIONS!$C$42),ASSUMPTIONS!$C$68)</f>
        <v/>
      </c>
      <c r="I1861" s="83">
        <f>MAX(_xlfn.NORM.INV(RAND(),DCF!$C$11,ASSUMPTIONS!$C$69),K1861+0.005)</f>
        <v/>
      </c>
      <c r="J1861" s="83">
        <f>_xlfn.NORM.INV(RAND(),ASSUMPTIONS!$C$19,ASSUMPTIONS!$C$70)</f>
        <v/>
      </c>
      <c r="K1861" s="83">
        <f>_xlfn.NORM.INV(RAND(),ASSUMPTIONS!$C$43,ASSUMPTIONS!$C$71)</f>
        <v/>
      </c>
      <c r="L1861" s="84">
        <f>(((ASSUMPTIONS!$C$18*J1861*(1-ASSUMPTIONS!$C$20)+ASSUMPTIONS!$C$18*ASSUMPTIONS!$C$21-ASSUMPTIONS!$C$18*ASSUMPTIONS!$C$22)*(1+H1861)*(1-((1+H1861)/(1+I1861))^5)/(I1861-H1861))+((ASSUMPTIONS!$C$18*J1861*(1-ASSUMPTIONS!$C$20)+ASSUMPTIONS!$C$18*ASSUMPTIONS!$C$21-ASSUMPTIONS!$C$18*ASSUMPTIONS!$C$22)*(1+H1861)^5*(1+K1861)/(I1861-K1861)/(1+I1861)^5)-DCF!$C$12)/ASSUMPTIONS!$C$7</f>
        <v/>
      </c>
    </row>
    <row r="1862">
      <c r="H1862" s="83">
        <f>_xlfn.NORM.INV(RAND(),AVERAGE(ASSUMPTIONS!$C$38,ASSUMPTIONS!$C$39,ASSUMPTIONS!$C$40,ASSUMPTIONS!$C$41,ASSUMPTIONS!$C$42),ASSUMPTIONS!$C$68)</f>
        <v/>
      </c>
      <c r="I1862" s="83">
        <f>MAX(_xlfn.NORM.INV(RAND(),DCF!$C$11,ASSUMPTIONS!$C$69),K1862+0.005)</f>
        <v/>
      </c>
      <c r="J1862" s="83">
        <f>_xlfn.NORM.INV(RAND(),ASSUMPTIONS!$C$19,ASSUMPTIONS!$C$70)</f>
        <v/>
      </c>
      <c r="K1862" s="83">
        <f>_xlfn.NORM.INV(RAND(),ASSUMPTIONS!$C$43,ASSUMPTIONS!$C$71)</f>
        <v/>
      </c>
      <c r="L1862" s="84">
        <f>(((ASSUMPTIONS!$C$18*J1862*(1-ASSUMPTIONS!$C$20)+ASSUMPTIONS!$C$18*ASSUMPTIONS!$C$21-ASSUMPTIONS!$C$18*ASSUMPTIONS!$C$22)*(1+H1862)*(1-((1+H1862)/(1+I1862))^5)/(I1862-H1862))+((ASSUMPTIONS!$C$18*J1862*(1-ASSUMPTIONS!$C$20)+ASSUMPTIONS!$C$18*ASSUMPTIONS!$C$21-ASSUMPTIONS!$C$18*ASSUMPTIONS!$C$22)*(1+H1862)^5*(1+K1862)/(I1862-K1862)/(1+I1862)^5)-DCF!$C$12)/ASSUMPTIONS!$C$7</f>
        <v/>
      </c>
    </row>
    <row r="1863">
      <c r="H1863" s="83">
        <f>_xlfn.NORM.INV(RAND(),AVERAGE(ASSUMPTIONS!$C$38,ASSUMPTIONS!$C$39,ASSUMPTIONS!$C$40,ASSUMPTIONS!$C$41,ASSUMPTIONS!$C$42),ASSUMPTIONS!$C$68)</f>
        <v/>
      </c>
      <c r="I1863" s="83">
        <f>MAX(_xlfn.NORM.INV(RAND(),DCF!$C$11,ASSUMPTIONS!$C$69),K1863+0.005)</f>
        <v/>
      </c>
      <c r="J1863" s="83">
        <f>_xlfn.NORM.INV(RAND(),ASSUMPTIONS!$C$19,ASSUMPTIONS!$C$70)</f>
        <v/>
      </c>
      <c r="K1863" s="83">
        <f>_xlfn.NORM.INV(RAND(),ASSUMPTIONS!$C$43,ASSUMPTIONS!$C$71)</f>
        <v/>
      </c>
      <c r="L1863" s="84">
        <f>(((ASSUMPTIONS!$C$18*J1863*(1-ASSUMPTIONS!$C$20)+ASSUMPTIONS!$C$18*ASSUMPTIONS!$C$21-ASSUMPTIONS!$C$18*ASSUMPTIONS!$C$22)*(1+H1863)*(1-((1+H1863)/(1+I1863))^5)/(I1863-H1863))+((ASSUMPTIONS!$C$18*J1863*(1-ASSUMPTIONS!$C$20)+ASSUMPTIONS!$C$18*ASSUMPTIONS!$C$21-ASSUMPTIONS!$C$18*ASSUMPTIONS!$C$22)*(1+H1863)^5*(1+K1863)/(I1863-K1863)/(1+I1863)^5)-DCF!$C$12)/ASSUMPTIONS!$C$7</f>
        <v/>
      </c>
    </row>
    <row r="1864">
      <c r="H1864" s="83">
        <f>_xlfn.NORM.INV(RAND(),AVERAGE(ASSUMPTIONS!$C$38,ASSUMPTIONS!$C$39,ASSUMPTIONS!$C$40,ASSUMPTIONS!$C$41,ASSUMPTIONS!$C$42),ASSUMPTIONS!$C$68)</f>
        <v/>
      </c>
      <c r="I1864" s="83">
        <f>MAX(_xlfn.NORM.INV(RAND(),DCF!$C$11,ASSUMPTIONS!$C$69),K1864+0.005)</f>
        <v/>
      </c>
      <c r="J1864" s="83">
        <f>_xlfn.NORM.INV(RAND(),ASSUMPTIONS!$C$19,ASSUMPTIONS!$C$70)</f>
        <v/>
      </c>
      <c r="K1864" s="83">
        <f>_xlfn.NORM.INV(RAND(),ASSUMPTIONS!$C$43,ASSUMPTIONS!$C$71)</f>
        <v/>
      </c>
      <c r="L1864" s="84">
        <f>(((ASSUMPTIONS!$C$18*J1864*(1-ASSUMPTIONS!$C$20)+ASSUMPTIONS!$C$18*ASSUMPTIONS!$C$21-ASSUMPTIONS!$C$18*ASSUMPTIONS!$C$22)*(1+H1864)*(1-((1+H1864)/(1+I1864))^5)/(I1864-H1864))+((ASSUMPTIONS!$C$18*J1864*(1-ASSUMPTIONS!$C$20)+ASSUMPTIONS!$C$18*ASSUMPTIONS!$C$21-ASSUMPTIONS!$C$18*ASSUMPTIONS!$C$22)*(1+H1864)^5*(1+K1864)/(I1864-K1864)/(1+I1864)^5)-DCF!$C$12)/ASSUMPTIONS!$C$7</f>
        <v/>
      </c>
    </row>
    <row r="1865">
      <c r="H1865" s="83">
        <f>_xlfn.NORM.INV(RAND(),AVERAGE(ASSUMPTIONS!$C$38,ASSUMPTIONS!$C$39,ASSUMPTIONS!$C$40,ASSUMPTIONS!$C$41,ASSUMPTIONS!$C$42),ASSUMPTIONS!$C$68)</f>
        <v/>
      </c>
      <c r="I1865" s="83">
        <f>MAX(_xlfn.NORM.INV(RAND(),DCF!$C$11,ASSUMPTIONS!$C$69),K1865+0.005)</f>
        <v/>
      </c>
      <c r="J1865" s="83">
        <f>_xlfn.NORM.INV(RAND(),ASSUMPTIONS!$C$19,ASSUMPTIONS!$C$70)</f>
        <v/>
      </c>
      <c r="K1865" s="83">
        <f>_xlfn.NORM.INV(RAND(),ASSUMPTIONS!$C$43,ASSUMPTIONS!$C$71)</f>
        <v/>
      </c>
      <c r="L1865" s="84">
        <f>(((ASSUMPTIONS!$C$18*J1865*(1-ASSUMPTIONS!$C$20)+ASSUMPTIONS!$C$18*ASSUMPTIONS!$C$21-ASSUMPTIONS!$C$18*ASSUMPTIONS!$C$22)*(1+H1865)*(1-((1+H1865)/(1+I1865))^5)/(I1865-H1865))+((ASSUMPTIONS!$C$18*J1865*(1-ASSUMPTIONS!$C$20)+ASSUMPTIONS!$C$18*ASSUMPTIONS!$C$21-ASSUMPTIONS!$C$18*ASSUMPTIONS!$C$22)*(1+H1865)^5*(1+K1865)/(I1865-K1865)/(1+I1865)^5)-DCF!$C$12)/ASSUMPTIONS!$C$7</f>
        <v/>
      </c>
    </row>
    <row r="1866">
      <c r="H1866" s="83">
        <f>_xlfn.NORM.INV(RAND(),AVERAGE(ASSUMPTIONS!$C$38,ASSUMPTIONS!$C$39,ASSUMPTIONS!$C$40,ASSUMPTIONS!$C$41,ASSUMPTIONS!$C$42),ASSUMPTIONS!$C$68)</f>
        <v/>
      </c>
      <c r="I1866" s="83">
        <f>MAX(_xlfn.NORM.INV(RAND(),DCF!$C$11,ASSUMPTIONS!$C$69),K1866+0.005)</f>
        <v/>
      </c>
      <c r="J1866" s="83">
        <f>_xlfn.NORM.INV(RAND(),ASSUMPTIONS!$C$19,ASSUMPTIONS!$C$70)</f>
        <v/>
      </c>
      <c r="K1866" s="83">
        <f>_xlfn.NORM.INV(RAND(),ASSUMPTIONS!$C$43,ASSUMPTIONS!$C$71)</f>
        <v/>
      </c>
      <c r="L1866" s="84">
        <f>(((ASSUMPTIONS!$C$18*J1866*(1-ASSUMPTIONS!$C$20)+ASSUMPTIONS!$C$18*ASSUMPTIONS!$C$21-ASSUMPTIONS!$C$18*ASSUMPTIONS!$C$22)*(1+H1866)*(1-((1+H1866)/(1+I1866))^5)/(I1866-H1866))+((ASSUMPTIONS!$C$18*J1866*(1-ASSUMPTIONS!$C$20)+ASSUMPTIONS!$C$18*ASSUMPTIONS!$C$21-ASSUMPTIONS!$C$18*ASSUMPTIONS!$C$22)*(1+H1866)^5*(1+K1866)/(I1866-K1866)/(1+I1866)^5)-DCF!$C$12)/ASSUMPTIONS!$C$7</f>
        <v/>
      </c>
    </row>
    <row r="1867">
      <c r="H1867" s="83">
        <f>_xlfn.NORM.INV(RAND(),AVERAGE(ASSUMPTIONS!$C$38,ASSUMPTIONS!$C$39,ASSUMPTIONS!$C$40,ASSUMPTIONS!$C$41,ASSUMPTIONS!$C$42),ASSUMPTIONS!$C$68)</f>
        <v/>
      </c>
      <c r="I1867" s="83">
        <f>MAX(_xlfn.NORM.INV(RAND(),DCF!$C$11,ASSUMPTIONS!$C$69),K1867+0.005)</f>
        <v/>
      </c>
      <c r="J1867" s="83">
        <f>_xlfn.NORM.INV(RAND(),ASSUMPTIONS!$C$19,ASSUMPTIONS!$C$70)</f>
        <v/>
      </c>
      <c r="K1867" s="83">
        <f>_xlfn.NORM.INV(RAND(),ASSUMPTIONS!$C$43,ASSUMPTIONS!$C$71)</f>
        <v/>
      </c>
      <c r="L1867" s="84">
        <f>(((ASSUMPTIONS!$C$18*J1867*(1-ASSUMPTIONS!$C$20)+ASSUMPTIONS!$C$18*ASSUMPTIONS!$C$21-ASSUMPTIONS!$C$18*ASSUMPTIONS!$C$22)*(1+H1867)*(1-((1+H1867)/(1+I1867))^5)/(I1867-H1867))+((ASSUMPTIONS!$C$18*J1867*(1-ASSUMPTIONS!$C$20)+ASSUMPTIONS!$C$18*ASSUMPTIONS!$C$21-ASSUMPTIONS!$C$18*ASSUMPTIONS!$C$22)*(1+H1867)^5*(1+K1867)/(I1867-K1867)/(1+I1867)^5)-DCF!$C$12)/ASSUMPTIONS!$C$7</f>
        <v/>
      </c>
    </row>
    <row r="1868">
      <c r="H1868" s="83">
        <f>_xlfn.NORM.INV(RAND(),AVERAGE(ASSUMPTIONS!$C$38,ASSUMPTIONS!$C$39,ASSUMPTIONS!$C$40,ASSUMPTIONS!$C$41,ASSUMPTIONS!$C$42),ASSUMPTIONS!$C$68)</f>
        <v/>
      </c>
      <c r="I1868" s="83">
        <f>MAX(_xlfn.NORM.INV(RAND(),DCF!$C$11,ASSUMPTIONS!$C$69),K1868+0.005)</f>
        <v/>
      </c>
      <c r="J1868" s="83">
        <f>_xlfn.NORM.INV(RAND(),ASSUMPTIONS!$C$19,ASSUMPTIONS!$C$70)</f>
        <v/>
      </c>
      <c r="K1868" s="83">
        <f>_xlfn.NORM.INV(RAND(),ASSUMPTIONS!$C$43,ASSUMPTIONS!$C$71)</f>
        <v/>
      </c>
      <c r="L1868" s="84">
        <f>(((ASSUMPTIONS!$C$18*J1868*(1-ASSUMPTIONS!$C$20)+ASSUMPTIONS!$C$18*ASSUMPTIONS!$C$21-ASSUMPTIONS!$C$18*ASSUMPTIONS!$C$22)*(1+H1868)*(1-((1+H1868)/(1+I1868))^5)/(I1868-H1868))+((ASSUMPTIONS!$C$18*J1868*(1-ASSUMPTIONS!$C$20)+ASSUMPTIONS!$C$18*ASSUMPTIONS!$C$21-ASSUMPTIONS!$C$18*ASSUMPTIONS!$C$22)*(1+H1868)^5*(1+K1868)/(I1868-K1868)/(1+I1868)^5)-DCF!$C$12)/ASSUMPTIONS!$C$7</f>
        <v/>
      </c>
    </row>
    <row r="1869">
      <c r="H1869" s="83">
        <f>_xlfn.NORM.INV(RAND(),AVERAGE(ASSUMPTIONS!$C$38,ASSUMPTIONS!$C$39,ASSUMPTIONS!$C$40,ASSUMPTIONS!$C$41,ASSUMPTIONS!$C$42),ASSUMPTIONS!$C$68)</f>
        <v/>
      </c>
      <c r="I1869" s="83">
        <f>MAX(_xlfn.NORM.INV(RAND(),DCF!$C$11,ASSUMPTIONS!$C$69),K1869+0.005)</f>
        <v/>
      </c>
      <c r="J1869" s="83">
        <f>_xlfn.NORM.INV(RAND(),ASSUMPTIONS!$C$19,ASSUMPTIONS!$C$70)</f>
        <v/>
      </c>
      <c r="K1869" s="83">
        <f>_xlfn.NORM.INV(RAND(),ASSUMPTIONS!$C$43,ASSUMPTIONS!$C$71)</f>
        <v/>
      </c>
      <c r="L1869" s="84">
        <f>(((ASSUMPTIONS!$C$18*J1869*(1-ASSUMPTIONS!$C$20)+ASSUMPTIONS!$C$18*ASSUMPTIONS!$C$21-ASSUMPTIONS!$C$18*ASSUMPTIONS!$C$22)*(1+H1869)*(1-((1+H1869)/(1+I1869))^5)/(I1869-H1869))+((ASSUMPTIONS!$C$18*J1869*(1-ASSUMPTIONS!$C$20)+ASSUMPTIONS!$C$18*ASSUMPTIONS!$C$21-ASSUMPTIONS!$C$18*ASSUMPTIONS!$C$22)*(1+H1869)^5*(1+K1869)/(I1869-K1869)/(1+I1869)^5)-DCF!$C$12)/ASSUMPTIONS!$C$7</f>
        <v/>
      </c>
    </row>
    <row r="1870">
      <c r="H1870" s="83">
        <f>_xlfn.NORM.INV(RAND(),AVERAGE(ASSUMPTIONS!$C$38,ASSUMPTIONS!$C$39,ASSUMPTIONS!$C$40,ASSUMPTIONS!$C$41,ASSUMPTIONS!$C$42),ASSUMPTIONS!$C$68)</f>
        <v/>
      </c>
      <c r="I1870" s="83">
        <f>MAX(_xlfn.NORM.INV(RAND(),DCF!$C$11,ASSUMPTIONS!$C$69),K1870+0.005)</f>
        <v/>
      </c>
      <c r="J1870" s="83">
        <f>_xlfn.NORM.INV(RAND(),ASSUMPTIONS!$C$19,ASSUMPTIONS!$C$70)</f>
        <v/>
      </c>
      <c r="K1870" s="83">
        <f>_xlfn.NORM.INV(RAND(),ASSUMPTIONS!$C$43,ASSUMPTIONS!$C$71)</f>
        <v/>
      </c>
      <c r="L1870" s="84">
        <f>(((ASSUMPTIONS!$C$18*J1870*(1-ASSUMPTIONS!$C$20)+ASSUMPTIONS!$C$18*ASSUMPTIONS!$C$21-ASSUMPTIONS!$C$18*ASSUMPTIONS!$C$22)*(1+H1870)*(1-((1+H1870)/(1+I1870))^5)/(I1870-H1870))+((ASSUMPTIONS!$C$18*J1870*(1-ASSUMPTIONS!$C$20)+ASSUMPTIONS!$C$18*ASSUMPTIONS!$C$21-ASSUMPTIONS!$C$18*ASSUMPTIONS!$C$22)*(1+H1870)^5*(1+K1870)/(I1870-K1870)/(1+I1870)^5)-DCF!$C$12)/ASSUMPTIONS!$C$7</f>
        <v/>
      </c>
    </row>
    <row r="1871">
      <c r="H1871" s="83">
        <f>_xlfn.NORM.INV(RAND(),AVERAGE(ASSUMPTIONS!$C$38,ASSUMPTIONS!$C$39,ASSUMPTIONS!$C$40,ASSUMPTIONS!$C$41,ASSUMPTIONS!$C$42),ASSUMPTIONS!$C$68)</f>
        <v/>
      </c>
      <c r="I1871" s="83">
        <f>MAX(_xlfn.NORM.INV(RAND(),DCF!$C$11,ASSUMPTIONS!$C$69),K1871+0.005)</f>
        <v/>
      </c>
      <c r="J1871" s="83">
        <f>_xlfn.NORM.INV(RAND(),ASSUMPTIONS!$C$19,ASSUMPTIONS!$C$70)</f>
        <v/>
      </c>
      <c r="K1871" s="83">
        <f>_xlfn.NORM.INV(RAND(),ASSUMPTIONS!$C$43,ASSUMPTIONS!$C$71)</f>
        <v/>
      </c>
      <c r="L1871" s="84">
        <f>(((ASSUMPTIONS!$C$18*J1871*(1-ASSUMPTIONS!$C$20)+ASSUMPTIONS!$C$18*ASSUMPTIONS!$C$21-ASSUMPTIONS!$C$18*ASSUMPTIONS!$C$22)*(1+H1871)*(1-((1+H1871)/(1+I1871))^5)/(I1871-H1871))+((ASSUMPTIONS!$C$18*J1871*(1-ASSUMPTIONS!$C$20)+ASSUMPTIONS!$C$18*ASSUMPTIONS!$C$21-ASSUMPTIONS!$C$18*ASSUMPTIONS!$C$22)*(1+H1871)^5*(1+K1871)/(I1871-K1871)/(1+I1871)^5)-DCF!$C$12)/ASSUMPTIONS!$C$7</f>
        <v/>
      </c>
    </row>
    <row r="1872">
      <c r="H1872" s="83">
        <f>_xlfn.NORM.INV(RAND(),AVERAGE(ASSUMPTIONS!$C$38,ASSUMPTIONS!$C$39,ASSUMPTIONS!$C$40,ASSUMPTIONS!$C$41,ASSUMPTIONS!$C$42),ASSUMPTIONS!$C$68)</f>
        <v/>
      </c>
      <c r="I1872" s="83">
        <f>MAX(_xlfn.NORM.INV(RAND(),DCF!$C$11,ASSUMPTIONS!$C$69),K1872+0.005)</f>
        <v/>
      </c>
      <c r="J1872" s="83">
        <f>_xlfn.NORM.INV(RAND(),ASSUMPTIONS!$C$19,ASSUMPTIONS!$C$70)</f>
        <v/>
      </c>
      <c r="K1872" s="83">
        <f>_xlfn.NORM.INV(RAND(),ASSUMPTIONS!$C$43,ASSUMPTIONS!$C$71)</f>
        <v/>
      </c>
      <c r="L1872" s="84">
        <f>(((ASSUMPTIONS!$C$18*J1872*(1-ASSUMPTIONS!$C$20)+ASSUMPTIONS!$C$18*ASSUMPTIONS!$C$21-ASSUMPTIONS!$C$18*ASSUMPTIONS!$C$22)*(1+H1872)*(1-((1+H1872)/(1+I1872))^5)/(I1872-H1872))+((ASSUMPTIONS!$C$18*J1872*(1-ASSUMPTIONS!$C$20)+ASSUMPTIONS!$C$18*ASSUMPTIONS!$C$21-ASSUMPTIONS!$C$18*ASSUMPTIONS!$C$22)*(1+H1872)^5*(1+K1872)/(I1872-K1872)/(1+I1872)^5)-DCF!$C$12)/ASSUMPTIONS!$C$7</f>
        <v/>
      </c>
    </row>
    <row r="1873">
      <c r="H1873" s="83">
        <f>_xlfn.NORM.INV(RAND(),AVERAGE(ASSUMPTIONS!$C$38,ASSUMPTIONS!$C$39,ASSUMPTIONS!$C$40,ASSUMPTIONS!$C$41,ASSUMPTIONS!$C$42),ASSUMPTIONS!$C$68)</f>
        <v/>
      </c>
      <c r="I1873" s="83">
        <f>MAX(_xlfn.NORM.INV(RAND(),DCF!$C$11,ASSUMPTIONS!$C$69),K1873+0.005)</f>
        <v/>
      </c>
      <c r="J1873" s="83">
        <f>_xlfn.NORM.INV(RAND(),ASSUMPTIONS!$C$19,ASSUMPTIONS!$C$70)</f>
        <v/>
      </c>
      <c r="K1873" s="83">
        <f>_xlfn.NORM.INV(RAND(),ASSUMPTIONS!$C$43,ASSUMPTIONS!$C$71)</f>
        <v/>
      </c>
      <c r="L1873" s="84">
        <f>(((ASSUMPTIONS!$C$18*J1873*(1-ASSUMPTIONS!$C$20)+ASSUMPTIONS!$C$18*ASSUMPTIONS!$C$21-ASSUMPTIONS!$C$18*ASSUMPTIONS!$C$22)*(1+H1873)*(1-((1+H1873)/(1+I1873))^5)/(I1873-H1873))+((ASSUMPTIONS!$C$18*J1873*(1-ASSUMPTIONS!$C$20)+ASSUMPTIONS!$C$18*ASSUMPTIONS!$C$21-ASSUMPTIONS!$C$18*ASSUMPTIONS!$C$22)*(1+H1873)^5*(1+K1873)/(I1873-K1873)/(1+I1873)^5)-DCF!$C$12)/ASSUMPTIONS!$C$7</f>
        <v/>
      </c>
    </row>
    <row r="1874">
      <c r="H1874" s="83">
        <f>_xlfn.NORM.INV(RAND(),AVERAGE(ASSUMPTIONS!$C$38,ASSUMPTIONS!$C$39,ASSUMPTIONS!$C$40,ASSUMPTIONS!$C$41,ASSUMPTIONS!$C$42),ASSUMPTIONS!$C$68)</f>
        <v/>
      </c>
      <c r="I1874" s="83">
        <f>MAX(_xlfn.NORM.INV(RAND(),DCF!$C$11,ASSUMPTIONS!$C$69),K1874+0.005)</f>
        <v/>
      </c>
      <c r="J1874" s="83">
        <f>_xlfn.NORM.INV(RAND(),ASSUMPTIONS!$C$19,ASSUMPTIONS!$C$70)</f>
        <v/>
      </c>
      <c r="K1874" s="83">
        <f>_xlfn.NORM.INV(RAND(),ASSUMPTIONS!$C$43,ASSUMPTIONS!$C$71)</f>
        <v/>
      </c>
      <c r="L1874" s="84">
        <f>(((ASSUMPTIONS!$C$18*J1874*(1-ASSUMPTIONS!$C$20)+ASSUMPTIONS!$C$18*ASSUMPTIONS!$C$21-ASSUMPTIONS!$C$18*ASSUMPTIONS!$C$22)*(1+H1874)*(1-((1+H1874)/(1+I1874))^5)/(I1874-H1874))+((ASSUMPTIONS!$C$18*J1874*(1-ASSUMPTIONS!$C$20)+ASSUMPTIONS!$C$18*ASSUMPTIONS!$C$21-ASSUMPTIONS!$C$18*ASSUMPTIONS!$C$22)*(1+H1874)^5*(1+K1874)/(I1874-K1874)/(1+I1874)^5)-DCF!$C$12)/ASSUMPTIONS!$C$7</f>
        <v/>
      </c>
    </row>
    <row r="1875">
      <c r="H1875" s="83">
        <f>_xlfn.NORM.INV(RAND(),AVERAGE(ASSUMPTIONS!$C$38,ASSUMPTIONS!$C$39,ASSUMPTIONS!$C$40,ASSUMPTIONS!$C$41,ASSUMPTIONS!$C$42),ASSUMPTIONS!$C$68)</f>
        <v/>
      </c>
      <c r="I1875" s="83">
        <f>MAX(_xlfn.NORM.INV(RAND(),DCF!$C$11,ASSUMPTIONS!$C$69),K1875+0.005)</f>
        <v/>
      </c>
      <c r="J1875" s="83">
        <f>_xlfn.NORM.INV(RAND(),ASSUMPTIONS!$C$19,ASSUMPTIONS!$C$70)</f>
        <v/>
      </c>
      <c r="K1875" s="83">
        <f>_xlfn.NORM.INV(RAND(),ASSUMPTIONS!$C$43,ASSUMPTIONS!$C$71)</f>
        <v/>
      </c>
      <c r="L1875" s="84">
        <f>(((ASSUMPTIONS!$C$18*J1875*(1-ASSUMPTIONS!$C$20)+ASSUMPTIONS!$C$18*ASSUMPTIONS!$C$21-ASSUMPTIONS!$C$18*ASSUMPTIONS!$C$22)*(1+H1875)*(1-((1+H1875)/(1+I1875))^5)/(I1875-H1875))+((ASSUMPTIONS!$C$18*J1875*(1-ASSUMPTIONS!$C$20)+ASSUMPTIONS!$C$18*ASSUMPTIONS!$C$21-ASSUMPTIONS!$C$18*ASSUMPTIONS!$C$22)*(1+H1875)^5*(1+K1875)/(I1875-K1875)/(1+I1875)^5)-DCF!$C$12)/ASSUMPTIONS!$C$7</f>
        <v/>
      </c>
    </row>
    <row r="1876">
      <c r="H1876" s="83">
        <f>_xlfn.NORM.INV(RAND(),AVERAGE(ASSUMPTIONS!$C$38,ASSUMPTIONS!$C$39,ASSUMPTIONS!$C$40,ASSUMPTIONS!$C$41,ASSUMPTIONS!$C$42),ASSUMPTIONS!$C$68)</f>
        <v/>
      </c>
      <c r="I1876" s="83">
        <f>MAX(_xlfn.NORM.INV(RAND(),DCF!$C$11,ASSUMPTIONS!$C$69),K1876+0.005)</f>
        <v/>
      </c>
      <c r="J1876" s="83">
        <f>_xlfn.NORM.INV(RAND(),ASSUMPTIONS!$C$19,ASSUMPTIONS!$C$70)</f>
        <v/>
      </c>
      <c r="K1876" s="83">
        <f>_xlfn.NORM.INV(RAND(),ASSUMPTIONS!$C$43,ASSUMPTIONS!$C$71)</f>
        <v/>
      </c>
      <c r="L1876" s="84">
        <f>(((ASSUMPTIONS!$C$18*J1876*(1-ASSUMPTIONS!$C$20)+ASSUMPTIONS!$C$18*ASSUMPTIONS!$C$21-ASSUMPTIONS!$C$18*ASSUMPTIONS!$C$22)*(1+H1876)*(1-((1+H1876)/(1+I1876))^5)/(I1876-H1876))+((ASSUMPTIONS!$C$18*J1876*(1-ASSUMPTIONS!$C$20)+ASSUMPTIONS!$C$18*ASSUMPTIONS!$C$21-ASSUMPTIONS!$C$18*ASSUMPTIONS!$C$22)*(1+H1876)^5*(1+K1876)/(I1876-K1876)/(1+I1876)^5)-DCF!$C$12)/ASSUMPTIONS!$C$7</f>
        <v/>
      </c>
    </row>
    <row r="1877">
      <c r="H1877" s="83">
        <f>_xlfn.NORM.INV(RAND(),AVERAGE(ASSUMPTIONS!$C$38,ASSUMPTIONS!$C$39,ASSUMPTIONS!$C$40,ASSUMPTIONS!$C$41,ASSUMPTIONS!$C$42),ASSUMPTIONS!$C$68)</f>
        <v/>
      </c>
      <c r="I1877" s="83">
        <f>MAX(_xlfn.NORM.INV(RAND(),DCF!$C$11,ASSUMPTIONS!$C$69),K1877+0.005)</f>
        <v/>
      </c>
      <c r="J1877" s="83">
        <f>_xlfn.NORM.INV(RAND(),ASSUMPTIONS!$C$19,ASSUMPTIONS!$C$70)</f>
        <v/>
      </c>
      <c r="K1877" s="83">
        <f>_xlfn.NORM.INV(RAND(),ASSUMPTIONS!$C$43,ASSUMPTIONS!$C$71)</f>
        <v/>
      </c>
      <c r="L1877" s="84">
        <f>(((ASSUMPTIONS!$C$18*J1877*(1-ASSUMPTIONS!$C$20)+ASSUMPTIONS!$C$18*ASSUMPTIONS!$C$21-ASSUMPTIONS!$C$18*ASSUMPTIONS!$C$22)*(1+H1877)*(1-((1+H1877)/(1+I1877))^5)/(I1877-H1877))+((ASSUMPTIONS!$C$18*J1877*(1-ASSUMPTIONS!$C$20)+ASSUMPTIONS!$C$18*ASSUMPTIONS!$C$21-ASSUMPTIONS!$C$18*ASSUMPTIONS!$C$22)*(1+H1877)^5*(1+K1877)/(I1877-K1877)/(1+I1877)^5)-DCF!$C$12)/ASSUMPTIONS!$C$7</f>
        <v/>
      </c>
    </row>
    <row r="1878">
      <c r="H1878" s="83">
        <f>_xlfn.NORM.INV(RAND(),AVERAGE(ASSUMPTIONS!$C$38,ASSUMPTIONS!$C$39,ASSUMPTIONS!$C$40,ASSUMPTIONS!$C$41,ASSUMPTIONS!$C$42),ASSUMPTIONS!$C$68)</f>
        <v/>
      </c>
      <c r="I1878" s="83">
        <f>MAX(_xlfn.NORM.INV(RAND(),DCF!$C$11,ASSUMPTIONS!$C$69),K1878+0.005)</f>
        <v/>
      </c>
      <c r="J1878" s="83">
        <f>_xlfn.NORM.INV(RAND(),ASSUMPTIONS!$C$19,ASSUMPTIONS!$C$70)</f>
        <v/>
      </c>
      <c r="K1878" s="83">
        <f>_xlfn.NORM.INV(RAND(),ASSUMPTIONS!$C$43,ASSUMPTIONS!$C$71)</f>
        <v/>
      </c>
      <c r="L1878" s="84">
        <f>(((ASSUMPTIONS!$C$18*J1878*(1-ASSUMPTIONS!$C$20)+ASSUMPTIONS!$C$18*ASSUMPTIONS!$C$21-ASSUMPTIONS!$C$18*ASSUMPTIONS!$C$22)*(1+H1878)*(1-((1+H1878)/(1+I1878))^5)/(I1878-H1878))+((ASSUMPTIONS!$C$18*J1878*(1-ASSUMPTIONS!$C$20)+ASSUMPTIONS!$C$18*ASSUMPTIONS!$C$21-ASSUMPTIONS!$C$18*ASSUMPTIONS!$C$22)*(1+H1878)^5*(1+K1878)/(I1878-K1878)/(1+I1878)^5)-DCF!$C$12)/ASSUMPTIONS!$C$7</f>
        <v/>
      </c>
    </row>
    <row r="1879">
      <c r="H1879" s="83">
        <f>_xlfn.NORM.INV(RAND(),AVERAGE(ASSUMPTIONS!$C$38,ASSUMPTIONS!$C$39,ASSUMPTIONS!$C$40,ASSUMPTIONS!$C$41,ASSUMPTIONS!$C$42),ASSUMPTIONS!$C$68)</f>
        <v/>
      </c>
      <c r="I1879" s="83">
        <f>MAX(_xlfn.NORM.INV(RAND(),DCF!$C$11,ASSUMPTIONS!$C$69),K1879+0.005)</f>
        <v/>
      </c>
      <c r="J1879" s="83">
        <f>_xlfn.NORM.INV(RAND(),ASSUMPTIONS!$C$19,ASSUMPTIONS!$C$70)</f>
        <v/>
      </c>
      <c r="K1879" s="83">
        <f>_xlfn.NORM.INV(RAND(),ASSUMPTIONS!$C$43,ASSUMPTIONS!$C$71)</f>
        <v/>
      </c>
      <c r="L1879" s="84">
        <f>(((ASSUMPTIONS!$C$18*J1879*(1-ASSUMPTIONS!$C$20)+ASSUMPTIONS!$C$18*ASSUMPTIONS!$C$21-ASSUMPTIONS!$C$18*ASSUMPTIONS!$C$22)*(1+H1879)*(1-((1+H1879)/(1+I1879))^5)/(I1879-H1879))+((ASSUMPTIONS!$C$18*J1879*(1-ASSUMPTIONS!$C$20)+ASSUMPTIONS!$C$18*ASSUMPTIONS!$C$21-ASSUMPTIONS!$C$18*ASSUMPTIONS!$C$22)*(1+H1879)^5*(1+K1879)/(I1879-K1879)/(1+I1879)^5)-DCF!$C$12)/ASSUMPTIONS!$C$7</f>
        <v/>
      </c>
    </row>
    <row r="1880">
      <c r="H1880" s="83">
        <f>_xlfn.NORM.INV(RAND(),AVERAGE(ASSUMPTIONS!$C$38,ASSUMPTIONS!$C$39,ASSUMPTIONS!$C$40,ASSUMPTIONS!$C$41,ASSUMPTIONS!$C$42),ASSUMPTIONS!$C$68)</f>
        <v/>
      </c>
      <c r="I1880" s="83">
        <f>MAX(_xlfn.NORM.INV(RAND(),DCF!$C$11,ASSUMPTIONS!$C$69),K1880+0.005)</f>
        <v/>
      </c>
      <c r="J1880" s="83">
        <f>_xlfn.NORM.INV(RAND(),ASSUMPTIONS!$C$19,ASSUMPTIONS!$C$70)</f>
        <v/>
      </c>
      <c r="K1880" s="83">
        <f>_xlfn.NORM.INV(RAND(),ASSUMPTIONS!$C$43,ASSUMPTIONS!$C$71)</f>
        <v/>
      </c>
      <c r="L1880" s="84">
        <f>(((ASSUMPTIONS!$C$18*J1880*(1-ASSUMPTIONS!$C$20)+ASSUMPTIONS!$C$18*ASSUMPTIONS!$C$21-ASSUMPTIONS!$C$18*ASSUMPTIONS!$C$22)*(1+H1880)*(1-((1+H1880)/(1+I1880))^5)/(I1880-H1880))+((ASSUMPTIONS!$C$18*J1880*(1-ASSUMPTIONS!$C$20)+ASSUMPTIONS!$C$18*ASSUMPTIONS!$C$21-ASSUMPTIONS!$C$18*ASSUMPTIONS!$C$22)*(1+H1880)^5*(1+K1880)/(I1880-K1880)/(1+I1880)^5)-DCF!$C$12)/ASSUMPTIONS!$C$7</f>
        <v/>
      </c>
    </row>
    <row r="1881">
      <c r="H1881" s="83">
        <f>_xlfn.NORM.INV(RAND(),AVERAGE(ASSUMPTIONS!$C$38,ASSUMPTIONS!$C$39,ASSUMPTIONS!$C$40,ASSUMPTIONS!$C$41,ASSUMPTIONS!$C$42),ASSUMPTIONS!$C$68)</f>
        <v/>
      </c>
      <c r="I1881" s="83">
        <f>MAX(_xlfn.NORM.INV(RAND(),DCF!$C$11,ASSUMPTIONS!$C$69),K1881+0.005)</f>
        <v/>
      </c>
      <c r="J1881" s="83">
        <f>_xlfn.NORM.INV(RAND(),ASSUMPTIONS!$C$19,ASSUMPTIONS!$C$70)</f>
        <v/>
      </c>
      <c r="K1881" s="83">
        <f>_xlfn.NORM.INV(RAND(),ASSUMPTIONS!$C$43,ASSUMPTIONS!$C$71)</f>
        <v/>
      </c>
      <c r="L1881" s="84">
        <f>(((ASSUMPTIONS!$C$18*J1881*(1-ASSUMPTIONS!$C$20)+ASSUMPTIONS!$C$18*ASSUMPTIONS!$C$21-ASSUMPTIONS!$C$18*ASSUMPTIONS!$C$22)*(1+H1881)*(1-((1+H1881)/(1+I1881))^5)/(I1881-H1881))+((ASSUMPTIONS!$C$18*J1881*(1-ASSUMPTIONS!$C$20)+ASSUMPTIONS!$C$18*ASSUMPTIONS!$C$21-ASSUMPTIONS!$C$18*ASSUMPTIONS!$C$22)*(1+H1881)^5*(1+K1881)/(I1881-K1881)/(1+I1881)^5)-DCF!$C$12)/ASSUMPTIONS!$C$7</f>
        <v/>
      </c>
    </row>
    <row r="1882">
      <c r="H1882" s="83">
        <f>_xlfn.NORM.INV(RAND(),AVERAGE(ASSUMPTIONS!$C$38,ASSUMPTIONS!$C$39,ASSUMPTIONS!$C$40,ASSUMPTIONS!$C$41,ASSUMPTIONS!$C$42),ASSUMPTIONS!$C$68)</f>
        <v/>
      </c>
      <c r="I1882" s="83">
        <f>MAX(_xlfn.NORM.INV(RAND(),DCF!$C$11,ASSUMPTIONS!$C$69),K1882+0.005)</f>
        <v/>
      </c>
      <c r="J1882" s="83">
        <f>_xlfn.NORM.INV(RAND(),ASSUMPTIONS!$C$19,ASSUMPTIONS!$C$70)</f>
        <v/>
      </c>
      <c r="K1882" s="83">
        <f>_xlfn.NORM.INV(RAND(),ASSUMPTIONS!$C$43,ASSUMPTIONS!$C$71)</f>
        <v/>
      </c>
      <c r="L1882" s="84">
        <f>(((ASSUMPTIONS!$C$18*J1882*(1-ASSUMPTIONS!$C$20)+ASSUMPTIONS!$C$18*ASSUMPTIONS!$C$21-ASSUMPTIONS!$C$18*ASSUMPTIONS!$C$22)*(1+H1882)*(1-((1+H1882)/(1+I1882))^5)/(I1882-H1882))+((ASSUMPTIONS!$C$18*J1882*(1-ASSUMPTIONS!$C$20)+ASSUMPTIONS!$C$18*ASSUMPTIONS!$C$21-ASSUMPTIONS!$C$18*ASSUMPTIONS!$C$22)*(1+H1882)^5*(1+K1882)/(I1882-K1882)/(1+I1882)^5)-DCF!$C$12)/ASSUMPTIONS!$C$7</f>
        <v/>
      </c>
    </row>
    <row r="1883">
      <c r="H1883" s="83">
        <f>_xlfn.NORM.INV(RAND(),AVERAGE(ASSUMPTIONS!$C$38,ASSUMPTIONS!$C$39,ASSUMPTIONS!$C$40,ASSUMPTIONS!$C$41,ASSUMPTIONS!$C$42),ASSUMPTIONS!$C$68)</f>
        <v/>
      </c>
      <c r="I1883" s="83">
        <f>MAX(_xlfn.NORM.INV(RAND(),DCF!$C$11,ASSUMPTIONS!$C$69),K1883+0.005)</f>
        <v/>
      </c>
      <c r="J1883" s="83">
        <f>_xlfn.NORM.INV(RAND(),ASSUMPTIONS!$C$19,ASSUMPTIONS!$C$70)</f>
        <v/>
      </c>
      <c r="K1883" s="83">
        <f>_xlfn.NORM.INV(RAND(),ASSUMPTIONS!$C$43,ASSUMPTIONS!$C$71)</f>
        <v/>
      </c>
      <c r="L1883" s="84">
        <f>(((ASSUMPTIONS!$C$18*J1883*(1-ASSUMPTIONS!$C$20)+ASSUMPTIONS!$C$18*ASSUMPTIONS!$C$21-ASSUMPTIONS!$C$18*ASSUMPTIONS!$C$22)*(1+H1883)*(1-((1+H1883)/(1+I1883))^5)/(I1883-H1883))+((ASSUMPTIONS!$C$18*J1883*(1-ASSUMPTIONS!$C$20)+ASSUMPTIONS!$C$18*ASSUMPTIONS!$C$21-ASSUMPTIONS!$C$18*ASSUMPTIONS!$C$22)*(1+H1883)^5*(1+K1883)/(I1883-K1883)/(1+I1883)^5)-DCF!$C$12)/ASSUMPTIONS!$C$7</f>
        <v/>
      </c>
    </row>
    <row r="1884">
      <c r="H1884" s="83">
        <f>_xlfn.NORM.INV(RAND(),AVERAGE(ASSUMPTIONS!$C$38,ASSUMPTIONS!$C$39,ASSUMPTIONS!$C$40,ASSUMPTIONS!$C$41,ASSUMPTIONS!$C$42),ASSUMPTIONS!$C$68)</f>
        <v/>
      </c>
      <c r="I1884" s="83">
        <f>MAX(_xlfn.NORM.INV(RAND(),DCF!$C$11,ASSUMPTIONS!$C$69),K1884+0.005)</f>
        <v/>
      </c>
      <c r="J1884" s="83">
        <f>_xlfn.NORM.INV(RAND(),ASSUMPTIONS!$C$19,ASSUMPTIONS!$C$70)</f>
        <v/>
      </c>
      <c r="K1884" s="83">
        <f>_xlfn.NORM.INV(RAND(),ASSUMPTIONS!$C$43,ASSUMPTIONS!$C$71)</f>
        <v/>
      </c>
      <c r="L1884" s="84">
        <f>(((ASSUMPTIONS!$C$18*J1884*(1-ASSUMPTIONS!$C$20)+ASSUMPTIONS!$C$18*ASSUMPTIONS!$C$21-ASSUMPTIONS!$C$18*ASSUMPTIONS!$C$22)*(1+H1884)*(1-((1+H1884)/(1+I1884))^5)/(I1884-H1884))+((ASSUMPTIONS!$C$18*J1884*(1-ASSUMPTIONS!$C$20)+ASSUMPTIONS!$C$18*ASSUMPTIONS!$C$21-ASSUMPTIONS!$C$18*ASSUMPTIONS!$C$22)*(1+H1884)^5*(1+K1884)/(I1884-K1884)/(1+I1884)^5)-DCF!$C$12)/ASSUMPTIONS!$C$7</f>
        <v/>
      </c>
    </row>
    <row r="1885">
      <c r="H1885" s="83">
        <f>_xlfn.NORM.INV(RAND(),AVERAGE(ASSUMPTIONS!$C$38,ASSUMPTIONS!$C$39,ASSUMPTIONS!$C$40,ASSUMPTIONS!$C$41,ASSUMPTIONS!$C$42),ASSUMPTIONS!$C$68)</f>
        <v/>
      </c>
      <c r="I1885" s="83">
        <f>MAX(_xlfn.NORM.INV(RAND(),DCF!$C$11,ASSUMPTIONS!$C$69),K1885+0.005)</f>
        <v/>
      </c>
      <c r="J1885" s="83">
        <f>_xlfn.NORM.INV(RAND(),ASSUMPTIONS!$C$19,ASSUMPTIONS!$C$70)</f>
        <v/>
      </c>
      <c r="K1885" s="83">
        <f>_xlfn.NORM.INV(RAND(),ASSUMPTIONS!$C$43,ASSUMPTIONS!$C$71)</f>
        <v/>
      </c>
      <c r="L1885" s="84">
        <f>(((ASSUMPTIONS!$C$18*J1885*(1-ASSUMPTIONS!$C$20)+ASSUMPTIONS!$C$18*ASSUMPTIONS!$C$21-ASSUMPTIONS!$C$18*ASSUMPTIONS!$C$22)*(1+H1885)*(1-((1+H1885)/(1+I1885))^5)/(I1885-H1885))+((ASSUMPTIONS!$C$18*J1885*(1-ASSUMPTIONS!$C$20)+ASSUMPTIONS!$C$18*ASSUMPTIONS!$C$21-ASSUMPTIONS!$C$18*ASSUMPTIONS!$C$22)*(1+H1885)^5*(1+K1885)/(I1885-K1885)/(1+I1885)^5)-DCF!$C$12)/ASSUMPTIONS!$C$7</f>
        <v/>
      </c>
    </row>
    <row r="1886">
      <c r="H1886" s="83">
        <f>_xlfn.NORM.INV(RAND(),AVERAGE(ASSUMPTIONS!$C$38,ASSUMPTIONS!$C$39,ASSUMPTIONS!$C$40,ASSUMPTIONS!$C$41,ASSUMPTIONS!$C$42),ASSUMPTIONS!$C$68)</f>
        <v/>
      </c>
      <c r="I1886" s="83">
        <f>MAX(_xlfn.NORM.INV(RAND(),DCF!$C$11,ASSUMPTIONS!$C$69),K1886+0.005)</f>
        <v/>
      </c>
      <c r="J1886" s="83">
        <f>_xlfn.NORM.INV(RAND(),ASSUMPTIONS!$C$19,ASSUMPTIONS!$C$70)</f>
        <v/>
      </c>
      <c r="K1886" s="83">
        <f>_xlfn.NORM.INV(RAND(),ASSUMPTIONS!$C$43,ASSUMPTIONS!$C$71)</f>
        <v/>
      </c>
      <c r="L1886" s="84">
        <f>(((ASSUMPTIONS!$C$18*J1886*(1-ASSUMPTIONS!$C$20)+ASSUMPTIONS!$C$18*ASSUMPTIONS!$C$21-ASSUMPTIONS!$C$18*ASSUMPTIONS!$C$22)*(1+H1886)*(1-((1+H1886)/(1+I1886))^5)/(I1886-H1886))+((ASSUMPTIONS!$C$18*J1886*(1-ASSUMPTIONS!$C$20)+ASSUMPTIONS!$C$18*ASSUMPTIONS!$C$21-ASSUMPTIONS!$C$18*ASSUMPTIONS!$C$22)*(1+H1886)^5*(1+K1886)/(I1886-K1886)/(1+I1886)^5)-DCF!$C$12)/ASSUMPTIONS!$C$7</f>
        <v/>
      </c>
    </row>
    <row r="1887">
      <c r="H1887" s="83">
        <f>_xlfn.NORM.INV(RAND(),AVERAGE(ASSUMPTIONS!$C$38,ASSUMPTIONS!$C$39,ASSUMPTIONS!$C$40,ASSUMPTIONS!$C$41,ASSUMPTIONS!$C$42),ASSUMPTIONS!$C$68)</f>
        <v/>
      </c>
      <c r="I1887" s="83">
        <f>MAX(_xlfn.NORM.INV(RAND(),DCF!$C$11,ASSUMPTIONS!$C$69),K1887+0.005)</f>
        <v/>
      </c>
      <c r="J1887" s="83">
        <f>_xlfn.NORM.INV(RAND(),ASSUMPTIONS!$C$19,ASSUMPTIONS!$C$70)</f>
        <v/>
      </c>
      <c r="K1887" s="83">
        <f>_xlfn.NORM.INV(RAND(),ASSUMPTIONS!$C$43,ASSUMPTIONS!$C$71)</f>
        <v/>
      </c>
      <c r="L1887" s="84">
        <f>(((ASSUMPTIONS!$C$18*J1887*(1-ASSUMPTIONS!$C$20)+ASSUMPTIONS!$C$18*ASSUMPTIONS!$C$21-ASSUMPTIONS!$C$18*ASSUMPTIONS!$C$22)*(1+H1887)*(1-((1+H1887)/(1+I1887))^5)/(I1887-H1887))+((ASSUMPTIONS!$C$18*J1887*(1-ASSUMPTIONS!$C$20)+ASSUMPTIONS!$C$18*ASSUMPTIONS!$C$21-ASSUMPTIONS!$C$18*ASSUMPTIONS!$C$22)*(1+H1887)^5*(1+K1887)/(I1887-K1887)/(1+I1887)^5)-DCF!$C$12)/ASSUMPTIONS!$C$7</f>
        <v/>
      </c>
    </row>
    <row r="1888">
      <c r="H1888" s="83">
        <f>_xlfn.NORM.INV(RAND(),AVERAGE(ASSUMPTIONS!$C$38,ASSUMPTIONS!$C$39,ASSUMPTIONS!$C$40,ASSUMPTIONS!$C$41,ASSUMPTIONS!$C$42),ASSUMPTIONS!$C$68)</f>
        <v/>
      </c>
      <c r="I1888" s="83">
        <f>MAX(_xlfn.NORM.INV(RAND(),DCF!$C$11,ASSUMPTIONS!$C$69),K1888+0.005)</f>
        <v/>
      </c>
      <c r="J1888" s="83">
        <f>_xlfn.NORM.INV(RAND(),ASSUMPTIONS!$C$19,ASSUMPTIONS!$C$70)</f>
        <v/>
      </c>
      <c r="K1888" s="83">
        <f>_xlfn.NORM.INV(RAND(),ASSUMPTIONS!$C$43,ASSUMPTIONS!$C$71)</f>
        <v/>
      </c>
      <c r="L1888" s="84">
        <f>(((ASSUMPTIONS!$C$18*J1888*(1-ASSUMPTIONS!$C$20)+ASSUMPTIONS!$C$18*ASSUMPTIONS!$C$21-ASSUMPTIONS!$C$18*ASSUMPTIONS!$C$22)*(1+H1888)*(1-((1+H1888)/(1+I1888))^5)/(I1888-H1888))+((ASSUMPTIONS!$C$18*J1888*(1-ASSUMPTIONS!$C$20)+ASSUMPTIONS!$C$18*ASSUMPTIONS!$C$21-ASSUMPTIONS!$C$18*ASSUMPTIONS!$C$22)*(1+H1888)^5*(1+K1888)/(I1888-K1888)/(1+I1888)^5)-DCF!$C$12)/ASSUMPTIONS!$C$7</f>
        <v/>
      </c>
    </row>
    <row r="1889">
      <c r="H1889" s="83">
        <f>_xlfn.NORM.INV(RAND(),AVERAGE(ASSUMPTIONS!$C$38,ASSUMPTIONS!$C$39,ASSUMPTIONS!$C$40,ASSUMPTIONS!$C$41,ASSUMPTIONS!$C$42),ASSUMPTIONS!$C$68)</f>
        <v/>
      </c>
      <c r="I1889" s="83">
        <f>MAX(_xlfn.NORM.INV(RAND(),DCF!$C$11,ASSUMPTIONS!$C$69),K1889+0.005)</f>
        <v/>
      </c>
      <c r="J1889" s="83">
        <f>_xlfn.NORM.INV(RAND(),ASSUMPTIONS!$C$19,ASSUMPTIONS!$C$70)</f>
        <v/>
      </c>
      <c r="K1889" s="83">
        <f>_xlfn.NORM.INV(RAND(),ASSUMPTIONS!$C$43,ASSUMPTIONS!$C$71)</f>
        <v/>
      </c>
      <c r="L1889" s="84">
        <f>(((ASSUMPTIONS!$C$18*J1889*(1-ASSUMPTIONS!$C$20)+ASSUMPTIONS!$C$18*ASSUMPTIONS!$C$21-ASSUMPTIONS!$C$18*ASSUMPTIONS!$C$22)*(1+H1889)*(1-((1+H1889)/(1+I1889))^5)/(I1889-H1889))+((ASSUMPTIONS!$C$18*J1889*(1-ASSUMPTIONS!$C$20)+ASSUMPTIONS!$C$18*ASSUMPTIONS!$C$21-ASSUMPTIONS!$C$18*ASSUMPTIONS!$C$22)*(1+H1889)^5*(1+K1889)/(I1889-K1889)/(1+I1889)^5)-DCF!$C$12)/ASSUMPTIONS!$C$7</f>
        <v/>
      </c>
    </row>
    <row r="1890">
      <c r="H1890" s="83">
        <f>_xlfn.NORM.INV(RAND(),AVERAGE(ASSUMPTIONS!$C$38,ASSUMPTIONS!$C$39,ASSUMPTIONS!$C$40,ASSUMPTIONS!$C$41,ASSUMPTIONS!$C$42),ASSUMPTIONS!$C$68)</f>
        <v/>
      </c>
      <c r="I1890" s="83">
        <f>MAX(_xlfn.NORM.INV(RAND(),DCF!$C$11,ASSUMPTIONS!$C$69),K1890+0.005)</f>
        <v/>
      </c>
      <c r="J1890" s="83">
        <f>_xlfn.NORM.INV(RAND(),ASSUMPTIONS!$C$19,ASSUMPTIONS!$C$70)</f>
        <v/>
      </c>
      <c r="K1890" s="83">
        <f>_xlfn.NORM.INV(RAND(),ASSUMPTIONS!$C$43,ASSUMPTIONS!$C$71)</f>
        <v/>
      </c>
      <c r="L1890" s="84">
        <f>(((ASSUMPTIONS!$C$18*J1890*(1-ASSUMPTIONS!$C$20)+ASSUMPTIONS!$C$18*ASSUMPTIONS!$C$21-ASSUMPTIONS!$C$18*ASSUMPTIONS!$C$22)*(1+H1890)*(1-((1+H1890)/(1+I1890))^5)/(I1890-H1890))+((ASSUMPTIONS!$C$18*J1890*(1-ASSUMPTIONS!$C$20)+ASSUMPTIONS!$C$18*ASSUMPTIONS!$C$21-ASSUMPTIONS!$C$18*ASSUMPTIONS!$C$22)*(1+H1890)^5*(1+K1890)/(I1890-K1890)/(1+I1890)^5)-DCF!$C$12)/ASSUMPTIONS!$C$7</f>
        <v/>
      </c>
    </row>
    <row r="1891">
      <c r="H1891" s="83">
        <f>_xlfn.NORM.INV(RAND(),AVERAGE(ASSUMPTIONS!$C$38,ASSUMPTIONS!$C$39,ASSUMPTIONS!$C$40,ASSUMPTIONS!$C$41,ASSUMPTIONS!$C$42),ASSUMPTIONS!$C$68)</f>
        <v/>
      </c>
      <c r="I1891" s="83">
        <f>MAX(_xlfn.NORM.INV(RAND(),DCF!$C$11,ASSUMPTIONS!$C$69),K1891+0.005)</f>
        <v/>
      </c>
      <c r="J1891" s="83">
        <f>_xlfn.NORM.INV(RAND(),ASSUMPTIONS!$C$19,ASSUMPTIONS!$C$70)</f>
        <v/>
      </c>
      <c r="K1891" s="83">
        <f>_xlfn.NORM.INV(RAND(),ASSUMPTIONS!$C$43,ASSUMPTIONS!$C$71)</f>
        <v/>
      </c>
      <c r="L1891" s="84">
        <f>(((ASSUMPTIONS!$C$18*J1891*(1-ASSUMPTIONS!$C$20)+ASSUMPTIONS!$C$18*ASSUMPTIONS!$C$21-ASSUMPTIONS!$C$18*ASSUMPTIONS!$C$22)*(1+H1891)*(1-((1+H1891)/(1+I1891))^5)/(I1891-H1891))+((ASSUMPTIONS!$C$18*J1891*(1-ASSUMPTIONS!$C$20)+ASSUMPTIONS!$C$18*ASSUMPTIONS!$C$21-ASSUMPTIONS!$C$18*ASSUMPTIONS!$C$22)*(1+H1891)^5*(1+K1891)/(I1891-K1891)/(1+I1891)^5)-DCF!$C$12)/ASSUMPTIONS!$C$7</f>
        <v/>
      </c>
    </row>
    <row r="1892">
      <c r="H1892" s="83">
        <f>_xlfn.NORM.INV(RAND(),AVERAGE(ASSUMPTIONS!$C$38,ASSUMPTIONS!$C$39,ASSUMPTIONS!$C$40,ASSUMPTIONS!$C$41,ASSUMPTIONS!$C$42),ASSUMPTIONS!$C$68)</f>
        <v/>
      </c>
      <c r="I1892" s="83">
        <f>MAX(_xlfn.NORM.INV(RAND(),DCF!$C$11,ASSUMPTIONS!$C$69),K1892+0.005)</f>
        <v/>
      </c>
      <c r="J1892" s="83">
        <f>_xlfn.NORM.INV(RAND(),ASSUMPTIONS!$C$19,ASSUMPTIONS!$C$70)</f>
        <v/>
      </c>
      <c r="K1892" s="83">
        <f>_xlfn.NORM.INV(RAND(),ASSUMPTIONS!$C$43,ASSUMPTIONS!$C$71)</f>
        <v/>
      </c>
      <c r="L1892" s="84">
        <f>(((ASSUMPTIONS!$C$18*J1892*(1-ASSUMPTIONS!$C$20)+ASSUMPTIONS!$C$18*ASSUMPTIONS!$C$21-ASSUMPTIONS!$C$18*ASSUMPTIONS!$C$22)*(1+H1892)*(1-((1+H1892)/(1+I1892))^5)/(I1892-H1892))+((ASSUMPTIONS!$C$18*J1892*(1-ASSUMPTIONS!$C$20)+ASSUMPTIONS!$C$18*ASSUMPTIONS!$C$21-ASSUMPTIONS!$C$18*ASSUMPTIONS!$C$22)*(1+H1892)^5*(1+K1892)/(I1892-K1892)/(1+I1892)^5)-DCF!$C$12)/ASSUMPTIONS!$C$7</f>
        <v/>
      </c>
    </row>
    <row r="1893">
      <c r="H1893" s="83">
        <f>_xlfn.NORM.INV(RAND(),AVERAGE(ASSUMPTIONS!$C$38,ASSUMPTIONS!$C$39,ASSUMPTIONS!$C$40,ASSUMPTIONS!$C$41,ASSUMPTIONS!$C$42),ASSUMPTIONS!$C$68)</f>
        <v/>
      </c>
      <c r="I1893" s="83">
        <f>MAX(_xlfn.NORM.INV(RAND(),DCF!$C$11,ASSUMPTIONS!$C$69),K1893+0.005)</f>
        <v/>
      </c>
      <c r="J1893" s="83">
        <f>_xlfn.NORM.INV(RAND(),ASSUMPTIONS!$C$19,ASSUMPTIONS!$C$70)</f>
        <v/>
      </c>
      <c r="K1893" s="83">
        <f>_xlfn.NORM.INV(RAND(),ASSUMPTIONS!$C$43,ASSUMPTIONS!$C$71)</f>
        <v/>
      </c>
      <c r="L1893" s="84">
        <f>(((ASSUMPTIONS!$C$18*J1893*(1-ASSUMPTIONS!$C$20)+ASSUMPTIONS!$C$18*ASSUMPTIONS!$C$21-ASSUMPTIONS!$C$18*ASSUMPTIONS!$C$22)*(1+H1893)*(1-((1+H1893)/(1+I1893))^5)/(I1893-H1893))+((ASSUMPTIONS!$C$18*J1893*(1-ASSUMPTIONS!$C$20)+ASSUMPTIONS!$C$18*ASSUMPTIONS!$C$21-ASSUMPTIONS!$C$18*ASSUMPTIONS!$C$22)*(1+H1893)^5*(1+K1893)/(I1893-K1893)/(1+I1893)^5)-DCF!$C$12)/ASSUMPTIONS!$C$7</f>
        <v/>
      </c>
    </row>
    <row r="1894">
      <c r="H1894" s="83">
        <f>_xlfn.NORM.INV(RAND(),AVERAGE(ASSUMPTIONS!$C$38,ASSUMPTIONS!$C$39,ASSUMPTIONS!$C$40,ASSUMPTIONS!$C$41,ASSUMPTIONS!$C$42),ASSUMPTIONS!$C$68)</f>
        <v/>
      </c>
      <c r="I1894" s="83">
        <f>MAX(_xlfn.NORM.INV(RAND(),DCF!$C$11,ASSUMPTIONS!$C$69),K1894+0.005)</f>
        <v/>
      </c>
      <c r="J1894" s="83">
        <f>_xlfn.NORM.INV(RAND(),ASSUMPTIONS!$C$19,ASSUMPTIONS!$C$70)</f>
        <v/>
      </c>
      <c r="K1894" s="83">
        <f>_xlfn.NORM.INV(RAND(),ASSUMPTIONS!$C$43,ASSUMPTIONS!$C$71)</f>
        <v/>
      </c>
      <c r="L1894" s="84">
        <f>(((ASSUMPTIONS!$C$18*J1894*(1-ASSUMPTIONS!$C$20)+ASSUMPTIONS!$C$18*ASSUMPTIONS!$C$21-ASSUMPTIONS!$C$18*ASSUMPTIONS!$C$22)*(1+H1894)*(1-((1+H1894)/(1+I1894))^5)/(I1894-H1894))+((ASSUMPTIONS!$C$18*J1894*(1-ASSUMPTIONS!$C$20)+ASSUMPTIONS!$C$18*ASSUMPTIONS!$C$21-ASSUMPTIONS!$C$18*ASSUMPTIONS!$C$22)*(1+H1894)^5*(1+K1894)/(I1894-K1894)/(1+I1894)^5)-DCF!$C$12)/ASSUMPTIONS!$C$7</f>
        <v/>
      </c>
    </row>
    <row r="1895">
      <c r="H1895" s="83">
        <f>_xlfn.NORM.INV(RAND(),AVERAGE(ASSUMPTIONS!$C$38,ASSUMPTIONS!$C$39,ASSUMPTIONS!$C$40,ASSUMPTIONS!$C$41,ASSUMPTIONS!$C$42),ASSUMPTIONS!$C$68)</f>
        <v/>
      </c>
      <c r="I1895" s="83">
        <f>MAX(_xlfn.NORM.INV(RAND(),DCF!$C$11,ASSUMPTIONS!$C$69),K1895+0.005)</f>
        <v/>
      </c>
      <c r="J1895" s="83">
        <f>_xlfn.NORM.INV(RAND(),ASSUMPTIONS!$C$19,ASSUMPTIONS!$C$70)</f>
        <v/>
      </c>
      <c r="K1895" s="83">
        <f>_xlfn.NORM.INV(RAND(),ASSUMPTIONS!$C$43,ASSUMPTIONS!$C$71)</f>
        <v/>
      </c>
      <c r="L1895" s="84">
        <f>(((ASSUMPTIONS!$C$18*J1895*(1-ASSUMPTIONS!$C$20)+ASSUMPTIONS!$C$18*ASSUMPTIONS!$C$21-ASSUMPTIONS!$C$18*ASSUMPTIONS!$C$22)*(1+H1895)*(1-((1+H1895)/(1+I1895))^5)/(I1895-H1895))+((ASSUMPTIONS!$C$18*J1895*(1-ASSUMPTIONS!$C$20)+ASSUMPTIONS!$C$18*ASSUMPTIONS!$C$21-ASSUMPTIONS!$C$18*ASSUMPTIONS!$C$22)*(1+H1895)^5*(1+K1895)/(I1895-K1895)/(1+I1895)^5)-DCF!$C$12)/ASSUMPTIONS!$C$7</f>
        <v/>
      </c>
    </row>
    <row r="1896">
      <c r="H1896" s="83">
        <f>_xlfn.NORM.INV(RAND(),AVERAGE(ASSUMPTIONS!$C$38,ASSUMPTIONS!$C$39,ASSUMPTIONS!$C$40,ASSUMPTIONS!$C$41,ASSUMPTIONS!$C$42),ASSUMPTIONS!$C$68)</f>
        <v/>
      </c>
      <c r="I1896" s="83">
        <f>MAX(_xlfn.NORM.INV(RAND(),DCF!$C$11,ASSUMPTIONS!$C$69),K1896+0.005)</f>
        <v/>
      </c>
      <c r="J1896" s="83">
        <f>_xlfn.NORM.INV(RAND(),ASSUMPTIONS!$C$19,ASSUMPTIONS!$C$70)</f>
        <v/>
      </c>
      <c r="K1896" s="83">
        <f>_xlfn.NORM.INV(RAND(),ASSUMPTIONS!$C$43,ASSUMPTIONS!$C$71)</f>
        <v/>
      </c>
      <c r="L1896" s="84">
        <f>(((ASSUMPTIONS!$C$18*J1896*(1-ASSUMPTIONS!$C$20)+ASSUMPTIONS!$C$18*ASSUMPTIONS!$C$21-ASSUMPTIONS!$C$18*ASSUMPTIONS!$C$22)*(1+H1896)*(1-((1+H1896)/(1+I1896))^5)/(I1896-H1896))+((ASSUMPTIONS!$C$18*J1896*(1-ASSUMPTIONS!$C$20)+ASSUMPTIONS!$C$18*ASSUMPTIONS!$C$21-ASSUMPTIONS!$C$18*ASSUMPTIONS!$C$22)*(1+H1896)^5*(1+K1896)/(I1896-K1896)/(1+I1896)^5)-DCF!$C$12)/ASSUMPTIONS!$C$7</f>
        <v/>
      </c>
    </row>
    <row r="1897">
      <c r="H1897" s="83">
        <f>_xlfn.NORM.INV(RAND(),AVERAGE(ASSUMPTIONS!$C$38,ASSUMPTIONS!$C$39,ASSUMPTIONS!$C$40,ASSUMPTIONS!$C$41,ASSUMPTIONS!$C$42),ASSUMPTIONS!$C$68)</f>
        <v/>
      </c>
      <c r="I1897" s="83">
        <f>MAX(_xlfn.NORM.INV(RAND(),DCF!$C$11,ASSUMPTIONS!$C$69),K1897+0.005)</f>
        <v/>
      </c>
      <c r="J1897" s="83">
        <f>_xlfn.NORM.INV(RAND(),ASSUMPTIONS!$C$19,ASSUMPTIONS!$C$70)</f>
        <v/>
      </c>
      <c r="K1897" s="83">
        <f>_xlfn.NORM.INV(RAND(),ASSUMPTIONS!$C$43,ASSUMPTIONS!$C$71)</f>
        <v/>
      </c>
      <c r="L1897" s="84">
        <f>(((ASSUMPTIONS!$C$18*J1897*(1-ASSUMPTIONS!$C$20)+ASSUMPTIONS!$C$18*ASSUMPTIONS!$C$21-ASSUMPTIONS!$C$18*ASSUMPTIONS!$C$22)*(1+H1897)*(1-((1+H1897)/(1+I1897))^5)/(I1897-H1897))+((ASSUMPTIONS!$C$18*J1897*(1-ASSUMPTIONS!$C$20)+ASSUMPTIONS!$C$18*ASSUMPTIONS!$C$21-ASSUMPTIONS!$C$18*ASSUMPTIONS!$C$22)*(1+H1897)^5*(1+K1897)/(I1897-K1897)/(1+I1897)^5)-DCF!$C$12)/ASSUMPTIONS!$C$7</f>
        <v/>
      </c>
    </row>
    <row r="1898">
      <c r="H1898" s="83">
        <f>_xlfn.NORM.INV(RAND(),AVERAGE(ASSUMPTIONS!$C$38,ASSUMPTIONS!$C$39,ASSUMPTIONS!$C$40,ASSUMPTIONS!$C$41,ASSUMPTIONS!$C$42),ASSUMPTIONS!$C$68)</f>
        <v/>
      </c>
      <c r="I1898" s="83">
        <f>MAX(_xlfn.NORM.INV(RAND(),DCF!$C$11,ASSUMPTIONS!$C$69),K1898+0.005)</f>
        <v/>
      </c>
      <c r="J1898" s="83">
        <f>_xlfn.NORM.INV(RAND(),ASSUMPTIONS!$C$19,ASSUMPTIONS!$C$70)</f>
        <v/>
      </c>
      <c r="K1898" s="83">
        <f>_xlfn.NORM.INV(RAND(),ASSUMPTIONS!$C$43,ASSUMPTIONS!$C$71)</f>
        <v/>
      </c>
      <c r="L1898" s="84">
        <f>(((ASSUMPTIONS!$C$18*J1898*(1-ASSUMPTIONS!$C$20)+ASSUMPTIONS!$C$18*ASSUMPTIONS!$C$21-ASSUMPTIONS!$C$18*ASSUMPTIONS!$C$22)*(1+H1898)*(1-((1+H1898)/(1+I1898))^5)/(I1898-H1898))+((ASSUMPTIONS!$C$18*J1898*(1-ASSUMPTIONS!$C$20)+ASSUMPTIONS!$C$18*ASSUMPTIONS!$C$21-ASSUMPTIONS!$C$18*ASSUMPTIONS!$C$22)*(1+H1898)^5*(1+K1898)/(I1898-K1898)/(1+I1898)^5)-DCF!$C$12)/ASSUMPTIONS!$C$7</f>
        <v/>
      </c>
    </row>
    <row r="1899">
      <c r="H1899" s="83">
        <f>_xlfn.NORM.INV(RAND(),AVERAGE(ASSUMPTIONS!$C$38,ASSUMPTIONS!$C$39,ASSUMPTIONS!$C$40,ASSUMPTIONS!$C$41,ASSUMPTIONS!$C$42),ASSUMPTIONS!$C$68)</f>
        <v/>
      </c>
      <c r="I1899" s="83">
        <f>MAX(_xlfn.NORM.INV(RAND(),DCF!$C$11,ASSUMPTIONS!$C$69),K1899+0.005)</f>
        <v/>
      </c>
      <c r="J1899" s="83">
        <f>_xlfn.NORM.INV(RAND(),ASSUMPTIONS!$C$19,ASSUMPTIONS!$C$70)</f>
        <v/>
      </c>
      <c r="K1899" s="83">
        <f>_xlfn.NORM.INV(RAND(),ASSUMPTIONS!$C$43,ASSUMPTIONS!$C$71)</f>
        <v/>
      </c>
      <c r="L1899" s="84">
        <f>(((ASSUMPTIONS!$C$18*J1899*(1-ASSUMPTIONS!$C$20)+ASSUMPTIONS!$C$18*ASSUMPTIONS!$C$21-ASSUMPTIONS!$C$18*ASSUMPTIONS!$C$22)*(1+H1899)*(1-((1+H1899)/(1+I1899))^5)/(I1899-H1899))+((ASSUMPTIONS!$C$18*J1899*(1-ASSUMPTIONS!$C$20)+ASSUMPTIONS!$C$18*ASSUMPTIONS!$C$21-ASSUMPTIONS!$C$18*ASSUMPTIONS!$C$22)*(1+H1899)^5*(1+K1899)/(I1899-K1899)/(1+I1899)^5)-DCF!$C$12)/ASSUMPTIONS!$C$7</f>
        <v/>
      </c>
    </row>
    <row r="1900">
      <c r="H1900" s="83">
        <f>_xlfn.NORM.INV(RAND(),AVERAGE(ASSUMPTIONS!$C$38,ASSUMPTIONS!$C$39,ASSUMPTIONS!$C$40,ASSUMPTIONS!$C$41,ASSUMPTIONS!$C$42),ASSUMPTIONS!$C$68)</f>
        <v/>
      </c>
      <c r="I1900" s="83">
        <f>MAX(_xlfn.NORM.INV(RAND(),DCF!$C$11,ASSUMPTIONS!$C$69),K1900+0.005)</f>
        <v/>
      </c>
      <c r="J1900" s="83">
        <f>_xlfn.NORM.INV(RAND(),ASSUMPTIONS!$C$19,ASSUMPTIONS!$C$70)</f>
        <v/>
      </c>
      <c r="K1900" s="83">
        <f>_xlfn.NORM.INV(RAND(),ASSUMPTIONS!$C$43,ASSUMPTIONS!$C$71)</f>
        <v/>
      </c>
      <c r="L1900" s="84">
        <f>(((ASSUMPTIONS!$C$18*J1900*(1-ASSUMPTIONS!$C$20)+ASSUMPTIONS!$C$18*ASSUMPTIONS!$C$21-ASSUMPTIONS!$C$18*ASSUMPTIONS!$C$22)*(1+H1900)*(1-((1+H1900)/(1+I1900))^5)/(I1900-H1900))+((ASSUMPTIONS!$C$18*J1900*(1-ASSUMPTIONS!$C$20)+ASSUMPTIONS!$C$18*ASSUMPTIONS!$C$21-ASSUMPTIONS!$C$18*ASSUMPTIONS!$C$22)*(1+H1900)^5*(1+K1900)/(I1900-K1900)/(1+I1900)^5)-DCF!$C$12)/ASSUMPTIONS!$C$7</f>
        <v/>
      </c>
    </row>
    <row r="1901">
      <c r="H1901" s="83">
        <f>_xlfn.NORM.INV(RAND(),AVERAGE(ASSUMPTIONS!$C$38,ASSUMPTIONS!$C$39,ASSUMPTIONS!$C$40,ASSUMPTIONS!$C$41,ASSUMPTIONS!$C$42),ASSUMPTIONS!$C$68)</f>
        <v/>
      </c>
      <c r="I1901" s="83">
        <f>MAX(_xlfn.NORM.INV(RAND(),DCF!$C$11,ASSUMPTIONS!$C$69),K1901+0.005)</f>
        <v/>
      </c>
      <c r="J1901" s="83">
        <f>_xlfn.NORM.INV(RAND(),ASSUMPTIONS!$C$19,ASSUMPTIONS!$C$70)</f>
        <v/>
      </c>
      <c r="K1901" s="83">
        <f>_xlfn.NORM.INV(RAND(),ASSUMPTIONS!$C$43,ASSUMPTIONS!$C$71)</f>
        <v/>
      </c>
      <c r="L1901" s="84">
        <f>(((ASSUMPTIONS!$C$18*J1901*(1-ASSUMPTIONS!$C$20)+ASSUMPTIONS!$C$18*ASSUMPTIONS!$C$21-ASSUMPTIONS!$C$18*ASSUMPTIONS!$C$22)*(1+H1901)*(1-((1+H1901)/(1+I1901))^5)/(I1901-H1901))+((ASSUMPTIONS!$C$18*J1901*(1-ASSUMPTIONS!$C$20)+ASSUMPTIONS!$C$18*ASSUMPTIONS!$C$21-ASSUMPTIONS!$C$18*ASSUMPTIONS!$C$22)*(1+H1901)^5*(1+K1901)/(I1901-K1901)/(1+I1901)^5)-DCF!$C$12)/ASSUMPTIONS!$C$7</f>
        <v/>
      </c>
    </row>
    <row r="1902">
      <c r="H1902" s="83">
        <f>_xlfn.NORM.INV(RAND(),AVERAGE(ASSUMPTIONS!$C$38,ASSUMPTIONS!$C$39,ASSUMPTIONS!$C$40,ASSUMPTIONS!$C$41,ASSUMPTIONS!$C$42),ASSUMPTIONS!$C$68)</f>
        <v/>
      </c>
      <c r="I1902" s="83">
        <f>MAX(_xlfn.NORM.INV(RAND(),DCF!$C$11,ASSUMPTIONS!$C$69),K1902+0.005)</f>
        <v/>
      </c>
      <c r="J1902" s="83">
        <f>_xlfn.NORM.INV(RAND(),ASSUMPTIONS!$C$19,ASSUMPTIONS!$C$70)</f>
        <v/>
      </c>
      <c r="K1902" s="83">
        <f>_xlfn.NORM.INV(RAND(),ASSUMPTIONS!$C$43,ASSUMPTIONS!$C$71)</f>
        <v/>
      </c>
      <c r="L1902" s="84">
        <f>(((ASSUMPTIONS!$C$18*J1902*(1-ASSUMPTIONS!$C$20)+ASSUMPTIONS!$C$18*ASSUMPTIONS!$C$21-ASSUMPTIONS!$C$18*ASSUMPTIONS!$C$22)*(1+H1902)*(1-((1+H1902)/(1+I1902))^5)/(I1902-H1902))+((ASSUMPTIONS!$C$18*J1902*(1-ASSUMPTIONS!$C$20)+ASSUMPTIONS!$C$18*ASSUMPTIONS!$C$21-ASSUMPTIONS!$C$18*ASSUMPTIONS!$C$22)*(1+H1902)^5*(1+K1902)/(I1902-K1902)/(1+I1902)^5)-DCF!$C$12)/ASSUMPTIONS!$C$7</f>
        <v/>
      </c>
    </row>
    <row r="1903">
      <c r="H1903" s="83">
        <f>_xlfn.NORM.INV(RAND(),AVERAGE(ASSUMPTIONS!$C$38,ASSUMPTIONS!$C$39,ASSUMPTIONS!$C$40,ASSUMPTIONS!$C$41,ASSUMPTIONS!$C$42),ASSUMPTIONS!$C$68)</f>
        <v/>
      </c>
      <c r="I1903" s="83">
        <f>MAX(_xlfn.NORM.INV(RAND(),DCF!$C$11,ASSUMPTIONS!$C$69),K1903+0.005)</f>
        <v/>
      </c>
      <c r="J1903" s="83">
        <f>_xlfn.NORM.INV(RAND(),ASSUMPTIONS!$C$19,ASSUMPTIONS!$C$70)</f>
        <v/>
      </c>
      <c r="K1903" s="83">
        <f>_xlfn.NORM.INV(RAND(),ASSUMPTIONS!$C$43,ASSUMPTIONS!$C$71)</f>
        <v/>
      </c>
      <c r="L1903" s="84">
        <f>(((ASSUMPTIONS!$C$18*J1903*(1-ASSUMPTIONS!$C$20)+ASSUMPTIONS!$C$18*ASSUMPTIONS!$C$21-ASSUMPTIONS!$C$18*ASSUMPTIONS!$C$22)*(1+H1903)*(1-((1+H1903)/(1+I1903))^5)/(I1903-H1903))+((ASSUMPTIONS!$C$18*J1903*(1-ASSUMPTIONS!$C$20)+ASSUMPTIONS!$C$18*ASSUMPTIONS!$C$21-ASSUMPTIONS!$C$18*ASSUMPTIONS!$C$22)*(1+H1903)^5*(1+K1903)/(I1903-K1903)/(1+I1903)^5)-DCF!$C$12)/ASSUMPTIONS!$C$7</f>
        <v/>
      </c>
    </row>
    <row r="1904">
      <c r="H1904" s="83">
        <f>_xlfn.NORM.INV(RAND(),AVERAGE(ASSUMPTIONS!$C$38,ASSUMPTIONS!$C$39,ASSUMPTIONS!$C$40,ASSUMPTIONS!$C$41,ASSUMPTIONS!$C$42),ASSUMPTIONS!$C$68)</f>
        <v/>
      </c>
      <c r="I1904" s="83">
        <f>MAX(_xlfn.NORM.INV(RAND(),DCF!$C$11,ASSUMPTIONS!$C$69),K1904+0.005)</f>
        <v/>
      </c>
      <c r="J1904" s="83">
        <f>_xlfn.NORM.INV(RAND(),ASSUMPTIONS!$C$19,ASSUMPTIONS!$C$70)</f>
        <v/>
      </c>
      <c r="K1904" s="83">
        <f>_xlfn.NORM.INV(RAND(),ASSUMPTIONS!$C$43,ASSUMPTIONS!$C$71)</f>
        <v/>
      </c>
      <c r="L1904" s="84">
        <f>(((ASSUMPTIONS!$C$18*J1904*(1-ASSUMPTIONS!$C$20)+ASSUMPTIONS!$C$18*ASSUMPTIONS!$C$21-ASSUMPTIONS!$C$18*ASSUMPTIONS!$C$22)*(1+H1904)*(1-((1+H1904)/(1+I1904))^5)/(I1904-H1904))+((ASSUMPTIONS!$C$18*J1904*(1-ASSUMPTIONS!$C$20)+ASSUMPTIONS!$C$18*ASSUMPTIONS!$C$21-ASSUMPTIONS!$C$18*ASSUMPTIONS!$C$22)*(1+H1904)^5*(1+K1904)/(I1904-K1904)/(1+I1904)^5)-DCF!$C$12)/ASSUMPTIONS!$C$7</f>
        <v/>
      </c>
    </row>
    <row r="1905">
      <c r="H1905" s="83">
        <f>_xlfn.NORM.INV(RAND(),AVERAGE(ASSUMPTIONS!$C$38,ASSUMPTIONS!$C$39,ASSUMPTIONS!$C$40,ASSUMPTIONS!$C$41,ASSUMPTIONS!$C$42),ASSUMPTIONS!$C$68)</f>
        <v/>
      </c>
      <c r="I1905" s="83">
        <f>MAX(_xlfn.NORM.INV(RAND(),DCF!$C$11,ASSUMPTIONS!$C$69),K1905+0.005)</f>
        <v/>
      </c>
      <c r="J1905" s="83">
        <f>_xlfn.NORM.INV(RAND(),ASSUMPTIONS!$C$19,ASSUMPTIONS!$C$70)</f>
        <v/>
      </c>
      <c r="K1905" s="83">
        <f>_xlfn.NORM.INV(RAND(),ASSUMPTIONS!$C$43,ASSUMPTIONS!$C$71)</f>
        <v/>
      </c>
      <c r="L1905" s="84">
        <f>(((ASSUMPTIONS!$C$18*J1905*(1-ASSUMPTIONS!$C$20)+ASSUMPTIONS!$C$18*ASSUMPTIONS!$C$21-ASSUMPTIONS!$C$18*ASSUMPTIONS!$C$22)*(1+H1905)*(1-((1+H1905)/(1+I1905))^5)/(I1905-H1905))+((ASSUMPTIONS!$C$18*J1905*(1-ASSUMPTIONS!$C$20)+ASSUMPTIONS!$C$18*ASSUMPTIONS!$C$21-ASSUMPTIONS!$C$18*ASSUMPTIONS!$C$22)*(1+H1905)^5*(1+K1905)/(I1905-K1905)/(1+I1905)^5)-DCF!$C$12)/ASSUMPTIONS!$C$7</f>
        <v/>
      </c>
    </row>
    <row r="1906">
      <c r="H1906" s="83">
        <f>_xlfn.NORM.INV(RAND(),AVERAGE(ASSUMPTIONS!$C$38,ASSUMPTIONS!$C$39,ASSUMPTIONS!$C$40,ASSUMPTIONS!$C$41,ASSUMPTIONS!$C$42),ASSUMPTIONS!$C$68)</f>
        <v/>
      </c>
      <c r="I1906" s="83">
        <f>MAX(_xlfn.NORM.INV(RAND(),DCF!$C$11,ASSUMPTIONS!$C$69),K1906+0.005)</f>
        <v/>
      </c>
      <c r="J1906" s="83">
        <f>_xlfn.NORM.INV(RAND(),ASSUMPTIONS!$C$19,ASSUMPTIONS!$C$70)</f>
        <v/>
      </c>
      <c r="K1906" s="83">
        <f>_xlfn.NORM.INV(RAND(),ASSUMPTIONS!$C$43,ASSUMPTIONS!$C$71)</f>
        <v/>
      </c>
      <c r="L1906" s="84">
        <f>(((ASSUMPTIONS!$C$18*J1906*(1-ASSUMPTIONS!$C$20)+ASSUMPTIONS!$C$18*ASSUMPTIONS!$C$21-ASSUMPTIONS!$C$18*ASSUMPTIONS!$C$22)*(1+H1906)*(1-((1+H1906)/(1+I1906))^5)/(I1906-H1906))+((ASSUMPTIONS!$C$18*J1906*(1-ASSUMPTIONS!$C$20)+ASSUMPTIONS!$C$18*ASSUMPTIONS!$C$21-ASSUMPTIONS!$C$18*ASSUMPTIONS!$C$22)*(1+H1906)^5*(1+K1906)/(I1906-K1906)/(1+I1906)^5)-DCF!$C$12)/ASSUMPTIONS!$C$7</f>
        <v/>
      </c>
    </row>
    <row r="1907">
      <c r="H1907" s="83">
        <f>_xlfn.NORM.INV(RAND(),AVERAGE(ASSUMPTIONS!$C$38,ASSUMPTIONS!$C$39,ASSUMPTIONS!$C$40,ASSUMPTIONS!$C$41,ASSUMPTIONS!$C$42),ASSUMPTIONS!$C$68)</f>
        <v/>
      </c>
      <c r="I1907" s="83">
        <f>MAX(_xlfn.NORM.INV(RAND(),DCF!$C$11,ASSUMPTIONS!$C$69),K1907+0.005)</f>
        <v/>
      </c>
      <c r="J1907" s="83">
        <f>_xlfn.NORM.INV(RAND(),ASSUMPTIONS!$C$19,ASSUMPTIONS!$C$70)</f>
        <v/>
      </c>
      <c r="K1907" s="83">
        <f>_xlfn.NORM.INV(RAND(),ASSUMPTIONS!$C$43,ASSUMPTIONS!$C$71)</f>
        <v/>
      </c>
      <c r="L1907" s="84">
        <f>(((ASSUMPTIONS!$C$18*J1907*(1-ASSUMPTIONS!$C$20)+ASSUMPTIONS!$C$18*ASSUMPTIONS!$C$21-ASSUMPTIONS!$C$18*ASSUMPTIONS!$C$22)*(1+H1907)*(1-((1+H1907)/(1+I1907))^5)/(I1907-H1907))+((ASSUMPTIONS!$C$18*J1907*(1-ASSUMPTIONS!$C$20)+ASSUMPTIONS!$C$18*ASSUMPTIONS!$C$21-ASSUMPTIONS!$C$18*ASSUMPTIONS!$C$22)*(1+H1907)^5*(1+K1907)/(I1907-K1907)/(1+I1907)^5)-DCF!$C$12)/ASSUMPTIONS!$C$7</f>
        <v/>
      </c>
    </row>
    <row r="1908">
      <c r="H1908" s="83">
        <f>_xlfn.NORM.INV(RAND(),AVERAGE(ASSUMPTIONS!$C$38,ASSUMPTIONS!$C$39,ASSUMPTIONS!$C$40,ASSUMPTIONS!$C$41,ASSUMPTIONS!$C$42),ASSUMPTIONS!$C$68)</f>
        <v/>
      </c>
      <c r="I1908" s="83">
        <f>MAX(_xlfn.NORM.INV(RAND(),DCF!$C$11,ASSUMPTIONS!$C$69),K1908+0.005)</f>
        <v/>
      </c>
      <c r="J1908" s="83">
        <f>_xlfn.NORM.INV(RAND(),ASSUMPTIONS!$C$19,ASSUMPTIONS!$C$70)</f>
        <v/>
      </c>
      <c r="K1908" s="83">
        <f>_xlfn.NORM.INV(RAND(),ASSUMPTIONS!$C$43,ASSUMPTIONS!$C$71)</f>
        <v/>
      </c>
      <c r="L1908" s="84">
        <f>(((ASSUMPTIONS!$C$18*J1908*(1-ASSUMPTIONS!$C$20)+ASSUMPTIONS!$C$18*ASSUMPTIONS!$C$21-ASSUMPTIONS!$C$18*ASSUMPTIONS!$C$22)*(1+H1908)*(1-((1+H1908)/(1+I1908))^5)/(I1908-H1908))+((ASSUMPTIONS!$C$18*J1908*(1-ASSUMPTIONS!$C$20)+ASSUMPTIONS!$C$18*ASSUMPTIONS!$C$21-ASSUMPTIONS!$C$18*ASSUMPTIONS!$C$22)*(1+H1908)^5*(1+K1908)/(I1908-K1908)/(1+I1908)^5)-DCF!$C$12)/ASSUMPTIONS!$C$7</f>
        <v/>
      </c>
    </row>
    <row r="1909">
      <c r="H1909" s="83">
        <f>_xlfn.NORM.INV(RAND(),AVERAGE(ASSUMPTIONS!$C$38,ASSUMPTIONS!$C$39,ASSUMPTIONS!$C$40,ASSUMPTIONS!$C$41,ASSUMPTIONS!$C$42),ASSUMPTIONS!$C$68)</f>
        <v/>
      </c>
      <c r="I1909" s="83">
        <f>MAX(_xlfn.NORM.INV(RAND(),DCF!$C$11,ASSUMPTIONS!$C$69),K1909+0.005)</f>
        <v/>
      </c>
      <c r="J1909" s="83">
        <f>_xlfn.NORM.INV(RAND(),ASSUMPTIONS!$C$19,ASSUMPTIONS!$C$70)</f>
        <v/>
      </c>
      <c r="K1909" s="83">
        <f>_xlfn.NORM.INV(RAND(),ASSUMPTIONS!$C$43,ASSUMPTIONS!$C$71)</f>
        <v/>
      </c>
      <c r="L1909" s="84">
        <f>(((ASSUMPTIONS!$C$18*J1909*(1-ASSUMPTIONS!$C$20)+ASSUMPTIONS!$C$18*ASSUMPTIONS!$C$21-ASSUMPTIONS!$C$18*ASSUMPTIONS!$C$22)*(1+H1909)*(1-((1+H1909)/(1+I1909))^5)/(I1909-H1909))+((ASSUMPTIONS!$C$18*J1909*(1-ASSUMPTIONS!$C$20)+ASSUMPTIONS!$C$18*ASSUMPTIONS!$C$21-ASSUMPTIONS!$C$18*ASSUMPTIONS!$C$22)*(1+H1909)^5*(1+K1909)/(I1909-K1909)/(1+I1909)^5)-DCF!$C$12)/ASSUMPTIONS!$C$7</f>
        <v/>
      </c>
    </row>
    <row r="1910">
      <c r="H1910" s="83">
        <f>_xlfn.NORM.INV(RAND(),AVERAGE(ASSUMPTIONS!$C$38,ASSUMPTIONS!$C$39,ASSUMPTIONS!$C$40,ASSUMPTIONS!$C$41,ASSUMPTIONS!$C$42),ASSUMPTIONS!$C$68)</f>
        <v/>
      </c>
      <c r="I1910" s="83">
        <f>MAX(_xlfn.NORM.INV(RAND(),DCF!$C$11,ASSUMPTIONS!$C$69),K1910+0.005)</f>
        <v/>
      </c>
      <c r="J1910" s="83">
        <f>_xlfn.NORM.INV(RAND(),ASSUMPTIONS!$C$19,ASSUMPTIONS!$C$70)</f>
        <v/>
      </c>
      <c r="K1910" s="83">
        <f>_xlfn.NORM.INV(RAND(),ASSUMPTIONS!$C$43,ASSUMPTIONS!$C$71)</f>
        <v/>
      </c>
      <c r="L1910" s="84">
        <f>(((ASSUMPTIONS!$C$18*J1910*(1-ASSUMPTIONS!$C$20)+ASSUMPTIONS!$C$18*ASSUMPTIONS!$C$21-ASSUMPTIONS!$C$18*ASSUMPTIONS!$C$22)*(1+H1910)*(1-((1+H1910)/(1+I1910))^5)/(I1910-H1910))+((ASSUMPTIONS!$C$18*J1910*(1-ASSUMPTIONS!$C$20)+ASSUMPTIONS!$C$18*ASSUMPTIONS!$C$21-ASSUMPTIONS!$C$18*ASSUMPTIONS!$C$22)*(1+H1910)^5*(1+K1910)/(I1910-K1910)/(1+I1910)^5)-DCF!$C$12)/ASSUMPTIONS!$C$7</f>
        <v/>
      </c>
    </row>
    <row r="1911">
      <c r="H1911" s="83">
        <f>_xlfn.NORM.INV(RAND(),AVERAGE(ASSUMPTIONS!$C$38,ASSUMPTIONS!$C$39,ASSUMPTIONS!$C$40,ASSUMPTIONS!$C$41,ASSUMPTIONS!$C$42),ASSUMPTIONS!$C$68)</f>
        <v/>
      </c>
      <c r="I1911" s="83">
        <f>MAX(_xlfn.NORM.INV(RAND(),DCF!$C$11,ASSUMPTIONS!$C$69),K1911+0.005)</f>
        <v/>
      </c>
      <c r="J1911" s="83">
        <f>_xlfn.NORM.INV(RAND(),ASSUMPTIONS!$C$19,ASSUMPTIONS!$C$70)</f>
        <v/>
      </c>
      <c r="K1911" s="83">
        <f>_xlfn.NORM.INV(RAND(),ASSUMPTIONS!$C$43,ASSUMPTIONS!$C$71)</f>
        <v/>
      </c>
      <c r="L1911" s="84">
        <f>(((ASSUMPTIONS!$C$18*J1911*(1-ASSUMPTIONS!$C$20)+ASSUMPTIONS!$C$18*ASSUMPTIONS!$C$21-ASSUMPTIONS!$C$18*ASSUMPTIONS!$C$22)*(1+H1911)*(1-((1+H1911)/(1+I1911))^5)/(I1911-H1911))+((ASSUMPTIONS!$C$18*J1911*(1-ASSUMPTIONS!$C$20)+ASSUMPTIONS!$C$18*ASSUMPTIONS!$C$21-ASSUMPTIONS!$C$18*ASSUMPTIONS!$C$22)*(1+H1911)^5*(1+K1911)/(I1911-K1911)/(1+I1911)^5)-DCF!$C$12)/ASSUMPTIONS!$C$7</f>
        <v/>
      </c>
    </row>
    <row r="1912">
      <c r="H1912" s="83">
        <f>_xlfn.NORM.INV(RAND(),AVERAGE(ASSUMPTIONS!$C$38,ASSUMPTIONS!$C$39,ASSUMPTIONS!$C$40,ASSUMPTIONS!$C$41,ASSUMPTIONS!$C$42),ASSUMPTIONS!$C$68)</f>
        <v/>
      </c>
      <c r="I1912" s="83">
        <f>MAX(_xlfn.NORM.INV(RAND(),DCF!$C$11,ASSUMPTIONS!$C$69),K1912+0.005)</f>
        <v/>
      </c>
      <c r="J1912" s="83">
        <f>_xlfn.NORM.INV(RAND(),ASSUMPTIONS!$C$19,ASSUMPTIONS!$C$70)</f>
        <v/>
      </c>
      <c r="K1912" s="83">
        <f>_xlfn.NORM.INV(RAND(),ASSUMPTIONS!$C$43,ASSUMPTIONS!$C$71)</f>
        <v/>
      </c>
      <c r="L1912" s="84">
        <f>(((ASSUMPTIONS!$C$18*J1912*(1-ASSUMPTIONS!$C$20)+ASSUMPTIONS!$C$18*ASSUMPTIONS!$C$21-ASSUMPTIONS!$C$18*ASSUMPTIONS!$C$22)*(1+H1912)*(1-((1+H1912)/(1+I1912))^5)/(I1912-H1912))+((ASSUMPTIONS!$C$18*J1912*(1-ASSUMPTIONS!$C$20)+ASSUMPTIONS!$C$18*ASSUMPTIONS!$C$21-ASSUMPTIONS!$C$18*ASSUMPTIONS!$C$22)*(1+H1912)^5*(1+K1912)/(I1912-K1912)/(1+I1912)^5)-DCF!$C$12)/ASSUMPTIONS!$C$7</f>
        <v/>
      </c>
    </row>
    <row r="1913">
      <c r="H1913" s="83">
        <f>_xlfn.NORM.INV(RAND(),AVERAGE(ASSUMPTIONS!$C$38,ASSUMPTIONS!$C$39,ASSUMPTIONS!$C$40,ASSUMPTIONS!$C$41,ASSUMPTIONS!$C$42),ASSUMPTIONS!$C$68)</f>
        <v/>
      </c>
      <c r="I1913" s="83">
        <f>MAX(_xlfn.NORM.INV(RAND(),DCF!$C$11,ASSUMPTIONS!$C$69),K1913+0.005)</f>
        <v/>
      </c>
      <c r="J1913" s="83">
        <f>_xlfn.NORM.INV(RAND(),ASSUMPTIONS!$C$19,ASSUMPTIONS!$C$70)</f>
        <v/>
      </c>
      <c r="K1913" s="83">
        <f>_xlfn.NORM.INV(RAND(),ASSUMPTIONS!$C$43,ASSUMPTIONS!$C$71)</f>
        <v/>
      </c>
      <c r="L1913" s="84">
        <f>(((ASSUMPTIONS!$C$18*J1913*(1-ASSUMPTIONS!$C$20)+ASSUMPTIONS!$C$18*ASSUMPTIONS!$C$21-ASSUMPTIONS!$C$18*ASSUMPTIONS!$C$22)*(1+H1913)*(1-((1+H1913)/(1+I1913))^5)/(I1913-H1913))+((ASSUMPTIONS!$C$18*J1913*(1-ASSUMPTIONS!$C$20)+ASSUMPTIONS!$C$18*ASSUMPTIONS!$C$21-ASSUMPTIONS!$C$18*ASSUMPTIONS!$C$22)*(1+H1913)^5*(1+K1913)/(I1913-K1913)/(1+I1913)^5)-DCF!$C$12)/ASSUMPTIONS!$C$7</f>
        <v/>
      </c>
    </row>
    <row r="1914">
      <c r="H1914" s="83">
        <f>_xlfn.NORM.INV(RAND(),AVERAGE(ASSUMPTIONS!$C$38,ASSUMPTIONS!$C$39,ASSUMPTIONS!$C$40,ASSUMPTIONS!$C$41,ASSUMPTIONS!$C$42),ASSUMPTIONS!$C$68)</f>
        <v/>
      </c>
      <c r="I1914" s="83">
        <f>MAX(_xlfn.NORM.INV(RAND(),DCF!$C$11,ASSUMPTIONS!$C$69),K1914+0.005)</f>
        <v/>
      </c>
      <c r="J1914" s="83">
        <f>_xlfn.NORM.INV(RAND(),ASSUMPTIONS!$C$19,ASSUMPTIONS!$C$70)</f>
        <v/>
      </c>
      <c r="K1914" s="83">
        <f>_xlfn.NORM.INV(RAND(),ASSUMPTIONS!$C$43,ASSUMPTIONS!$C$71)</f>
        <v/>
      </c>
      <c r="L1914" s="84">
        <f>(((ASSUMPTIONS!$C$18*J1914*(1-ASSUMPTIONS!$C$20)+ASSUMPTIONS!$C$18*ASSUMPTIONS!$C$21-ASSUMPTIONS!$C$18*ASSUMPTIONS!$C$22)*(1+H1914)*(1-((1+H1914)/(1+I1914))^5)/(I1914-H1914))+((ASSUMPTIONS!$C$18*J1914*(1-ASSUMPTIONS!$C$20)+ASSUMPTIONS!$C$18*ASSUMPTIONS!$C$21-ASSUMPTIONS!$C$18*ASSUMPTIONS!$C$22)*(1+H1914)^5*(1+K1914)/(I1914-K1914)/(1+I1914)^5)-DCF!$C$12)/ASSUMPTIONS!$C$7</f>
        <v/>
      </c>
    </row>
    <row r="1915">
      <c r="H1915" s="83">
        <f>_xlfn.NORM.INV(RAND(),AVERAGE(ASSUMPTIONS!$C$38,ASSUMPTIONS!$C$39,ASSUMPTIONS!$C$40,ASSUMPTIONS!$C$41,ASSUMPTIONS!$C$42),ASSUMPTIONS!$C$68)</f>
        <v/>
      </c>
      <c r="I1915" s="83">
        <f>MAX(_xlfn.NORM.INV(RAND(),DCF!$C$11,ASSUMPTIONS!$C$69),K1915+0.005)</f>
        <v/>
      </c>
      <c r="J1915" s="83">
        <f>_xlfn.NORM.INV(RAND(),ASSUMPTIONS!$C$19,ASSUMPTIONS!$C$70)</f>
        <v/>
      </c>
      <c r="K1915" s="83">
        <f>_xlfn.NORM.INV(RAND(),ASSUMPTIONS!$C$43,ASSUMPTIONS!$C$71)</f>
        <v/>
      </c>
      <c r="L1915" s="84">
        <f>(((ASSUMPTIONS!$C$18*J1915*(1-ASSUMPTIONS!$C$20)+ASSUMPTIONS!$C$18*ASSUMPTIONS!$C$21-ASSUMPTIONS!$C$18*ASSUMPTIONS!$C$22)*(1+H1915)*(1-((1+H1915)/(1+I1915))^5)/(I1915-H1915))+((ASSUMPTIONS!$C$18*J1915*(1-ASSUMPTIONS!$C$20)+ASSUMPTIONS!$C$18*ASSUMPTIONS!$C$21-ASSUMPTIONS!$C$18*ASSUMPTIONS!$C$22)*(1+H1915)^5*(1+K1915)/(I1915-K1915)/(1+I1915)^5)-DCF!$C$12)/ASSUMPTIONS!$C$7</f>
        <v/>
      </c>
    </row>
    <row r="1916">
      <c r="H1916" s="83">
        <f>_xlfn.NORM.INV(RAND(),AVERAGE(ASSUMPTIONS!$C$38,ASSUMPTIONS!$C$39,ASSUMPTIONS!$C$40,ASSUMPTIONS!$C$41,ASSUMPTIONS!$C$42),ASSUMPTIONS!$C$68)</f>
        <v/>
      </c>
      <c r="I1916" s="83">
        <f>MAX(_xlfn.NORM.INV(RAND(),DCF!$C$11,ASSUMPTIONS!$C$69),K1916+0.005)</f>
        <v/>
      </c>
      <c r="J1916" s="83">
        <f>_xlfn.NORM.INV(RAND(),ASSUMPTIONS!$C$19,ASSUMPTIONS!$C$70)</f>
        <v/>
      </c>
      <c r="K1916" s="83">
        <f>_xlfn.NORM.INV(RAND(),ASSUMPTIONS!$C$43,ASSUMPTIONS!$C$71)</f>
        <v/>
      </c>
      <c r="L1916" s="84">
        <f>(((ASSUMPTIONS!$C$18*J1916*(1-ASSUMPTIONS!$C$20)+ASSUMPTIONS!$C$18*ASSUMPTIONS!$C$21-ASSUMPTIONS!$C$18*ASSUMPTIONS!$C$22)*(1+H1916)*(1-((1+H1916)/(1+I1916))^5)/(I1916-H1916))+((ASSUMPTIONS!$C$18*J1916*(1-ASSUMPTIONS!$C$20)+ASSUMPTIONS!$C$18*ASSUMPTIONS!$C$21-ASSUMPTIONS!$C$18*ASSUMPTIONS!$C$22)*(1+H1916)^5*(1+K1916)/(I1916-K1916)/(1+I1916)^5)-DCF!$C$12)/ASSUMPTIONS!$C$7</f>
        <v/>
      </c>
    </row>
    <row r="1917">
      <c r="H1917" s="83">
        <f>_xlfn.NORM.INV(RAND(),AVERAGE(ASSUMPTIONS!$C$38,ASSUMPTIONS!$C$39,ASSUMPTIONS!$C$40,ASSUMPTIONS!$C$41,ASSUMPTIONS!$C$42),ASSUMPTIONS!$C$68)</f>
        <v/>
      </c>
      <c r="I1917" s="83">
        <f>MAX(_xlfn.NORM.INV(RAND(),DCF!$C$11,ASSUMPTIONS!$C$69),K1917+0.005)</f>
        <v/>
      </c>
      <c r="J1917" s="83">
        <f>_xlfn.NORM.INV(RAND(),ASSUMPTIONS!$C$19,ASSUMPTIONS!$C$70)</f>
        <v/>
      </c>
      <c r="K1917" s="83">
        <f>_xlfn.NORM.INV(RAND(),ASSUMPTIONS!$C$43,ASSUMPTIONS!$C$71)</f>
        <v/>
      </c>
      <c r="L1917" s="84">
        <f>(((ASSUMPTIONS!$C$18*J1917*(1-ASSUMPTIONS!$C$20)+ASSUMPTIONS!$C$18*ASSUMPTIONS!$C$21-ASSUMPTIONS!$C$18*ASSUMPTIONS!$C$22)*(1+H1917)*(1-((1+H1917)/(1+I1917))^5)/(I1917-H1917))+((ASSUMPTIONS!$C$18*J1917*(1-ASSUMPTIONS!$C$20)+ASSUMPTIONS!$C$18*ASSUMPTIONS!$C$21-ASSUMPTIONS!$C$18*ASSUMPTIONS!$C$22)*(1+H1917)^5*(1+K1917)/(I1917-K1917)/(1+I1917)^5)-DCF!$C$12)/ASSUMPTIONS!$C$7</f>
        <v/>
      </c>
    </row>
    <row r="1918">
      <c r="H1918" s="83">
        <f>_xlfn.NORM.INV(RAND(),AVERAGE(ASSUMPTIONS!$C$38,ASSUMPTIONS!$C$39,ASSUMPTIONS!$C$40,ASSUMPTIONS!$C$41,ASSUMPTIONS!$C$42),ASSUMPTIONS!$C$68)</f>
        <v/>
      </c>
      <c r="I1918" s="83">
        <f>MAX(_xlfn.NORM.INV(RAND(),DCF!$C$11,ASSUMPTIONS!$C$69),K1918+0.005)</f>
        <v/>
      </c>
      <c r="J1918" s="83">
        <f>_xlfn.NORM.INV(RAND(),ASSUMPTIONS!$C$19,ASSUMPTIONS!$C$70)</f>
        <v/>
      </c>
      <c r="K1918" s="83">
        <f>_xlfn.NORM.INV(RAND(),ASSUMPTIONS!$C$43,ASSUMPTIONS!$C$71)</f>
        <v/>
      </c>
      <c r="L1918" s="84">
        <f>(((ASSUMPTIONS!$C$18*J1918*(1-ASSUMPTIONS!$C$20)+ASSUMPTIONS!$C$18*ASSUMPTIONS!$C$21-ASSUMPTIONS!$C$18*ASSUMPTIONS!$C$22)*(1+H1918)*(1-((1+H1918)/(1+I1918))^5)/(I1918-H1918))+((ASSUMPTIONS!$C$18*J1918*(1-ASSUMPTIONS!$C$20)+ASSUMPTIONS!$C$18*ASSUMPTIONS!$C$21-ASSUMPTIONS!$C$18*ASSUMPTIONS!$C$22)*(1+H1918)^5*(1+K1918)/(I1918-K1918)/(1+I1918)^5)-DCF!$C$12)/ASSUMPTIONS!$C$7</f>
        <v/>
      </c>
    </row>
    <row r="1919">
      <c r="H1919" s="83">
        <f>_xlfn.NORM.INV(RAND(),AVERAGE(ASSUMPTIONS!$C$38,ASSUMPTIONS!$C$39,ASSUMPTIONS!$C$40,ASSUMPTIONS!$C$41,ASSUMPTIONS!$C$42),ASSUMPTIONS!$C$68)</f>
        <v/>
      </c>
      <c r="I1919" s="83">
        <f>MAX(_xlfn.NORM.INV(RAND(),DCF!$C$11,ASSUMPTIONS!$C$69),K1919+0.005)</f>
        <v/>
      </c>
      <c r="J1919" s="83">
        <f>_xlfn.NORM.INV(RAND(),ASSUMPTIONS!$C$19,ASSUMPTIONS!$C$70)</f>
        <v/>
      </c>
      <c r="K1919" s="83">
        <f>_xlfn.NORM.INV(RAND(),ASSUMPTIONS!$C$43,ASSUMPTIONS!$C$71)</f>
        <v/>
      </c>
      <c r="L1919" s="84">
        <f>(((ASSUMPTIONS!$C$18*J1919*(1-ASSUMPTIONS!$C$20)+ASSUMPTIONS!$C$18*ASSUMPTIONS!$C$21-ASSUMPTIONS!$C$18*ASSUMPTIONS!$C$22)*(1+H1919)*(1-((1+H1919)/(1+I1919))^5)/(I1919-H1919))+((ASSUMPTIONS!$C$18*J1919*(1-ASSUMPTIONS!$C$20)+ASSUMPTIONS!$C$18*ASSUMPTIONS!$C$21-ASSUMPTIONS!$C$18*ASSUMPTIONS!$C$22)*(1+H1919)^5*(1+K1919)/(I1919-K1919)/(1+I1919)^5)-DCF!$C$12)/ASSUMPTIONS!$C$7</f>
        <v/>
      </c>
    </row>
    <row r="1920">
      <c r="H1920" s="83">
        <f>_xlfn.NORM.INV(RAND(),AVERAGE(ASSUMPTIONS!$C$38,ASSUMPTIONS!$C$39,ASSUMPTIONS!$C$40,ASSUMPTIONS!$C$41,ASSUMPTIONS!$C$42),ASSUMPTIONS!$C$68)</f>
        <v/>
      </c>
      <c r="I1920" s="83">
        <f>MAX(_xlfn.NORM.INV(RAND(),DCF!$C$11,ASSUMPTIONS!$C$69),K1920+0.005)</f>
        <v/>
      </c>
      <c r="J1920" s="83">
        <f>_xlfn.NORM.INV(RAND(),ASSUMPTIONS!$C$19,ASSUMPTIONS!$C$70)</f>
        <v/>
      </c>
      <c r="K1920" s="83">
        <f>_xlfn.NORM.INV(RAND(),ASSUMPTIONS!$C$43,ASSUMPTIONS!$C$71)</f>
        <v/>
      </c>
      <c r="L1920" s="84">
        <f>(((ASSUMPTIONS!$C$18*J1920*(1-ASSUMPTIONS!$C$20)+ASSUMPTIONS!$C$18*ASSUMPTIONS!$C$21-ASSUMPTIONS!$C$18*ASSUMPTIONS!$C$22)*(1+H1920)*(1-((1+H1920)/(1+I1920))^5)/(I1920-H1920))+((ASSUMPTIONS!$C$18*J1920*(1-ASSUMPTIONS!$C$20)+ASSUMPTIONS!$C$18*ASSUMPTIONS!$C$21-ASSUMPTIONS!$C$18*ASSUMPTIONS!$C$22)*(1+H1920)^5*(1+K1920)/(I1920-K1920)/(1+I1920)^5)-DCF!$C$12)/ASSUMPTIONS!$C$7</f>
        <v/>
      </c>
    </row>
    <row r="1921">
      <c r="H1921" s="83">
        <f>_xlfn.NORM.INV(RAND(),AVERAGE(ASSUMPTIONS!$C$38,ASSUMPTIONS!$C$39,ASSUMPTIONS!$C$40,ASSUMPTIONS!$C$41,ASSUMPTIONS!$C$42),ASSUMPTIONS!$C$68)</f>
        <v/>
      </c>
      <c r="I1921" s="83">
        <f>MAX(_xlfn.NORM.INV(RAND(),DCF!$C$11,ASSUMPTIONS!$C$69),K1921+0.005)</f>
        <v/>
      </c>
      <c r="J1921" s="83">
        <f>_xlfn.NORM.INV(RAND(),ASSUMPTIONS!$C$19,ASSUMPTIONS!$C$70)</f>
        <v/>
      </c>
      <c r="K1921" s="83">
        <f>_xlfn.NORM.INV(RAND(),ASSUMPTIONS!$C$43,ASSUMPTIONS!$C$71)</f>
        <v/>
      </c>
      <c r="L1921" s="84">
        <f>(((ASSUMPTIONS!$C$18*J1921*(1-ASSUMPTIONS!$C$20)+ASSUMPTIONS!$C$18*ASSUMPTIONS!$C$21-ASSUMPTIONS!$C$18*ASSUMPTIONS!$C$22)*(1+H1921)*(1-((1+H1921)/(1+I1921))^5)/(I1921-H1921))+((ASSUMPTIONS!$C$18*J1921*(1-ASSUMPTIONS!$C$20)+ASSUMPTIONS!$C$18*ASSUMPTIONS!$C$21-ASSUMPTIONS!$C$18*ASSUMPTIONS!$C$22)*(1+H1921)^5*(1+K1921)/(I1921-K1921)/(1+I1921)^5)-DCF!$C$12)/ASSUMPTIONS!$C$7</f>
        <v/>
      </c>
    </row>
    <row r="1922">
      <c r="H1922" s="83">
        <f>_xlfn.NORM.INV(RAND(),AVERAGE(ASSUMPTIONS!$C$38,ASSUMPTIONS!$C$39,ASSUMPTIONS!$C$40,ASSUMPTIONS!$C$41,ASSUMPTIONS!$C$42),ASSUMPTIONS!$C$68)</f>
        <v/>
      </c>
      <c r="I1922" s="83">
        <f>MAX(_xlfn.NORM.INV(RAND(),DCF!$C$11,ASSUMPTIONS!$C$69),K1922+0.005)</f>
        <v/>
      </c>
      <c r="J1922" s="83">
        <f>_xlfn.NORM.INV(RAND(),ASSUMPTIONS!$C$19,ASSUMPTIONS!$C$70)</f>
        <v/>
      </c>
      <c r="K1922" s="83">
        <f>_xlfn.NORM.INV(RAND(),ASSUMPTIONS!$C$43,ASSUMPTIONS!$C$71)</f>
        <v/>
      </c>
      <c r="L1922" s="84">
        <f>(((ASSUMPTIONS!$C$18*J1922*(1-ASSUMPTIONS!$C$20)+ASSUMPTIONS!$C$18*ASSUMPTIONS!$C$21-ASSUMPTIONS!$C$18*ASSUMPTIONS!$C$22)*(1+H1922)*(1-((1+H1922)/(1+I1922))^5)/(I1922-H1922))+((ASSUMPTIONS!$C$18*J1922*(1-ASSUMPTIONS!$C$20)+ASSUMPTIONS!$C$18*ASSUMPTIONS!$C$21-ASSUMPTIONS!$C$18*ASSUMPTIONS!$C$22)*(1+H1922)^5*(1+K1922)/(I1922-K1922)/(1+I1922)^5)-DCF!$C$12)/ASSUMPTIONS!$C$7</f>
        <v/>
      </c>
    </row>
    <row r="1923">
      <c r="H1923" s="83">
        <f>_xlfn.NORM.INV(RAND(),AVERAGE(ASSUMPTIONS!$C$38,ASSUMPTIONS!$C$39,ASSUMPTIONS!$C$40,ASSUMPTIONS!$C$41,ASSUMPTIONS!$C$42),ASSUMPTIONS!$C$68)</f>
        <v/>
      </c>
      <c r="I1923" s="83">
        <f>MAX(_xlfn.NORM.INV(RAND(),DCF!$C$11,ASSUMPTIONS!$C$69),K1923+0.005)</f>
        <v/>
      </c>
      <c r="J1923" s="83">
        <f>_xlfn.NORM.INV(RAND(),ASSUMPTIONS!$C$19,ASSUMPTIONS!$C$70)</f>
        <v/>
      </c>
      <c r="K1923" s="83">
        <f>_xlfn.NORM.INV(RAND(),ASSUMPTIONS!$C$43,ASSUMPTIONS!$C$71)</f>
        <v/>
      </c>
      <c r="L1923" s="84">
        <f>(((ASSUMPTIONS!$C$18*J1923*(1-ASSUMPTIONS!$C$20)+ASSUMPTIONS!$C$18*ASSUMPTIONS!$C$21-ASSUMPTIONS!$C$18*ASSUMPTIONS!$C$22)*(1+H1923)*(1-((1+H1923)/(1+I1923))^5)/(I1923-H1923))+((ASSUMPTIONS!$C$18*J1923*(1-ASSUMPTIONS!$C$20)+ASSUMPTIONS!$C$18*ASSUMPTIONS!$C$21-ASSUMPTIONS!$C$18*ASSUMPTIONS!$C$22)*(1+H1923)^5*(1+K1923)/(I1923-K1923)/(1+I1923)^5)-DCF!$C$12)/ASSUMPTIONS!$C$7</f>
        <v/>
      </c>
    </row>
    <row r="1924">
      <c r="H1924" s="83">
        <f>_xlfn.NORM.INV(RAND(),AVERAGE(ASSUMPTIONS!$C$38,ASSUMPTIONS!$C$39,ASSUMPTIONS!$C$40,ASSUMPTIONS!$C$41,ASSUMPTIONS!$C$42),ASSUMPTIONS!$C$68)</f>
        <v/>
      </c>
      <c r="I1924" s="83">
        <f>MAX(_xlfn.NORM.INV(RAND(),DCF!$C$11,ASSUMPTIONS!$C$69),K1924+0.005)</f>
        <v/>
      </c>
      <c r="J1924" s="83">
        <f>_xlfn.NORM.INV(RAND(),ASSUMPTIONS!$C$19,ASSUMPTIONS!$C$70)</f>
        <v/>
      </c>
      <c r="K1924" s="83">
        <f>_xlfn.NORM.INV(RAND(),ASSUMPTIONS!$C$43,ASSUMPTIONS!$C$71)</f>
        <v/>
      </c>
      <c r="L1924" s="84">
        <f>(((ASSUMPTIONS!$C$18*J1924*(1-ASSUMPTIONS!$C$20)+ASSUMPTIONS!$C$18*ASSUMPTIONS!$C$21-ASSUMPTIONS!$C$18*ASSUMPTIONS!$C$22)*(1+H1924)*(1-((1+H1924)/(1+I1924))^5)/(I1924-H1924))+((ASSUMPTIONS!$C$18*J1924*(1-ASSUMPTIONS!$C$20)+ASSUMPTIONS!$C$18*ASSUMPTIONS!$C$21-ASSUMPTIONS!$C$18*ASSUMPTIONS!$C$22)*(1+H1924)^5*(1+K1924)/(I1924-K1924)/(1+I1924)^5)-DCF!$C$12)/ASSUMPTIONS!$C$7</f>
        <v/>
      </c>
    </row>
    <row r="1925">
      <c r="H1925" s="83">
        <f>_xlfn.NORM.INV(RAND(),AVERAGE(ASSUMPTIONS!$C$38,ASSUMPTIONS!$C$39,ASSUMPTIONS!$C$40,ASSUMPTIONS!$C$41,ASSUMPTIONS!$C$42),ASSUMPTIONS!$C$68)</f>
        <v/>
      </c>
      <c r="I1925" s="83">
        <f>MAX(_xlfn.NORM.INV(RAND(),DCF!$C$11,ASSUMPTIONS!$C$69),K1925+0.005)</f>
        <v/>
      </c>
      <c r="J1925" s="83">
        <f>_xlfn.NORM.INV(RAND(),ASSUMPTIONS!$C$19,ASSUMPTIONS!$C$70)</f>
        <v/>
      </c>
      <c r="K1925" s="83">
        <f>_xlfn.NORM.INV(RAND(),ASSUMPTIONS!$C$43,ASSUMPTIONS!$C$71)</f>
        <v/>
      </c>
      <c r="L1925" s="84">
        <f>(((ASSUMPTIONS!$C$18*J1925*(1-ASSUMPTIONS!$C$20)+ASSUMPTIONS!$C$18*ASSUMPTIONS!$C$21-ASSUMPTIONS!$C$18*ASSUMPTIONS!$C$22)*(1+H1925)*(1-((1+H1925)/(1+I1925))^5)/(I1925-H1925))+((ASSUMPTIONS!$C$18*J1925*(1-ASSUMPTIONS!$C$20)+ASSUMPTIONS!$C$18*ASSUMPTIONS!$C$21-ASSUMPTIONS!$C$18*ASSUMPTIONS!$C$22)*(1+H1925)^5*(1+K1925)/(I1925-K1925)/(1+I1925)^5)-DCF!$C$12)/ASSUMPTIONS!$C$7</f>
        <v/>
      </c>
    </row>
    <row r="1926">
      <c r="H1926" s="83">
        <f>_xlfn.NORM.INV(RAND(),AVERAGE(ASSUMPTIONS!$C$38,ASSUMPTIONS!$C$39,ASSUMPTIONS!$C$40,ASSUMPTIONS!$C$41,ASSUMPTIONS!$C$42),ASSUMPTIONS!$C$68)</f>
        <v/>
      </c>
      <c r="I1926" s="83">
        <f>MAX(_xlfn.NORM.INV(RAND(),DCF!$C$11,ASSUMPTIONS!$C$69),K1926+0.005)</f>
        <v/>
      </c>
      <c r="J1926" s="83">
        <f>_xlfn.NORM.INV(RAND(),ASSUMPTIONS!$C$19,ASSUMPTIONS!$C$70)</f>
        <v/>
      </c>
      <c r="K1926" s="83">
        <f>_xlfn.NORM.INV(RAND(),ASSUMPTIONS!$C$43,ASSUMPTIONS!$C$71)</f>
        <v/>
      </c>
      <c r="L1926" s="84">
        <f>(((ASSUMPTIONS!$C$18*J1926*(1-ASSUMPTIONS!$C$20)+ASSUMPTIONS!$C$18*ASSUMPTIONS!$C$21-ASSUMPTIONS!$C$18*ASSUMPTIONS!$C$22)*(1+H1926)*(1-((1+H1926)/(1+I1926))^5)/(I1926-H1926))+((ASSUMPTIONS!$C$18*J1926*(1-ASSUMPTIONS!$C$20)+ASSUMPTIONS!$C$18*ASSUMPTIONS!$C$21-ASSUMPTIONS!$C$18*ASSUMPTIONS!$C$22)*(1+H1926)^5*(1+K1926)/(I1926-K1926)/(1+I1926)^5)-DCF!$C$12)/ASSUMPTIONS!$C$7</f>
        <v/>
      </c>
    </row>
    <row r="1927">
      <c r="H1927" s="83">
        <f>_xlfn.NORM.INV(RAND(),AVERAGE(ASSUMPTIONS!$C$38,ASSUMPTIONS!$C$39,ASSUMPTIONS!$C$40,ASSUMPTIONS!$C$41,ASSUMPTIONS!$C$42),ASSUMPTIONS!$C$68)</f>
        <v/>
      </c>
      <c r="I1927" s="83">
        <f>MAX(_xlfn.NORM.INV(RAND(),DCF!$C$11,ASSUMPTIONS!$C$69),K1927+0.005)</f>
        <v/>
      </c>
      <c r="J1927" s="83">
        <f>_xlfn.NORM.INV(RAND(),ASSUMPTIONS!$C$19,ASSUMPTIONS!$C$70)</f>
        <v/>
      </c>
      <c r="K1927" s="83">
        <f>_xlfn.NORM.INV(RAND(),ASSUMPTIONS!$C$43,ASSUMPTIONS!$C$71)</f>
        <v/>
      </c>
      <c r="L1927" s="84">
        <f>(((ASSUMPTIONS!$C$18*J1927*(1-ASSUMPTIONS!$C$20)+ASSUMPTIONS!$C$18*ASSUMPTIONS!$C$21-ASSUMPTIONS!$C$18*ASSUMPTIONS!$C$22)*(1+H1927)*(1-((1+H1927)/(1+I1927))^5)/(I1927-H1927))+((ASSUMPTIONS!$C$18*J1927*(1-ASSUMPTIONS!$C$20)+ASSUMPTIONS!$C$18*ASSUMPTIONS!$C$21-ASSUMPTIONS!$C$18*ASSUMPTIONS!$C$22)*(1+H1927)^5*(1+K1927)/(I1927-K1927)/(1+I1927)^5)-DCF!$C$12)/ASSUMPTIONS!$C$7</f>
        <v/>
      </c>
    </row>
    <row r="1928">
      <c r="H1928" s="83">
        <f>_xlfn.NORM.INV(RAND(),AVERAGE(ASSUMPTIONS!$C$38,ASSUMPTIONS!$C$39,ASSUMPTIONS!$C$40,ASSUMPTIONS!$C$41,ASSUMPTIONS!$C$42),ASSUMPTIONS!$C$68)</f>
        <v/>
      </c>
      <c r="I1928" s="83">
        <f>MAX(_xlfn.NORM.INV(RAND(),DCF!$C$11,ASSUMPTIONS!$C$69),K1928+0.005)</f>
        <v/>
      </c>
      <c r="J1928" s="83">
        <f>_xlfn.NORM.INV(RAND(),ASSUMPTIONS!$C$19,ASSUMPTIONS!$C$70)</f>
        <v/>
      </c>
      <c r="K1928" s="83">
        <f>_xlfn.NORM.INV(RAND(),ASSUMPTIONS!$C$43,ASSUMPTIONS!$C$71)</f>
        <v/>
      </c>
      <c r="L1928" s="84">
        <f>(((ASSUMPTIONS!$C$18*J1928*(1-ASSUMPTIONS!$C$20)+ASSUMPTIONS!$C$18*ASSUMPTIONS!$C$21-ASSUMPTIONS!$C$18*ASSUMPTIONS!$C$22)*(1+H1928)*(1-((1+H1928)/(1+I1928))^5)/(I1928-H1928))+((ASSUMPTIONS!$C$18*J1928*(1-ASSUMPTIONS!$C$20)+ASSUMPTIONS!$C$18*ASSUMPTIONS!$C$21-ASSUMPTIONS!$C$18*ASSUMPTIONS!$C$22)*(1+H1928)^5*(1+K1928)/(I1928-K1928)/(1+I1928)^5)-DCF!$C$12)/ASSUMPTIONS!$C$7</f>
        <v/>
      </c>
    </row>
    <row r="1929">
      <c r="H1929" s="83">
        <f>_xlfn.NORM.INV(RAND(),AVERAGE(ASSUMPTIONS!$C$38,ASSUMPTIONS!$C$39,ASSUMPTIONS!$C$40,ASSUMPTIONS!$C$41,ASSUMPTIONS!$C$42),ASSUMPTIONS!$C$68)</f>
        <v/>
      </c>
      <c r="I1929" s="83">
        <f>MAX(_xlfn.NORM.INV(RAND(),DCF!$C$11,ASSUMPTIONS!$C$69),K1929+0.005)</f>
        <v/>
      </c>
      <c r="J1929" s="83">
        <f>_xlfn.NORM.INV(RAND(),ASSUMPTIONS!$C$19,ASSUMPTIONS!$C$70)</f>
        <v/>
      </c>
      <c r="K1929" s="83">
        <f>_xlfn.NORM.INV(RAND(),ASSUMPTIONS!$C$43,ASSUMPTIONS!$C$71)</f>
        <v/>
      </c>
      <c r="L1929" s="84">
        <f>(((ASSUMPTIONS!$C$18*J1929*(1-ASSUMPTIONS!$C$20)+ASSUMPTIONS!$C$18*ASSUMPTIONS!$C$21-ASSUMPTIONS!$C$18*ASSUMPTIONS!$C$22)*(1+H1929)*(1-((1+H1929)/(1+I1929))^5)/(I1929-H1929))+((ASSUMPTIONS!$C$18*J1929*(1-ASSUMPTIONS!$C$20)+ASSUMPTIONS!$C$18*ASSUMPTIONS!$C$21-ASSUMPTIONS!$C$18*ASSUMPTIONS!$C$22)*(1+H1929)^5*(1+K1929)/(I1929-K1929)/(1+I1929)^5)-DCF!$C$12)/ASSUMPTIONS!$C$7</f>
        <v/>
      </c>
    </row>
    <row r="1930">
      <c r="H1930" s="83">
        <f>_xlfn.NORM.INV(RAND(),AVERAGE(ASSUMPTIONS!$C$38,ASSUMPTIONS!$C$39,ASSUMPTIONS!$C$40,ASSUMPTIONS!$C$41,ASSUMPTIONS!$C$42),ASSUMPTIONS!$C$68)</f>
        <v/>
      </c>
      <c r="I1930" s="83">
        <f>MAX(_xlfn.NORM.INV(RAND(),DCF!$C$11,ASSUMPTIONS!$C$69),K1930+0.005)</f>
        <v/>
      </c>
      <c r="J1930" s="83">
        <f>_xlfn.NORM.INV(RAND(),ASSUMPTIONS!$C$19,ASSUMPTIONS!$C$70)</f>
        <v/>
      </c>
      <c r="K1930" s="83">
        <f>_xlfn.NORM.INV(RAND(),ASSUMPTIONS!$C$43,ASSUMPTIONS!$C$71)</f>
        <v/>
      </c>
      <c r="L1930" s="84">
        <f>(((ASSUMPTIONS!$C$18*J1930*(1-ASSUMPTIONS!$C$20)+ASSUMPTIONS!$C$18*ASSUMPTIONS!$C$21-ASSUMPTIONS!$C$18*ASSUMPTIONS!$C$22)*(1+H1930)*(1-((1+H1930)/(1+I1930))^5)/(I1930-H1930))+((ASSUMPTIONS!$C$18*J1930*(1-ASSUMPTIONS!$C$20)+ASSUMPTIONS!$C$18*ASSUMPTIONS!$C$21-ASSUMPTIONS!$C$18*ASSUMPTIONS!$C$22)*(1+H1930)^5*(1+K1930)/(I1930-K1930)/(1+I1930)^5)-DCF!$C$12)/ASSUMPTIONS!$C$7</f>
        <v/>
      </c>
    </row>
    <row r="1931">
      <c r="H1931" s="83">
        <f>_xlfn.NORM.INV(RAND(),AVERAGE(ASSUMPTIONS!$C$38,ASSUMPTIONS!$C$39,ASSUMPTIONS!$C$40,ASSUMPTIONS!$C$41,ASSUMPTIONS!$C$42),ASSUMPTIONS!$C$68)</f>
        <v/>
      </c>
      <c r="I1931" s="83">
        <f>MAX(_xlfn.NORM.INV(RAND(),DCF!$C$11,ASSUMPTIONS!$C$69),K1931+0.005)</f>
        <v/>
      </c>
      <c r="J1931" s="83">
        <f>_xlfn.NORM.INV(RAND(),ASSUMPTIONS!$C$19,ASSUMPTIONS!$C$70)</f>
        <v/>
      </c>
      <c r="K1931" s="83">
        <f>_xlfn.NORM.INV(RAND(),ASSUMPTIONS!$C$43,ASSUMPTIONS!$C$71)</f>
        <v/>
      </c>
      <c r="L1931" s="84">
        <f>(((ASSUMPTIONS!$C$18*J1931*(1-ASSUMPTIONS!$C$20)+ASSUMPTIONS!$C$18*ASSUMPTIONS!$C$21-ASSUMPTIONS!$C$18*ASSUMPTIONS!$C$22)*(1+H1931)*(1-((1+H1931)/(1+I1931))^5)/(I1931-H1931))+((ASSUMPTIONS!$C$18*J1931*(1-ASSUMPTIONS!$C$20)+ASSUMPTIONS!$C$18*ASSUMPTIONS!$C$21-ASSUMPTIONS!$C$18*ASSUMPTIONS!$C$22)*(1+H1931)^5*(1+K1931)/(I1931-K1931)/(1+I1931)^5)-DCF!$C$12)/ASSUMPTIONS!$C$7</f>
        <v/>
      </c>
    </row>
    <row r="1932">
      <c r="H1932" s="83">
        <f>_xlfn.NORM.INV(RAND(),AVERAGE(ASSUMPTIONS!$C$38,ASSUMPTIONS!$C$39,ASSUMPTIONS!$C$40,ASSUMPTIONS!$C$41,ASSUMPTIONS!$C$42),ASSUMPTIONS!$C$68)</f>
        <v/>
      </c>
      <c r="I1932" s="83">
        <f>MAX(_xlfn.NORM.INV(RAND(),DCF!$C$11,ASSUMPTIONS!$C$69),K1932+0.005)</f>
        <v/>
      </c>
      <c r="J1932" s="83">
        <f>_xlfn.NORM.INV(RAND(),ASSUMPTIONS!$C$19,ASSUMPTIONS!$C$70)</f>
        <v/>
      </c>
      <c r="K1932" s="83">
        <f>_xlfn.NORM.INV(RAND(),ASSUMPTIONS!$C$43,ASSUMPTIONS!$C$71)</f>
        <v/>
      </c>
      <c r="L1932" s="84">
        <f>(((ASSUMPTIONS!$C$18*J1932*(1-ASSUMPTIONS!$C$20)+ASSUMPTIONS!$C$18*ASSUMPTIONS!$C$21-ASSUMPTIONS!$C$18*ASSUMPTIONS!$C$22)*(1+H1932)*(1-((1+H1932)/(1+I1932))^5)/(I1932-H1932))+((ASSUMPTIONS!$C$18*J1932*(1-ASSUMPTIONS!$C$20)+ASSUMPTIONS!$C$18*ASSUMPTIONS!$C$21-ASSUMPTIONS!$C$18*ASSUMPTIONS!$C$22)*(1+H1932)^5*(1+K1932)/(I1932-K1932)/(1+I1932)^5)-DCF!$C$12)/ASSUMPTIONS!$C$7</f>
        <v/>
      </c>
    </row>
    <row r="1933">
      <c r="H1933" s="83">
        <f>_xlfn.NORM.INV(RAND(),AVERAGE(ASSUMPTIONS!$C$38,ASSUMPTIONS!$C$39,ASSUMPTIONS!$C$40,ASSUMPTIONS!$C$41,ASSUMPTIONS!$C$42),ASSUMPTIONS!$C$68)</f>
        <v/>
      </c>
      <c r="I1933" s="83">
        <f>MAX(_xlfn.NORM.INV(RAND(),DCF!$C$11,ASSUMPTIONS!$C$69),K1933+0.005)</f>
        <v/>
      </c>
      <c r="J1933" s="83">
        <f>_xlfn.NORM.INV(RAND(),ASSUMPTIONS!$C$19,ASSUMPTIONS!$C$70)</f>
        <v/>
      </c>
      <c r="K1933" s="83">
        <f>_xlfn.NORM.INV(RAND(),ASSUMPTIONS!$C$43,ASSUMPTIONS!$C$71)</f>
        <v/>
      </c>
      <c r="L1933" s="84">
        <f>(((ASSUMPTIONS!$C$18*J1933*(1-ASSUMPTIONS!$C$20)+ASSUMPTIONS!$C$18*ASSUMPTIONS!$C$21-ASSUMPTIONS!$C$18*ASSUMPTIONS!$C$22)*(1+H1933)*(1-((1+H1933)/(1+I1933))^5)/(I1933-H1933))+((ASSUMPTIONS!$C$18*J1933*(1-ASSUMPTIONS!$C$20)+ASSUMPTIONS!$C$18*ASSUMPTIONS!$C$21-ASSUMPTIONS!$C$18*ASSUMPTIONS!$C$22)*(1+H1933)^5*(1+K1933)/(I1933-K1933)/(1+I1933)^5)-DCF!$C$12)/ASSUMPTIONS!$C$7</f>
        <v/>
      </c>
    </row>
    <row r="1934">
      <c r="H1934" s="83">
        <f>_xlfn.NORM.INV(RAND(),AVERAGE(ASSUMPTIONS!$C$38,ASSUMPTIONS!$C$39,ASSUMPTIONS!$C$40,ASSUMPTIONS!$C$41,ASSUMPTIONS!$C$42),ASSUMPTIONS!$C$68)</f>
        <v/>
      </c>
      <c r="I1934" s="83">
        <f>MAX(_xlfn.NORM.INV(RAND(),DCF!$C$11,ASSUMPTIONS!$C$69),K1934+0.005)</f>
        <v/>
      </c>
      <c r="J1934" s="83">
        <f>_xlfn.NORM.INV(RAND(),ASSUMPTIONS!$C$19,ASSUMPTIONS!$C$70)</f>
        <v/>
      </c>
      <c r="K1934" s="83">
        <f>_xlfn.NORM.INV(RAND(),ASSUMPTIONS!$C$43,ASSUMPTIONS!$C$71)</f>
        <v/>
      </c>
      <c r="L1934" s="84">
        <f>(((ASSUMPTIONS!$C$18*J1934*(1-ASSUMPTIONS!$C$20)+ASSUMPTIONS!$C$18*ASSUMPTIONS!$C$21-ASSUMPTIONS!$C$18*ASSUMPTIONS!$C$22)*(1+H1934)*(1-((1+H1934)/(1+I1934))^5)/(I1934-H1934))+((ASSUMPTIONS!$C$18*J1934*(1-ASSUMPTIONS!$C$20)+ASSUMPTIONS!$C$18*ASSUMPTIONS!$C$21-ASSUMPTIONS!$C$18*ASSUMPTIONS!$C$22)*(1+H1934)^5*(1+K1934)/(I1934-K1934)/(1+I1934)^5)-DCF!$C$12)/ASSUMPTIONS!$C$7</f>
        <v/>
      </c>
    </row>
    <row r="1935">
      <c r="H1935" s="83">
        <f>_xlfn.NORM.INV(RAND(),AVERAGE(ASSUMPTIONS!$C$38,ASSUMPTIONS!$C$39,ASSUMPTIONS!$C$40,ASSUMPTIONS!$C$41,ASSUMPTIONS!$C$42),ASSUMPTIONS!$C$68)</f>
        <v/>
      </c>
      <c r="I1935" s="83">
        <f>MAX(_xlfn.NORM.INV(RAND(),DCF!$C$11,ASSUMPTIONS!$C$69),K1935+0.005)</f>
        <v/>
      </c>
      <c r="J1935" s="83">
        <f>_xlfn.NORM.INV(RAND(),ASSUMPTIONS!$C$19,ASSUMPTIONS!$C$70)</f>
        <v/>
      </c>
      <c r="K1935" s="83">
        <f>_xlfn.NORM.INV(RAND(),ASSUMPTIONS!$C$43,ASSUMPTIONS!$C$71)</f>
        <v/>
      </c>
      <c r="L1935" s="84">
        <f>(((ASSUMPTIONS!$C$18*J1935*(1-ASSUMPTIONS!$C$20)+ASSUMPTIONS!$C$18*ASSUMPTIONS!$C$21-ASSUMPTIONS!$C$18*ASSUMPTIONS!$C$22)*(1+H1935)*(1-((1+H1935)/(1+I1935))^5)/(I1935-H1935))+((ASSUMPTIONS!$C$18*J1935*(1-ASSUMPTIONS!$C$20)+ASSUMPTIONS!$C$18*ASSUMPTIONS!$C$21-ASSUMPTIONS!$C$18*ASSUMPTIONS!$C$22)*(1+H1935)^5*(1+K1935)/(I1935-K1935)/(1+I1935)^5)-DCF!$C$12)/ASSUMPTIONS!$C$7</f>
        <v/>
      </c>
    </row>
    <row r="1936">
      <c r="H1936" s="83">
        <f>_xlfn.NORM.INV(RAND(),AVERAGE(ASSUMPTIONS!$C$38,ASSUMPTIONS!$C$39,ASSUMPTIONS!$C$40,ASSUMPTIONS!$C$41,ASSUMPTIONS!$C$42),ASSUMPTIONS!$C$68)</f>
        <v/>
      </c>
      <c r="I1936" s="83">
        <f>MAX(_xlfn.NORM.INV(RAND(),DCF!$C$11,ASSUMPTIONS!$C$69),K1936+0.005)</f>
        <v/>
      </c>
      <c r="J1936" s="83">
        <f>_xlfn.NORM.INV(RAND(),ASSUMPTIONS!$C$19,ASSUMPTIONS!$C$70)</f>
        <v/>
      </c>
      <c r="K1936" s="83">
        <f>_xlfn.NORM.INV(RAND(),ASSUMPTIONS!$C$43,ASSUMPTIONS!$C$71)</f>
        <v/>
      </c>
      <c r="L1936" s="84">
        <f>(((ASSUMPTIONS!$C$18*J1936*(1-ASSUMPTIONS!$C$20)+ASSUMPTIONS!$C$18*ASSUMPTIONS!$C$21-ASSUMPTIONS!$C$18*ASSUMPTIONS!$C$22)*(1+H1936)*(1-((1+H1936)/(1+I1936))^5)/(I1936-H1936))+((ASSUMPTIONS!$C$18*J1936*(1-ASSUMPTIONS!$C$20)+ASSUMPTIONS!$C$18*ASSUMPTIONS!$C$21-ASSUMPTIONS!$C$18*ASSUMPTIONS!$C$22)*(1+H1936)^5*(1+K1936)/(I1936-K1936)/(1+I1936)^5)-DCF!$C$12)/ASSUMPTIONS!$C$7</f>
        <v/>
      </c>
    </row>
    <row r="1937">
      <c r="H1937" s="83">
        <f>_xlfn.NORM.INV(RAND(),AVERAGE(ASSUMPTIONS!$C$38,ASSUMPTIONS!$C$39,ASSUMPTIONS!$C$40,ASSUMPTIONS!$C$41,ASSUMPTIONS!$C$42),ASSUMPTIONS!$C$68)</f>
        <v/>
      </c>
      <c r="I1937" s="83">
        <f>MAX(_xlfn.NORM.INV(RAND(),DCF!$C$11,ASSUMPTIONS!$C$69),K1937+0.005)</f>
        <v/>
      </c>
      <c r="J1937" s="83">
        <f>_xlfn.NORM.INV(RAND(),ASSUMPTIONS!$C$19,ASSUMPTIONS!$C$70)</f>
        <v/>
      </c>
      <c r="K1937" s="83">
        <f>_xlfn.NORM.INV(RAND(),ASSUMPTIONS!$C$43,ASSUMPTIONS!$C$71)</f>
        <v/>
      </c>
      <c r="L1937" s="84">
        <f>(((ASSUMPTIONS!$C$18*J1937*(1-ASSUMPTIONS!$C$20)+ASSUMPTIONS!$C$18*ASSUMPTIONS!$C$21-ASSUMPTIONS!$C$18*ASSUMPTIONS!$C$22)*(1+H1937)*(1-((1+H1937)/(1+I1937))^5)/(I1937-H1937))+((ASSUMPTIONS!$C$18*J1937*(1-ASSUMPTIONS!$C$20)+ASSUMPTIONS!$C$18*ASSUMPTIONS!$C$21-ASSUMPTIONS!$C$18*ASSUMPTIONS!$C$22)*(1+H1937)^5*(1+K1937)/(I1937-K1937)/(1+I1937)^5)-DCF!$C$12)/ASSUMPTIONS!$C$7</f>
        <v/>
      </c>
    </row>
    <row r="1938">
      <c r="H1938" s="83">
        <f>_xlfn.NORM.INV(RAND(),AVERAGE(ASSUMPTIONS!$C$38,ASSUMPTIONS!$C$39,ASSUMPTIONS!$C$40,ASSUMPTIONS!$C$41,ASSUMPTIONS!$C$42),ASSUMPTIONS!$C$68)</f>
        <v/>
      </c>
      <c r="I1938" s="83">
        <f>MAX(_xlfn.NORM.INV(RAND(),DCF!$C$11,ASSUMPTIONS!$C$69),K1938+0.005)</f>
        <v/>
      </c>
      <c r="J1938" s="83">
        <f>_xlfn.NORM.INV(RAND(),ASSUMPTIONS!$C$19,ASSUMPTIONS!$C$70)</f>
        <v/>
      </c>
      <c r="K1938" s="83">
        <f>_xlfn.NORM.INV(RAND(),ASSUMPTIONS!$C$43,ASSUMPTIONS!$C$71)</f>
        <v/>
      </c>
      <c r="L1938" s="84">
        <f>(((ASSUMPTIONS!$C$18*J1938*(1-ASSUMPTIONS!$C$20)+ASSUMPTIONS!$C$18*ASSUMPTIONS!$C$21-ASSUMPTIONS!$C$18*ASSUMPTIONS!$C$22)*(1+H1938)*(1-((1+H1938)/(1+I1938))^5)/(I1938-H1938))+((ASSUMPTIONS!$C$18*J1938*(1-ASSUMPTIONS!$C$20)+ASSUMPTIONS!$C$18*ASSUMPTIONS!$C$21-ASSUMPTIONS!$C$18*ASSUMPTIONS!$C$22)*(1+H1938)^5*(1+K1938)/(I1938-K1938)/(1+I1938)^5)-DCF!$C$12)/ASSUMPTIONS!$C$7</f>
        <v/>
      </c>
    </row>
    <row r="1939">
      <c r="H1939" s="83">
        <f>_xlfn.NORM.INV(RAND(),AVERAGE(ASSUMPTIONS!$C$38,ASSUMPTIONS!$C$39,ASSUMPTIONS!$C$40,ASSUMPTIONS!$C$41,ASSUMPTIONS!$C$42),ASSUMPTIONS!$C$68)</f>
        <v/>
      </c>
      <c r="I1939" s="83">
        <f>MAX(_xlfn.NORM.INV(RAND(),DCF!$C$11,ASSUMPTIONS!$C$69),K1939+0.005)</f>
        <v/>
      </c>
      <c r="J1939" s="83">
        <f>_xlfn.NORM.INV(RAND(),ASSUMPTIONS!$C$19,ASSUMPTIONS!$C$70)</f>
        <v/>
      </c>
      <c r="K1939" s="83">
        <f>_xlfn.NORM.INV(RAND(),ASSUMPTIONS!$C$43,ASSUMPTIONS!$C$71)</f>
        <v/>
      </c>
      <c r="L1939" s="84">
        <f>(((ASSUMPTIONS!$C$18*J1939*(1-ASSUMPTIONS!$C$20)+ASSUMPTIONS!$C$18*ASSUMPTIONS!$C$21-ASSUMPTIONS!$C$18*ASSUMPTIONS!$C$22)*(1+H1939)*(1-((1+H1939)/(1+I1939))^5)/(I1939-H1939))+((ASSUMPTIONS!$C$18*J1939*(1-ASSUMPTIONS!$C$20)+ASSUMPTIONS!$C$18*ASSUMPTIONS!$C$21-ASSUMPTIONS!$C$18*ASSUMPTIONS!$C$22)*(1+H1939)^5*(1+K1939)/(I1939-K1939)/(1+I1939)^5)-DCF!$C$12)/ASSUMPTIONS!$C$7</f>
        <v/>
      </c>
    </row>
    <row r="1940">
      <c r="H1940" s="83">
        <f>_xlfn.NORM.INV(RAND(),AVERAGE(ASSUMPTIONS!$C$38,ASSUMPTIONS!$C$39,ASSUMPTIONS!$C$40,ASSUMPTIONS!$C$41,ASSUMPTIONS!$C$42),ASSUMPTIONS!$C$68)</f>
        <v/>
      </c>
      <c r="I1940" s="83">
        <f>MAX(_xlfn.NORM.INV(RAND(),DCF!$C$11,ASSUMPTIONS!$C$69),K1940+0.005)</f>
        <v/>
      </c>
      <c r="J1940" s="83">
        <f>_xlfn.NORM.INV(RAND(),ASSUMPTIONS!$C$19,ASSUMPTIONS!$C$70)</f>
        <v/>
      </c>
      <c r="K1940" s="83">
        <f>_xlfn.NORM.INV(RAND(),ASSUMPTIONS!$C$43,ASSUMPTIONS!$C$71)</f>
        <v/>
      </c>
      <c r="L1940" s="84">
        <f>(((ASSUMPTIONS!$C$18*J1940*(1-ASSUMPTIONS!$C$20)+ASSUMPTIONS!$C$18*ASSUMPTIONS!$C$21-ASSUMPTIONS!$C$18*ASSUMPTIONS!$C$22)*(1+H1940)*(1-((1+H1940)/(1+I1940))^5)/(I1940-H1940))+((ASSUMPTIONS!$C$18*J1940*(1-ASSUMPTIONS!$C$20)+ASSUMPTIONS!$C$18*ASSUMPTIONS!$C$21-ASSUMPTIONS!$C$18*ASSUMPTIONS!$C$22)*(1+H1940)^5*(1+K1940)/(I1940-K1940)/(1+I1940)^5)-DCF!$C$12)/ASSUMPTIONS!$C$7</f>
        <v/>
      </c>
    </row>
    <row r="1941">
      <c r="H1941" s="83">
        <f>_xlfn.NORM.INV(RAND(),AVERAGE(ASSUMPTIONS!$C$38,ASSUMPTIONS!$C$39,ASSUMPTIONS!$C$40,ASSUMPTIONS!$C$41,ASSUMPTIONS!$C$42),ASSUMPTIONS!$C$68)</f>
        <v/>
      </c>
      <c r="I1941" s="83">
        <f>MAX(_xlfn.NORM.INV(RAND(),DCF!$C$11,ASSUMPTIONS!$C$69),K1941+0.005)</f>
        <v/>
      </c>
      <c r="J1941" s="83">
        <f>_xlfn.NORM.INV(RAND(),ASSUMPTIONS!$C$19,ASSUMPTIONS!$C$70)</f>
        <v/>
      </c>
      <c r="K1941" s="83">
        <f>_xlfn.NORM.INV(RAND(),ASSUMPTIONS!$C$43,ASSUMPTIONS!$C$71)</f>
        <v/>
      </c>
      <c r="L1941" s="84">
        <f>(((ASSUMPTIONS!$C$18*J1941*(1-ASSUMPTIONS!$C$20)+ASSUMPTIONS!$C$18*ASSUMPTIONS!$C$21-ASSUMPTIONS!$C$18*ASSUMPTIONS!$C$22)*(1+H1941)*(1-((1+H1941)/(1+I1941))^5)/(I1941-H1941))+((ASSUMPTIONS!$C$18*J1941*(1-ASSUMPTIONS!$C$20)+ASSUMPTIONS!$C$18*ASSUMPTIONS!$C$21-ASSUMPTIONS!$C$18*ASSUMPTIONS!$C$22)*(1+H1941)^5*(1+K1941)/(I1941-K1941)/(1+I1941)^5)-DCF!$C$12)/ASSUMPTIONS!$C$7</f>
        <v/>
      </c>
    </row>
    <row r="1942">
      <c r="H1942" s="83">
        <f>_xlfn.NORM.INV(RAND(),AVERAGE(ASSUMPTIONS!$C$38,ASSUMPTIONS!$C$39,ASSUMPTIONS!$C$40,ASSUMPTIONS!$C$41,ASSUMPTIONS!$C$42),ASSUMPTIONS!$C$68)</f>
        <v/>
      </c>
      <c r="I1942" s="83">
        <f>MAX(_xlfn.NORM.INV(RAND(),DCF!$C$11,ASSUMPTIONS!$C$69),K1942+0.005)</f>
        <v/>
      </c>
      <c r="J1942" s="83">
        <f>_xlfn.NORM.INV(RAND(),ASSUMPTIONS!$C$19,ASSUMPTIONS!$C$70)</f>
        <v/>
      </c>
      <c r="K1942" s="83">
        <f>_xlfn.NORM.INV(RAND(),ASSUMPTIONS!$C$43,ASSUMPTIONS!$C$71)</f>
        <v/>
      </c>
      <c r="L1942" s="84">
        <f>(((ASSUMPTIONS!$C$18*J1942*(1-ASSUMPTIONS!$C$20)+ASSUMPTIONS!$C$18*ASSUMPTIONS!$C$21-ASSUMPTIONS!$C$18*ASSUMPTIONS!$C$22)*(1+H1942)*(1-((1+H1942)/(1+I1942))^5)/(I1942-H1942))+((ASSUMPTIONS!$C$18*J1942*(1-ASSUMPTIONS!$C$20)+ASSUMPTIONS!$C$18*ASSUMPTIONS!$C$21-ASSUMPTIONS!$C$18*ASSUMPTIONS!$C$22)*(1+H1942)^5*(1+K1942)/(I1942-K1942)/(1+I1942)^5)-DCF!$C$12)/ASSUMPTIONS!$C$7</f>
        <v/>
      </c>
    </row>
    <row r="1943">
      <c r="H1943" s="83">
        <f>_xlfn.NORM.INV(RAND(),AVERAGE(ASSUMPTIONS!$C$38,ASSUMPTIONS!$C$39,ASSUMPTIONS!$C$40,ASSUMPTIONS!$C$41,ASSUMPTIONS!$C$42),ASSUMPTIONS!$C$68)</f>
        <v/>
      </c>
      <c r="I1943" s="83">
        <f>MAX(_xlfn.NORM.INV(RAND(),DCF!$C$11,ASSUMPTIONS!$C$69),K1943+0.005)</f>
        <v/>
      </c>
      <c r="J1943" s="83">
        <f>_xlfn.NORM.INV(RAND(),ASSUMPTIONS!$C$19,ASSUMPTIONS!$C$70)</f>
        <v/>
      </c>
      <c r="K1943" s="83">
        <f>_xlfn.NORM.INV(RAND(),ASSUMPTIONS!$C$43,ASSUMPTIONS!$C$71)</f>
        <v/>
      </c>
      <c r="L1943" s="84">
        <f>(((ASSUMPTIONS!$C$18*J1943*(1-ASSUMPTIONS!$C$20)+ASSUMPTIONS!$C$18*ASSUMPTIONS!$C$21-ASSUMPTIONS!$C$18*ASSUMPTIONS!$C$22)*(1+H1943)*(1-((1+H1943)/(1+I1943))^5)/(I1943-H1943))+((ASSUMPTIONS!$C$18*J1943*(1-ASSUMPTIONS!$C$20)+ASSUMPTIONS!$C$18*ASSUMPTIONS!$C$21-ASSUMPTIONS!$C$18*ASSUMPTIONS!$C$22)*(1+H1943)^5*(1+K1943)/(I1943-K1943)/(1+I1943)^5)-DCF!$C$12)/ASSUMPTIONS!$C$7</f>
        <v/>
      </c>
    </row>
    <row r="1944">
      <c r="H1944" s="83">
        <f>_xlfn.NORM.INV(RAND(),AVERAGE(ASSUMPTIONS!$C$38,ASSUMPTIONS!$C$39,ASSUMPTIONS!$C$40,ASSUMPTIONS!$C$41,ASSUMPTIONS!$C$42),ASSUMPTIONS!$C$68)</f>
        <v/>
      </c>
      <c r="I1944" s="83">
        <f>MAX(_xlfn.NORM.INV(RAND(),DCF!$C$11,ASSUMPTIONS!$C$69),K1944+0.005)</f>
        <v/>
      </c>
      <c r="J1944" s="83">
        <f>_xlfn.NORM.INV(RAND(),ASSUMPTIONS!$C$19,ASSUMPTIONS!$C$70)</f>
        <v/>
      </c>
      <c r="K1944" s="83">
        <f>_xlfn.NORM.INV(RAND(),ASSUMPTIONS!$C$43,ASSUMPTIONS!$C$71)</f>
        <v/>
      </c>
      <c r="L1944" s="84">
        <f>(((ASSUMPTIONS!$C$18*J1944*(1-ASSUMPTIONS!$C$20)+ASSUMPTIONS!$C$18*ASSUMPTIONS!$C$21-ASSUMPTIONS!$C$18*ASSUMPTIONS!$C$22)*(1+H1944)*(1-((1+H1944)/(1+I1944))^5)/(I1944-H1944))+((ASSUMPTIONS!$C$18*J1944*(1-ASSUMPTIONS!$C$20)+ASSUMPTIONS!$C$18*ASSUMPTIONS!$C$21-ASSUMPTIONS!$C$18*ASSUMPTIONS!$C$22)*(1+H1944)^5*(1+K1944)/(I1944-K1944)/(1+I1944)^5)-DCF!$C$12)/ASSUMPTIONS!$C$7</f>
        <v/>
      </c>
    </row>
    <row r="1945">
      <c r="H1945" s="83">
        <f>_xlfn.NORM.INV(RAND(),AVERAGE(ASSUMPTIONS!$C$38,ASSUMPTIONS!$C$39,ASSUMPTIONS!$C$40,ASSUMPTIONS!$C$41,ASSUMPTIONS!$C$42),ASSUMPTIONS!$C$68)</f>
        <v/>
      </c>
      <c r="I1945" s="83">
        <f>MAX(_xlfn.NORM.INV(RAND(),DCF!$C$11,ASSUMPTIONS!$C$69),K1945+0.005)</f>
        <v/>
      </c>
      <c r="J1945" s="83">
        <f>_xlfn.NORM.INV(RAND(),ASSUMPTIONS!$C$19,ASSUMPTIONS!$C$70)</f>
        <v/>
      </c>
      <c r="K1945" s="83">
        <f>_xlfn.NORM.INV(RAND(),ASSUMPTIONS!$C$43,ASSUMPTIONS!$C$71)</f>
        <v/>
      </c>
      <c r="L1945" s="84">
        <f>(((ASSUMPTIONS!$C$18*J1945*(1-ASSUMPTIONS!$C$20)+ASSUMPTIONS!$C$18*ASSUMPTIONS!$C$21-ASSUMPTIONS!$C$18*ASSUMPTIONS!$C$22)*(1+H1945)*(1-((1+H1945)/(1+I1945))^5)/(I1945-H1945))+((ASSUMPTIONS!$C$18*J1945*(1-ASSUMPTIONS!$C$20)+ASSUMPTIONS!$C$18*ASSUMPTIONS!$C$21-ASSUMPTIONS!$C$18*ASSUMPTIONS!$C$22)*(1+H1945)^5*(1+K1945)/(I1945-K1945)/(1+I1945)^5)-DCF!$C$12)/ASSUMPTIONS!$C$7</f>
        <v/>
      </c>
    </row>
    <row r="1946">
      <c r="H1946" s="83">
        <f>_xlfn.NORM.INV(RAND(),AVERAGE(ASSUMPTIONS!$C$38,ASSUMPTIONS!$C$39,ASSUMPTIONS!$C$40,ASSUMPTIONS!$C$41,ASSUMPTIONS!$C$42),ASSUMPTIONS!$C$68)</f>
        <v/>
      </c>
      <c r="I1946" s="83">
        <f>MAX(_xlfn.NORM.INV(RAND(),DCF!$C$11,ASSUMPTIONS!$C$69),K1946+0.005)</f>
        <v/>
      </c>
      <c r="J1946" s="83">
        <f>_xlfn.NORM.INV(RAND(),ASSUMPTIONS!$C$19,ASSUMPTIONS!$C$70)</f>
        <v/>
      </c>
      <c r="K1946" s="83">
        <f>_xlfn.NORM.INV(RAND(),ASSUMPTIONS!$C$43,ASSUMPTIONS!$C$71)</f>
        <v/>
      </c>
      <c r="L1946" s="84">
        <f>(((ASSUMPTIONS!$C$18*J1946*(1-ASSUMPTIONS!$C$20)+ASSUMPTIONS!$C$18*ASSUMPTIONS!$C$21-ASSUMPTIONS!$C$18*ASSUMPTIONS!$C$22)*(1+H1946)*(1-((1+H1946)/(1+I1946))^5)/(I1946-H1946))+((ASSUMPTIONS!$C$18*J1946*(1-ASSUMPTIONS!$C$20)+ASSUMPTIONS!$C$18*ASSUMPTIONS!$C$21-ASSUMPTIONS!$C$18*ASSUMPTIONS!$C$22)*(1+H1946)^5*(1+K1946)/(I1946-K1946)/(1+I1946)^5)-DCF!$C$12)/ASSUMPTIONS!$C$7</f>
        <v/>
      </c>
    </row>
    <row r="1947">
      <c r="H1947" s="83">
        <f>_xlfn.NORM.INV(RAND(),AVERAGE(ASSUMPTIONS!$C$38,ASSUMPTIONS!$C$39,ASSUMPTIONS!$C$40,ASSUMPTIONS!$C$41,ASSUMPTIONS!$C$42),ASSUMPTIONS!$C$68)</f>
        <v/>
      </c>
      <c r="I1947" s="83">
        <f>MAX(_xlfn.NORM.INV(RAND(),DCF!$C$11,ASSUMPTIONS!$C$69),K1947+0.005)</f>
        <v/>
      </c>
      <c r="J1947" s="83">
        <f>_xlfn.NORM.INV(RAND(),ASSUMPTIONS!$C$19,ASSUMPTIONS!$C$70)</f>
        <v/>
      </c>
      <c r="K1947" s="83">
        <f>_xlfn.NORM.INV(RAND(),ASSUMPTIONS!$C$43,ASSUMPTIONS!$C$71)</f>
        <v/>
      </c>
      <c r="L1947" s="84">
        <f>(((ASSUMPTIONS!$C$18*J1947*(1-ASSUMPTIONS!$C$20)+ASSUMPTIONS!$C$18*ASSUMPTIONS!$C$21-ASSUMPTIONS!$C$18*ASSUMPTIONS!$C$22)*(1+H1947)*(1-((1+H1947)/(1+I1947))^5)/(I1947-H1947))+((ASSUMPTIONS!$C$18*J1947*(1-ASSUMPTIONS!$C$20)+ASSUMPTIONS!$C$18*ASSUMPTIONS!$C$21-ASSUMPTIONS!$C$18*ASSUMPTIONS!$C$22)*(1+H1947)^5*(1+K1947)/(I1947-K1947)/(1+I1947)^5)-DCF!$C$12)/ASSUMPTIONS!$C$7</f>
        <v/>
      </c>
    </row>
    <row r="1948">
      <c r="H1948" s="83">
        <f>_xlfn.NORM.INV(RAND(),AVERAGE(ASSUMPTIONS!$C$38,ASSUMPTIONS!$C$39,ASSUMPTIONS!$C$40,ASSUMPTIONS!$C$41,ASSUMPTIONS!$C$42),ASSUMPTIONS!$C$68)</f>
        <v/>
      </c>
      <c r="I1948" s="83">
        <f>MAX(_xlfn.NORM.INV(RAND(),DCF!$C$11,ASSUMPTIONS!$C$69),K1948+0.005)</f>
        <v/>
      </c>
      <c r="J1948" s="83">
        <f>_xlfn.NORM.INV(RAND(),ASSUMPTIONS!$C$19,ASSUMPTIONS!$C$70)</f>
        <v/>
      </c>
      <c r="K1948" s="83">
        <f>_xlfn.NORM.INV(RAND(),ASSUMPTIONS!$C$43,ASSUMPTIONS!$C$71)</f>
        <v/>
      </c>
      <c r="L1948" s="84">
        <f>(((ASSUMPTIONS!$C$18*J1948*(1-ASSUMPTIONS!$C$20)+ASSUMPTIONS!$C$18*ASSUMPTIONS!$C$21-ASSUMPTIONS!$C$18*ASSUMPTIONS!$C$22)*(1+H1948)*(1-((1+H1948)/(1+I1948))^5)/(I1948-H1948))+((ASSUMPTIONS!$C$18*J1948*(1-ASSUMPTIONS!$C$20)+ASSUMPTIONS!$C$18*ASSUMPTIONS!$C$21-ASSUMPTIONS!$C$18*ASSUMPTIONS!$C$22)*(1+H1948)^5*(1+K1948)/(I1948-K1948)/(1+I1948)^5)-DCF!$C$12)/ASSUMPTIONS!$C$7</f>
        <v/>
      </c>
    </row>
    <row r="1949">
      <c r="H1949" s="83">
        <f>_xlfn.NORM.INV(RAND(),AVERAGE(ASSUMPTIONS!$C$38,ASSUMPTIONS!$C$39,ASSUMPTIONS!$C$40,ASSUMPTIONS!$C$41,ASSUMPTIONS!$C$42),ASSUMPTIONS!$C$68)</f>
        <v/>
      </c>
      <c r="I1949" s="83">
        <f>MAX(_xlfn.NORM.INV(RAND(),DCF!$C$11,ASSUMPTIONS!$C$69),K1949+0.005)</f>
        <v/>
      </c>
      <c r="J1949" s="83">
        <f>_xlfn.NORM.INV(RAND(),ASSUMPTIONS!$C$19,ASSUMPTIONS!$C$70)</f>
        <v/>
      </c>
      <c r="K1949" s="83">
        <f>_xlfn.NORM.INV(RAND(),ASSUMPTIONS!$C$43,ASSUMPTIONS!$C$71)</f>
        <v/>
      </c>
      <c r="L1949" s="84">
        <f>(((ASSUMPTIONS!$C$18*J1949*(1-ASSUMPTIONS!$C$20)+ASSUMPTIONS!$C$18*ASSUMPTIONS!$C$21-ASSUMPTIONS!$C$18*ASSUMPTIONS!$C$22)*(1+H1949)*(1-((1+H1949)/(1+I1949))^5)/(I1949-H1949))+((ASSUMPTIONS!$C$18*J1949*(1-ASSUMPTIONS!$C$20)+ASSUMPTIONS!$C$18*ASSUMPTIONS!$C$21-ASSUMPTIONS!$C$18*ASSUMPTIONS!$C$22)*(1+H1949)^5*(1+K1949)/(I1949-K1949)/(1+I1949)^5)-DCF!$C$12)/ASSUMPTIONS!$C$7</f>
        <v/>
      </c>
    </row>
    <row r="1950">
      <c r="H1950" s="83">
        <f>_xlfn.NORM.INV(RAND(),AVERAGE(ASSUMPTIONS!$C$38,ASSUMPTIONS!$C$39,ASSUMPTIONS!$C$40,ASSUMPTIONS!$C$41,ASSUMPTIONS!$C$42),ASSUMPTIONS!$C$68)</f>
        <v/>
      </c>
      <c r="I1950" s="83">
        <f>MAX(_xlfn.NORM.INV(RAND(),DCF!$C$11,ASSUMPTIONS!$C$69),K1950+0.005)</f>
        <v/>
      </c>
      <c r="J1950" s="83">
        <f>_xlfn.NORM.INV(RAND(),ASSUMPTIONS!$C$19,ASSUMPTIONS!$C$70)</f>
        <v/>
      </c>
      <c r="K1950" s="83">
        <f>_xlfn.NORM.INV(RAND(),ASSUMPTIONS!$C$43,ASSUMPTIONS!$C$71)</f>
        <v/>
      </c>
      <c r="L1950" s="84">
        <f>(((ASSUMPTIONS!$C$18*J1950*(1-ASSUMPTIONS!$C$20)+ASSUMPTIONS!$C$18*ASSUMPTIONS!$C$21-ASSUMPTIONS!$C$18*ASSUMPTIONS!$C$22)*(1+H1950)*(1-((1+H1950)/(1+I1950))^5)/(I1950-H1950))+((ASSUMPTIONS!$C$18*J1950*(1-ASSUMPTIONS!$C$20)+ASSUMPTIONS!$C$18*ASSUMPTIONS!$C$21-ASSUMPTIONS!$C$18*ASSUMPTIONS!$C$22)*(1+H1950)^5*(1+K1950)/(I1950-K1950)/(1+I1950)^5)-DCF!$C$12)/ASSUMPTIONS!$C$7</f>
        <v/>
      </c>
    </row>
    <row r="1951">
      <c r="H1951" s="83">
        <f>_xlfn.NORM.INV(RAND(),AVERAGE(ASSUMPTIONS!$C$38,ASSUMPTIONS!$C$39,ASSUMPTIONS!$C$40,ASSUMPTIONS!$C$41,ASSUMPTIONS!$C$42),ASSUMPTIONS!$C$68)</f>
        <v/>
      </c>
      <c r="I1951" s="83">
        <f>MAX(_xlfn.NORM.INV(RAND(),DCF!$C$11,ASSUMPTIONS!$C$69),K1951+0.005)</f>
        <v/>
      </c>
      <c r="J1951" s="83">
        <f>_xlfn.NORM.INV(RAND(),ASSUMPTIONS!$C$19,ASSUMPTIONS!$C$70)</f>
        <v/>
      </c>
      <c r="K1951" s="83">
        <f>_xlfn.NORM.INV(RAND(),ASSUMPTIONS!$C$43,ASSUMPTIONS!$C$71)</f>
        <v/>
      </c>
      <c r="L1951" s="84">
        <f>(((ASSUMPTIONS!$C$18*J1951*(1-ASSUMPTIONS!$C$20)+ASSUMPTIONS!$C$18*ASSUMPTIONS!$C$21-ASSUMPTIONS!$C$18*ASSUMPTIONS!$C$22)*(1+H1951)*(1-((1+H1951)/(1+I1951))^5)/(I1951-H1951))+((ASSUMPTIONS!$C$18*J1951*(1-ASSUMPTIONS!$C$20)+ASSUMPTIONS!$C$18*ASSUMPTIONS!$C$21-ASSUMPTIONS!$C$18*ASSUMPTIONS!$C$22)*(1+H1951)^5*(1+K1951)/(I1951-K1951)/(1+I1951)^5)-DCF!$C$12)/ASSUMPTIONS!$C$7</f>
        <v/>
      </c>
    </row>
    <row r="1952">
      <c r="H1952" s="83">
        <f>_xlfn.NORM.INV(RAND(),AVERAGE(ASSUMPTIONS!$C$38,ASSUMPTIONS!$C$39,ASSUMPTIONS!$C$40,ASSUMPTIONS!$C$41,ASSUMPTIONS!$C$42),ASSUMPTIONS!$C$68)</f>
        <v/>
      </c>
      <c r="I1952" s="83">
        <f>MAX(_xlfn.NORM.INV(RAND(),DCF!$C$11,ASSUMPTIONS!$C$69),K1952+0.005)</f>
        <v/>
      </c>
      <c r="J1952" s="83">
        <f>_xlfn.NORM.INV(RAND(),ASSUMPTIONS!$C$19,ASSUMPTIONS!$C$70)</f>
        <v/>
      </c>
      <c r="K1952" s="83">
        <f>_xlfn.NORM.INV(RAND(),ASSUMPTIONS!$C$43,ASSUMPTIONS!$C$71)</f>
        <v/>
      </c>
      <c r="L1952" s="84">
        <f>(((ASSUMPTIONS!$C$18*J1952*(1-ASSUMPTIONS!$C$20)+ASSUMPTIONS!$C$18*ASSUMPTIONS!$C$21-ASSUMPTIONS!$C$18*ASSUMPTIONS!$C$22)*(1+H1952)*(1-((1+H1952)/(1+I1952))^5)/(I1952-H1952))+((ASSUMPTIONS!$C$18*J1952*(1-ASSUMPTIONS!$C$20)+ASSUMPTIONS!$C$18*ASSUMPTIONS!$C$21-ASSUMPTIONS!$C$18*ASSUMPTIONS!$C$22)*(1+H1952)^5*(1+K1952)/(I1952-K1952)/(1+I1952)^5)-DCF!$C$12)/ASSUMPTIONS!$C$7</f>
        <v/>
      </c>
    </row>
    <row r="1953">
      <c r="H1953" s="83">
        <f>_xlfn.NORM.INV(RAND(),AVERAGE(ASSUMPTIONS!$C$38,ASSUMPTIONS!$C$39,ASSUMPTIONS!$C$40,ASSUMPTIONS!$C$41,ASSUMPTIONS!$C$42),ASSUMPTIONS!$C$68)</f>
        <v/>
      </c>
      <c r="I1953" s="83">
        <f>MAX(_xlfn.NORM.INV(RAND(),DCF!$C$11,ASSUMPTIONS!$C$69),K1953+0.005)</f>
        <v/>
      </c>
      <c r="J1953" s="83">
        <f>_xlfn.NORM.INV(RAND(),ASSUMPTIONS!$C$19,ASSUMPTIONS!$C$70)</f>
        <v/>
      </c>
      <c r="K1953" s="83">
        <f>_xlfn.NORM.INV(RAND(),ASSUMPTIONS!$C$43,ASSUMPTIONS!$C$71)</f>
        <v/>
      </c>
      <c r="L1953" s="84">
        <f>(((ASSUMPTIONS!$C$18*J1953*(1-ASSUMPTIONS!$C$20)+ASSUMPTIONS!$C$18*ASSUMPTIONS!$C$21-ASSUMPTIONS!$C$18*ASSUMPTIONS!$C$22)*(1+H1953)*(1-((1+H1953)/(1+I1953))^5)/(I1953-H1953))+((ASSUMPTIONS!$C$18*J1953*(1-ASSUMPTIONS!$C$20)+ASSUMPTIONS!$C$18*ASSUMPTIONS!$C$21-ASSUMPTIONS!$C$18*ASSUMPTIONS!$C$22)*(1+H1953)^5*(1+K1953)/(I1953-K1953)/(1+I1953)^5)-DCF!$C$12)/ASSUMPTIONS!$C$7</f>
        <v/>
      </c>
    </row>
    <row r="1954">
      <c r="H1954" s="83">
        <f>_xlfn.NORM.INV(RAND(),AVERAGE(ASSUMPTIONS!$C$38,ASSUMPTIONS!$C$39,ASSUMPTIONS!$C$40,ASSUMPTIONS!$C$41,ASSUMPTIONS!$C$42),ASSUMPTIONS!$C$68)</f>
        <v/>
      </c>
      <c r="I1954" s="83">
        <f>MAX(_xlfn.NORM.INV(RAND(),DCF!$C$11,ASSUMPTIONS!$C$69),K1954+0.005)</f>
        <v/>
      </c>
      <c r="J1954" s="83">
        <f>_xlfn.NORM.INV(RAND(),ASSUMPTIONS!$C$19,ASSUMPTIONS!$C$70)</f>
        <v/>
      </c>
      <c r="K1954" s="83">
        <f>_xlfn.NORM.INV(RAND(),ASSUMPTIONS!$C$43,ASSUMPTIONS!$C$71)</f>
        <v/>
      </c>
      <c r="L1954" s="84">
        <f>(((ASSUMPTIONS!$C$18*J1954*(1-ASSUMPTIONS!$C$20)+ASSUMPTIONS!$C$18*ASSUMPTIONS!$C$21-ASSUMPTIONS!$C$18*ASSUMPTIONS!$C$22)*(1+H1954)*(1-((1+H1954)/(1+I1954))^5)/(I1954-H1954))+((ASSUMPTIONS!$C$18*J1954*(1-ASSUMPTIONS!$C$20)+ASSUMPTIONS!$C$18*ASSUMPTIONS!$C$21-ASSUMPTIONS!$C$18*ASSUMPTIONS!$C$22)*(1+H1954)^5*(1+K1954)/(I1954-K1954)/(1+I1954)^5)-DCF!$C$12)/ASSUMPTIONS!$C$7</f>
        <v/>
      </c>
    </row>
    <row r="1955">
      <c r="H1955" s="83">
        <f>_xlfn.NORM.INV(RAND(),AVERAGE(ASSUMPTIONS!$C$38,ASSUMPTIONS!$C$39,ASSUMPTIONS!$C$40,ASSUMPTIONS!$C$41,ASSUMPTIONS!$C$42),ASSUMPTIONS!$C$68)</f>
        <v/>
      </c>
      <c r="I1955" s="83">
        <f>MAX(_xlfn.NORM.INV(RAND(),DCF!$C$11,ASSUMPTIONS!$C$69),K1955+0.005)</f>
        <v/>
      </c>
      <c r="J1955" s="83">
        <f>_xlfn.NORM.INV(RAND(),ASSUMPTIONS!$C$19,ASSUMPTIONS!$C$70)</f>
        <v/>
      </c>
      <c r="K1955" s="83">
        <f>_xlfn.NORM.INV(RAND(),ASSUMPTIONS!$C$43,ASSUMPTIONS!$C$71)</f>
        <v/>
      </c>
      <c r="L1955" s="84">
        <f>(((ASSUMPTIONS!$C$18*J1955*(1-ASSUMPTIONS!$C$20)+ASSUMPTIONS!$C$18*ASSUMPTIONS!$C$21-ASSUMPTIONS!$C$18*ASSUMPTIONS!$C$22)*(1+H1955)*(1-((1+H1955)/(1+I1955))^5)/(I1955-H1955))+((ASSUMPTIONS!$C$18*J1955*(1-ASSUMPTIONS!$C$20)+ASSUMPTIONS!$C$18*ASSUMPTIONS!$C$21-ASSUMPTIONS!$C$18*ASSUMPTIONS!$C$22)*(1+H1955)^5*(1+K1955)/(I1955-K1955)/(1+I1955)^5)-DCF!$C$12)/ASSUMPTIONS!$C$7</f>
        <v/>
      </c>
    </row>
    <row r="1956">
      <c r="H1956" s="83">
        <f>_xlfn.NORM.INV(RAND(),AVERAGE(ASSUMPTIONS!$C$38,ASSUMPTIONS!$C$39,ASSUMPTIONS!$C$40,ASSUMPTIONS!$C$41,ASSUMPTIONS!$C$42),ASSUMPTIONS!$C$68)</f>
        <v/>
      </c>
      <c r="I1956" s="83">
        <f>MAX(_xlfn.NORM.INV(RAND(),DCF!$C$11,ASSUMPTIONS!$C$69),K1956+0.005)</f>
        <v/>
      </c>
      <c r="J1956" s="83">
        <f>_xlfn.NORM.INV(RAND(),ASSUMPTIONS!$C$19,ASSUMPTIONS!$C$70)</f>
        <v/>
      </c>
      <c r="K1956" s="83">
        <f>_xlfn.NORM.INV(RAND(),ASSUMPTIONS!$C$43,ASSUMPTIONS!$C$71)</f>
        <v/>
      </c>
      <c r="L1956" s="84">
        <f>(((ASSUMPTIONS!$C$18*J1956*(1-ASSUMPTIONS!$C$20)+ASSUMPTIONS!$C$18*ASSUMPTIONS!$C$21-ASSUMPTIONS!$C$18*ASSUMPTIONS!$C$22)*(1+H1956)*(1-((1+H1956)/(1+I1956))^5)/(I1956-H1956))+((ASSUMPTIONS!$C$18*J1956*(1-ASSUMPTIONS!$C$20)+ASSUMPTIONS!$C$18*ASSUMPTIONS!$C$21-ASSUMPTIONS!$C$18*ASSUMPTIONS!$C$22)*(1+H1956)^5*(1+K1956)/(I1956-K1956)/(1+I1956)^5)-DCF!$C$12)/ASSUMPTIONS!$C$7</f>
        <v/>
      </c>
    </row>
    <row r="1957">
      <c r="H1957" s="83">
        <f>_xlfn.NORM.INV(RAND(),AVERAGE(ASSUMPTIONS!$C$38,ASSUMPTIONS!$C$39,ASSUMPTIONS!$C$40,ASSUMPTIONS!$C$41,ASSUMPTIONS!$C$42),ASSUMPTIONS!$C$68)</f>
        <v/>
      </c>
      <c r="I1957" s="83">
        <f>MAX(_xlfn.NORM.INV(RAND(),DCF!$C$11,ASSUMPTIONS!$C$69),K1957+0.005)</f>
        <v/>
      </c>
      <c r="J1957" s="83">
        <f>_xlfn.NORM.INV(RAND(),ASSUMPTIONS!$C$19,ASSUMPTIONS!$C$70)</f>
        <v/>
      </c>
      <c r="K1957" s="83">
        <f>_xlfn.NORM.INV(RAND(),ASSUMPTIONS!$C$43,ASSUMPTIONS!$C$71)</f>
        <v/>
      </c>
      <c r="L1957" s="84">
        <f>(((ASSUMPTIONS!$C$18*J1957*(1-ASSUMPTIONS!$C$20)+ASSUMPTIONS!$C$18*ASSUMPTIONS!$C$21-ASSUMPTIONS!$C$18*ASSUMPTIONS!$C$22)*(1+H1957)*(1-((1+H1957)/(1+I1957))^5)/(I1957-H1957))+((ASSUMPTIONS!$C$18*J1957*(1-ASSUMPTIONS!$C$20)+ASSUMPTIONS!$C$18*ASSUMPTIONS!$C$21-ASSUMPTIONS!$C$18*ASSUMPTIONS!$C$22)*(1+H1957)^5*(1+K1957)/(I1957-K1957)/(1+I1957)^5)-DCF!$C$12)/ASSUMPTIONS!$C$7</f>
        <v/>
      </c>
    </row>
    <row r="1958">
      <c r="H1958" s="83">
        <f>_xlfn.NORM.INV(RAND(),AVERAGE(ASSUMPTIONS!$C$38,ASSUMPTIONS!$C$39,ASSUMPTIONS!$C$40,ASSUMPTIONS!$C$41,ASSUMPTIONS!$C$42),ASSUMPTIONS!$C$68)</f>
        <v/>
      </c>
      <c r="I1958" s="83">
        <f>MAX(_xlfn.NORM.INV(RAND(),DCF!$C$11,ASSUMPTIONS!$C$69),K1958+0.005)</f>
        <v/>
      </c>
      <c r="J1958" s="83">
        <f>_xlfn.NORM.INV(RAND(),ASSUMPTIONS!$C$19,ASSUMPTIONS!$C$70)</f>
        <v/>
      </c>
      <c r="K1958" s="83">
        <f>_xlfn.NORM.INV(RAND(),ASSUMPTIONS!$C$43,ASSUMPTIONS!$C$71)</f>
        <v/>
      </c>
      <c r="L1958" s="84">
        <f>(((ASSUMPTIONS!$C$18*J1958*(1-ASSUMPTIONS!$C$20)+ASSUMPTIONS!$C$18*ASSUMPTIONS!$C$21-ASSUMPTIONS!$C$18*ASSUMPTIONS!$C$22)*(1+H1958)*(1-((1+H1958)/(1+I1958))^5)/(I1958-H1958))+((ASSUMPTIONS!$C$18*J1958*(1-ASSUMPTIONS!$C$20)+ASSUMPTIONS!$C$18*ASSUMPTIONS!$C$21-ASSUMPTIONS!$C$18*ASSUMPTIONS!$C$22)*(1+H1958)^5*(1+K1958)/(I1958-K1958)/(1+I1958)^5)-DCF!$C$12)/ASSUMPTIONS!$C$7</f>
        <v/>
      </c>
    </row>
    <row r="1959">
      <c r="H1959" s="83">
        <f>_xlfn.NORM.INV(RAND(),AVERAGE(ASSUMPTIONS!$C$38,ASSUMPTIONS!$C$39,ASSUMPTIONS!$C$40,ASSUMPTIONS!$C$41,ASSUMPTIONS!$C$42),ASSUMPTIONS!$C$68)</f>
        <v/>
      </c>
      <c r="I1959" s="83">
        <f>MAX(_xlfn.NORM.INV(RAND(),DCF!$C$11,ASSUMPTIONS!$C$69),K1959+0.005)</f>
        <v/>
      </c>
      <c r="J1959" s="83">
        <f>_xlfn.NORM.INV(RAND(),ASSUMPTIONS!$C$19,ASSUMPTIONS!$C$70)</f>
        <v/>
      </c>
      <c r="K1959" s="83">
        <f>_xlfn.NORM.INV(RAND(),ASSUMPTIONS!$C$43,ASSUMPTIONS!$C$71)</f>
        <v/>
      </c>
      <c r="L1959" s="84">
        <f>(((ASSUMPTIONS!$C$18*J1959*(1-ASSUMPTIONS!$C$20)+ASSUMPTIONS!$C$18*ASSUMPTIONS!$C$21-ASSUMPTIONS!$C$18*ASSUMPTIONS!$C$22)*(1+H1959)*(1-((1+H1959)/(1+I1959))^5)/(I1959-H1959))+((ASSUMPTIONS!$C$18*J1959*(1-ASSUMPTIONS!$C$20)+ASSUMPTIONS!$C$18*ASSUMPTIONS!$C$21-ASSUMPTIONS!$C$18*ASSUMPTIONS!$C$22)*(1+H1959)^5*(1+K1959)/(I1959-K1959)/(1+I1959)^5)-DCF!$C$12)/ASSUMPTIONS!$C$7</f>
        <v/>
      </c>
    </row>
    <row r="1960">
      <c r="H1960" s="83">
        <f>_xlfn.NORM.INV(RAND(),AVERAGE(ASSUMPTIONS!$C$38,ASSUMPTIONS!$C$39,ASSUMPTIONS!$C$40,ASSUMPTIONS!$C$41,ASSUMPTIONS!$C$42),ASSUMPTIONS!$C$68)</f>
        <v/>
      </c>
      <c r="I1960" s="83">
        <f>MAX(_xlfn.NORM.INV(RAND(),DCF!$C$11,ASSUMPTIONS!$C$69),K1960+0.005)</f>
        <v/>
      </c>
      <c r="J1960" s="83">
        <f>_xlfn.NORM.INV(RAND(),ASSUMPTIONS!$C$19,ASSUMPTIONS!$C$70)</f>
        <v/>
      </c>
      <c r="K1960" s="83">
        <f>_xlfn.NORM.INV(RAND(),ASSUMPTIONS!$C$43,ASSUMPTIONS!$C$71)</f>
        <v/>
      </c>
      <c r="L1960" s="84">
        <f>(((ASSUMPTIONS!$C$18*J1960*(1-ASSUMPTIONS!$C$20)+ASSUMPTIONS!$C$18*ASSUMPTIONS!$C$21-ASSUMPTIONS!$C$18*ASSUMPTIONS!$C$22)*(1+H1960)*(1-((1+H1960)/(1+I1960))^5)/(I1960-H1960))+((ASSUMPTIONS!$C$18*J1960*(1-ASSUMPTIONS!$C$20)+ASSUMPTIONS!$C$18*ASSUMPTIONS!$C$21-ASSUMPTIONS!$C$18*ASSUMPTIONS!$C$22)*(1+H1960)^5*(1+K1960)/(I1960-K1960)/(1+I1960)^5)-DCF!$C$12)/ASSUMPTIONS!$C$7</f>
        <v/>
      </c>
    </row>
    <row r="1961">
      <c r="H1961" s="83">
        <f>_xlfn.NORM.INV(RAND(),AVERAGE(ASSUMPTIONS!$C$38,ASSUMPTIONS!$C$39,ASSUMPTIONS!$C$40,ASSUMPTIONS!$C$41,ASSUMPTIONS!$C$42),ASSUMPTIONS!$C$68)</f>
        <v/>
      </c>
      <c r="I1961" s="83">
        <f>MAX(_xlfn.NORM.INV(RAND(),DCF!$C$11,ASSUMPTIONS!$C$69),K1961+0.005)</f>
        <v/>
      </c>
      <c r="J1961" s="83">
        <f>_xlfn.NORM.INV(RAND(),ASSUMPTIONS!$C$19,ASSUMPTIONS!$C$70)</f>
        <v/>
      </c>
      <c r="K1961" s="83">
        <f>_xlfn.NORM.INV(RAND(),ASSUMPTIONS!$C$43,ASSUMPTIONS!$C$71)</f>
        <v/>
      </c>
      <c r="L1961" s="84">
        <f>(((ASSUMPTIONS!$C$18*J1961*(1-ASSUMPTIONS!$C$20)+ASSUMPTIONS!$C$18*ASSUMPTIONS!$C$21-ASSUMPTIONS!$C$18*ASSUMPTIONS!$C$22)*(1+H1961)*(1-((1+H1961)/(1+I1961))^5)/(I1961-H1961))+((ASSUMPTIONS!$C$18*J1961*(1-ASSUMPTIONS!$C$20)+ASSUMPTIONS!$C$18*ASSUMPTIONS!$C$21-ASSUMPTIONS!$C$18*ASSUMPTIONS!$C$22)*(1+H1961)^5*(1+K1961)/(I1961-K1961)/(1+I1961)^5)-DCF!$C$12)/ASSUMPTIONS!$C$7</f>
        <v/>
      </c>
    </row>
    <row r="1962">
      <c r="H1962" s="83">
        <f>_xlfn.NORM.INV(RAND(),AVERAGE(ASSUMPTIONS!$C$38,ASSUMPTIONS!$C$39,ASSUMPTIONS!$C$40,ASSUMPTIONS!$C$41,ASSUMPTIONS!$C$42),ASSUMPTIONS!$C$68)</f>
        <v/>
      </c>
      <c r="I1962" s="83">
        <f>MAX(_xlfn.NORM.INV(RAND(),DCF!$C$11,ASSUMPTIONS!$C$69),K1962+0.005)</f>
        <v/>
      </c>
      <c r="J1962" s="83">
        <f>_xlfn.NORM.INV(RAND(),ASSUMPTIONS!$C$19,ASSUMPTIONS!$C$70)</f>
        <v/>
      </c>
      <c r="K1962" s="83">
        <f>_xlfn.NORM.INV(RAND(),ASSUMPTIONS!$C$43,ASSUMPTIONS!$C$71)</f>
        <v/>
      </c>
      <c r="L1962" s="84">
        <f>(((ASSUMPTIONS!$C$18*J1962*(1-ASSUMPTIONS!$C$20)+ASSUMPTIONS!$C$18*ASSUMPTIONS!$C$21-ASSUMPTIONS!$C$18*ASSUMPTIONS!$C$22)*(1+H1962)*(1-((1+H1962)/(1+I1962))^5)/(I1962-H1962))+((ASSUMPTIONS!$C$18*J1962*(1-ASSUMPTIONS!$C$20)+ASSUMPTIONS!$C$18*ASSUMPTIONS!$C$21-ASSUMPTIONS!$C$18*ASSUMPTIONS!$C$22)*(1+H1962)^5*(1+K1962)/(I1962-K1962)/(1+I1962)^5)-DCF!$C$12)/ASSUMPTIONS!$C$7</f>
        <v/>
      </c>
    </row>
    <row r="1963">
      <c r="H1963" s="83">
        <f>_xlfn.NORM.INV(RAND(),AVERAGE(ASSUMPTIONS!$C$38,ASSUMPTIONS!$C$39,ASSUMPTIONS!$C$40,ASSUMPTIONS!$C$41,ASSUMPTIONS!$C$42),ASSUMPTIONS!$C$68)</f>
        <v/>
      </c>
      <c r="I1963" s="83">
        <f>MAX(_xlfn.NORM.INV(RAND(),DCF!$C$11,ASSUMPTIONS!$C$69),K1963+0.005)</f>
        <v/>
      </c>
      <c r="J1963" s="83">
        <f>_xlfn.NORM.INV(RAND(),ASSUMPTIONS!$C$19,ASSUMPTIONS!$C$70)</f>
        <v/>
      </c>
      <c r="K1963" s="83">
        <f>_xlfn.NORM.INV(RAND(),ASSUMPTIONS!$C$43,ASSUMPTIONS!$C$71)</f>
        <v/>
      </c>
      <c r="L1963" s="84">
        <f>(((ASSUMPTIONS!$C$18*J1963*(1-ASSUMPTIONS!$C$20)+ASSUMPTIONS!$C$18*ASSUMPTIONS!$C$21-ASSUMPTIONS!$C$18*ASSUMPTIONS!$C$22)*(1+H1963)*(1-((1+H1963)/(1+I1963))^5)/(I1963-H1963))+((ASSUMPTIONS!$C$18*J1963*(1-ASSUMPTIONS!$C$20)+ASSUMPTIONS!$C$18*ASSUMPTIONS!$C$21-ASSUMPTIONS!$C$18*ASSUMPTIONS!$C$22)*(1+H1963)^5*(1+K1963)/(I1963-K1963)/(1+I1963)^5)-DCF!$C$12)/ASSUMPTIONS!$C$7</f>
        <v/>
      </c>
    </row>
    <row r="1964">
      <c r="H1964" s="83">
        <f>_xlfn.NORM.INV(RAND(),AVERAGE(ASSUMPTIONS!$C$38,ASSUMPTIONS!$C$39,ASSUMPTIONS!$C$40,ASSUMPTIONS!$C$41,ASSUMPTIONS!$C$42),ASSUMPTIONS!$C$68)</f>
        <v/>
      </c>
      <c r="I1964" s="83">
        <f>MAX(_xlfn.NORM.INV(RAND(),DCF!$C$11,ASSUMPTIONS!$C$69),K1964+0.005)</f>
        <v/>
      </c>
      <c r="J1964" s="83">
        <f>_xlfn.NORM.INV(RAND(),ASSUMPTIONS!$C$19,ASSUMPTIONS!$C$70)</f>
        <v/>
      </c>
      <c r="K1964" s="83">
        <f>_xlfn.NORM.INV(RAND(),ASSUMPTIONS!$C$43,ASSUMPTIONS!$C$71)</f>
        <v/>
      </c>
      <c r="L1964" s="84">
        <f>(((ASSUMPTIONS!$C$18*J1964*(1-ASSUMPTIONS!$C$20)+ASSUMPTIONS!$C$18*ASSUMPTIONS!$C$21-ASSUMPTIONS!$C$18*ASSUMPTIONS!$C$22)*(1+H1964)*(1-((1+H1964)/(1+I1964))^5)/(I1964-H1964))+((ASSUMPTIONS!$C$18*J1964*(1-ASSUMPTIONS!$C$20)+ASSUMPTIONS!$C$18*ASSUMPTIONS!$C$21-ASSUMPTIONS!$C$18*ASSUMPTIONS!$C$22)*(1+H1964)^5*(1+K1964)/(I1964-K1964)/(1+I1964)^5)-DCF!$C$12)/ASSUMPTIONS!$C$7</f>
        <v/>
      </c>
    </row>
    <row r="1965">
      <c r="H1965" s="83">
        <f>_xlfn.NORM.INV(RAND(),AVERAGE(ASSUMPTIONS!$C$38,ASSUMPTIONS!$C$39,ASSUMPTIONS!$C$40,ASSUMPTIONS!$C$41,ASSUMPTIONS!$C$42),ASSUMPTIONS!$C$68)</f>
        <v/>
      </c>
      <c r="I1965" s="83">
        <f>MAX(_xlfn.NORM.INV(RAND(),DCF!$C$11,ASSUMPTIONS!$C$69),K1965+0.005)</f>
        <v/>
      </c>
      <c r="J1965" s="83">
        <f>_xlfn.NORM.INV(RAND(),ASSUMPTIONS!$C$19,ASSUMPTIONS!$C$70)</f>
        <v/>
      </c>
      <c r="K1965" s="83">
        <f>_xlfn.NORM.INV(RAND(),ASSUMPTIONS!$C$43,ASSUMPTIONS!$C$71)</f>
        <v/>
      </c>
      <c r="L1965" s="84">
        <f>(((ASSUMPTIONS!$C$18*J1965*(1-ASSUMPTIONS!$C$20)+ASSUMPTIONS!$C$18*ASSUMPTIONS!$C$21-ASSUMPTIONS!$C$18*ASSUMPTIONS!$C$22)*(1+H1965)*(1-((1+H1965)/(1+I1965))^5)/(I1965-H1965))+((ASSUMPTIONS!$C$18*J1965*(1-ASSUMPTIONS!$C$20)+ASSUMPTIONS!$C$18*ASSUMPTIONS!$C$21-ASSUMPTIONS!$C$18*ASSUMPTIONS!$C$22)*(1+H1965)^5*(1+K1965)/(I1965-K1965)/(1+I1965)^5)-DCF!$C$12)/ASSUMPTIONS!$C$7</f>
        <v/>
      </c>
    </row>
    <row r="1966">
      <c r="H1966" s="83">
        <f>_xlfn.NORM.INV(RAND(),AVERAGE(ASSUMPTIONS!$C$38,ASSUMPTIONS!$C$39,ASSUMPTIONS!$C$40,ASSUMPTIONS!$C$41,ASSUMPTIONS!$C$42),ASSUMPTIONS!$C$68)</f>
        <v/>
      </c>
      <c r="I1966" s="83">
        <f>MAX(_xlfn.NORM.INV(RAND(),DCF!$C$11,ASSUMPTIONS!$C$69),K1966+0.005)</f>
        <v/>
      </c>
      <c r="J1966" s="83">
        <f>_xlfn.NORM.INV(RAND(),ASSUMPTIONS!$C$19,ASSUMPTIONS!$C$70)</f>
        <v/>
      </c>
      <c r="K1966" s="83">
        <f>_xlfn.NORM.INV(RAND(),ASSUMPTIONS!$C$43,ASSUMPTIONS!$C$71)</f>
        <v/>
      </c>
      <c r="L1966" s="84">
        <f>(((ASSUMPTIONS!$C$18*J1966*(1-ASSUMPTIONS!$C$20)+ASSUMPTIONS!$C$18*ASSUMPTIONS!$C$21-ASSUMPTIONS!$C$18*ASSUMPTIONS!$C$22)*(1+H1966)*(1-((1+H1966)/(1+I1966))^5)/(I1966-H1966))+((ASSUMPTIONS!$C$18*J1966*(1-ASSUMPTIONS!$C$20)+ASSUMPTIONS!$C$18*ASSUMPTIONS!$C$21-ASSUMPTIONS!$C$18*ASSUMPTIONS!$C$22)*(1+H1966)^5*(1+K1966)/(I1966-K1966)/(1+I1966)^5)-DCF!$C$12)/ASSUMPTIONS!$C$7</f>
        <v/>
      </c>
    </row>
    <row r="1967">
      <c r="H1967" s="83">
        <f>_xlfn.NORM.INV(RAND(),AVERAGE(ASSUMPTIONS!$C$38,ASSUMPTIONS!$C$39,ASSUMPTIONS!$C$40,ASSUMPTIONS!$C$41,ASSUMPTIONS!$C$42),ASSUMPTIONS!$C$68)</f>
        <v/>
      </c>
      <c r="I1967" s="83">
        <f>MAX(_xlfn.NORM.INV(RAND(),DCF!$C$11,ASSUMPTIONS!$C$69),K1967+0.005)</f>
        <v/>
      </c>
      <c r="J1967" s="83">
        <f>_xlfn.NORM.INV(RAND(),ASSUMPTIONS!$C$19,ASSUMPTIONS!$C$70)</f>
        <v/>
      </c>
      <c r="K1967" s="83">
        <f>_xlfn.NORM.INV(RAND(),ASSUMPTIONS!$C$43,ASSUMPTIONS!$C$71)</f>
        <v/>
      </c>
      <c r="L1967" s="84">
        <f>(((ASSUMPTIONS!$C$18*J1967*(1-ASSUMPTIONS!$C$20)+ASSUMPTIONS!$C$18*ASSUMPTIONS!$C$21-ASSUMPTIONS!$C$18*ASSUMPTIONS!$C$22)*(1+H1967)*(1-((1+H1967)/(1+I1967))^5)/(I1967-H1967))+((ASSUMPTIONS!$C$18*J1967*(1-ASSUMPTIONS!$C$20)+ASSUMPTIONS!$C$18*ASSUMPTIONS!$C$21-ASSUMPTIONS!$C$18*ASSUMPTIONS!$C$22)*(1+H1967)^5*(1+K1967)/(I1967-K1967)/(1+I1967)^5)-DCF!$C$12)/ASSUMPTIONS!$C$7</f>
        <v/>
      </c>
    </row>
    <row r="1968">
      <c r="H1968" s="83">
        <f>_xlfn.NORM.INV(RAND(),AVERAGE(ASSUMPTIONS!$C$38,ASSUMPTIONS!$C$39,ASSUMPTIONS!$C$40,ASSUMPTIONS!$C$41,ASSUMPTIONS!$C$42),ASSUMPTIONS!$C$68)</f>
        <v/>
      </c>
      <c r="I1968" s="83">
        <f>MAX(_xlfn.NORM.INV(RAND(),DCF!$C$11,ASSUMPTIONS!$C$69),K1968+0.005)</f>
        <v/>
      </c>
      <c r="J1968" s="83">
        <f>_xlfn.NORM.INV(RAND(),ASSUMPTIONS!$C$19,ASSUMPTIONS!$C$70)</f>
        <v/>
      </c>
      <c r="K1968" s="83">
        <f>_xlfn.NORM.INV(RAND(),ASSUMPTIONS!$C$43,ASSUMPTIONS!$C$71)</f>
        <v/>
      </c>
      <c r="L1968" s="84">
        <f>(((ASSUMPTIONS!$C$18*J1968*(1-ASSUMPTIONS!$C$20)+ASSUMPTIONS!$C$18*ASSUMPTIONS!$C$21-ASSUMPTIONS!$C$18*ASSUMPTIONS!$C$22)*(1+H1968)*(1-((1+H1968)/(1+I1968))^5)/(I1968-H1968))+((ASSUMPTIONS!$C$18*J1968*(1-ASSUMPTIONS!$C$20)+ASSUMPTIONS!$C$18*ASSUMPTIONS!$C$21-ASSUMPTIONS!$C$18*ASSUMPTIONS!$C$22)*(1+H1968)^5*(1+K1968)/(I1968-K1968)/(1+I1968)^5)-DCF!$C$12)/ASSUMPTIONS!$C$7</f>
        <v/>
      </c>
    </row>
    <row r="1969">
      <c r="H1969" s="83">
        <f>_xlfn.NORM.INV(RAND(),AVERAGE(ASSUMPTIONS!$C$38,ASSUMPTIONS!$C$39,ASSUMPTIONS!$C$40,ASSUMPTIONS!$C$41,ASSUMPTIONS!$C$42),ASSUMPTIONS!$C$68)</f>
        <v/>
      </c>
      <c r="I1969" s="83">
        <f>MAX(_xlfn.NORM.INV(RAND(),DCF!$C$11,ASSUMPTIONS!$C$69),K1969+0.005)</f>
        <v/>
      </c>
      <c r="J1969" s="83">
        <f>_xlfn.NORM.INV(RAND(),ASSUMPTIONS!$C$19,ASSUMPTIONS!$C$70)</f>
        <v/>
      </c>
      <c r="K1969" s="83">
        <f>_xlfn.NORM.INV(RAND(),ASSUMPTIONS!$C$43,ASSUMPTIONS!$C$71)</f>
        <v/>
      </c>
      <c r="L1969" s="84">
        <f>(((ASSUMPTIONS!$C$18*J1969*(1-ASSUMPTIONS!$C$20)+ASSUMPTIONS!$C$18*ASSUMPTIONS!$C$21-ASSUMPTIONS!$C$18*ASSUMPTIONS!$C$22)*(1+H1969)*(1-((1+H1969)/(1+I1969))^5)/(I1969-H1969))+((ASSUMPTIONS!$C$18*J1969*(1-ASSUMPTIONS!$C$20)+ASSUMPTIONS!$C$18*ASSUMPTIONS!$C$21-ASSUMPTIONS!$C$18*ASSUMPTIONS!$C$22)*(1+H1969)^5*(1+K1969)/(I1969-K1969)/(1+I1969)^5)-DCF!$C$12)/ASSUMPTIONS!$C$7</f>
        <v/>
      </c>
    </row>
    <row r="1970">
      <c r="H1970" s="83">
        <f>_xlfn.NORM.INV(RAND(),AVERAGE(ASSUMPTIONS!$C$38,ASSUMPTIONS!$C$39,ASSUMPTIONS!$C$40,ASSUMPTIONS!$C$41,ASSUMPTIONS!$C$42),ASSUMPTIONS!$C$68)</f>
        <v/>
      </c>
      <c r="I1970" s="83">
        <f>MAX(_xlfn.NORM.INV(RAND(),DCF!$C$11,ASSUMPTIONS!$C$69),K1970+0.005)</f>
        <v/>
      </c>
      <c r="J1970" s="83">
        <f>_xlfn.NORM.INV(RAND(),ASSUMPTIONS!$C$19,ASSUMPTIONS!$C$70)</f>
        <v/>
      </c>
      <c r="K1970" s="83">
        <f>_xlfn.NORM.INV(RAND(),ASSUMPTIONS!$C$43,ASSUMPTIONS!$C$71)</f>
        <v/>
      </c>
      <c r="L1970" s="84">
        <f>(((ASSUMPTIONS!$C$18*J1970*(1-ASSUMPTIONS!$C$20)+ASSUMPTIONS!$C$18*ASSUMPTIONS!$C$21-ASSUMPTIONS!$C$18*ASSUMPTIONS!$C$22)*(1+H1970)*(1-((1+H1970)/(1+I1970))^5)/(I1970-H1970))+((ASSUMPTIONS!$C$18*J1970*(1-ASSUMPTIONS!$C$20)+ASSUMPTIONS!$C$18*ASSUMPTIONS!$C$21-ASSUMPTIONS!$C$18*ASSUMPTIONS!$C$22)*(1+H1970)^5*(1+K1970)/(I1970-K1970)/(1+I1970)^5)-DCF!$C$12)/ASSUMPTIONS!$C$7</f>
        <v/>
      </c>
    </row>
    <row r="1971">
      <c r="H1971" s="83">
        <f>_xlfn.NORM.INV(RAND(),AVERAGE(ASSUMPTIONS!$C$38,ASSUMPTIONS!$C$39,ASSUMPTIONS!$C$40,ASSUMPTIONS!$C$41,ASSUMPTIONS!$C$42),ASSUMPTIONS!$C$68)</f>
        <v/>
      </c>
      <c r="I1971" s="83">
        <f>MAX(_xlfn.NORM.INV(RAND(),DCF!$C$11,ASSUMPTIONS!$C$69),K1971+0.005)</f>
        <v/>
      </c>
      <c r="J1971" s="83">
        <f>_xlfn.NORM.INV(RAND(),ASSUMPTIONS!$C$19,ASSUMPTIONS!$C$70)</f>
        <v/>
      </c>
      <c r="K1971" s="83">
        <f>_xlfn.NORM.INV(RAND(),ASSUMPTIONS!$C$43,ASSUMPTIONS!$C$71)</f>
        <v/>
      </c>
      <c r="L1971" s="84">
        <f>(((ASSUMPTIONS!$C$18*J1971*(1-ASSUMPTIONS!$C$20)+ASSUMPTIONS!$C$18*ASSUMPTIONS!$C$21-ASSUMPTIONS!$C$18*ASSUMPTIONS!$C$22)*(1+H1971)*(1-((1+H1971)/(1+I1971))^5)/(I1971-H1971))+((ASSUMPTIONS!$C$18*J1971*(1-ASSUMPTIONS!$C$20)+ASSUMPTIONS!$C$18*ASSUMPTIONS!$C$21-ASSUMPTIONS!$C$18*ASSUMPTIONS!$C$22)*(1+H1971)^5*(1+K1971)/(I1971-K1971)/(1+I1971)^5)-DCF!$C$12)/ASSUMPTIONS!$C$7</f>
        <v/>
      </c>
    </row>
    <row r="1972">
      <c r="H1972" s="83">
        <f>_xlfn.NORM.INV(RAND(),AVERAGE(ASSUMPTIONS!$C$38,ASSUMPTIONS!$C$39,ASSUMPTIONS!$C$40,ASSUMPTIONS!$C$41,ASSUMPTIONS!$C$42),ASSUMPTIONS!$C$68)</f>
        <v/>
      </c>
      <c r="I1972" s="83">
        <f>MAX(_xlfn.NORM.INV(RAND(),DCF!$C$11,ASSUMPTIONS!$C$69),K1972+0.005)</f>
        <v/>
      </c>
      <c r="J1972" s="83">
        <f>_xlfn.NORM.INV(RAND(),ASSUMPTIONS!$C$19,ASSUMPTIONS!$C$70)</f>
        <v/>
      </c>
      <c r="K1972" s="83">
        <f>_xlfn.NORM.INV(RAND(),ASSUMPTIONS!$C$43,ASSUMPTIONS!$C$71)</f>
        <v/>
      </c>
      <c r="L1972" s="84">
        <f>(((ASSUMPTIONS!$C$18*J1972*(1-ASSUMPTIONS!$C$20)+ASSUMPTIONS!$C$18*ASSUMPTIONS!$C$21-ASSUMPTIONS!$C$18*ASSUMPTIONS!$C$22)*(1+H1972)*(1-((1+H1972)/(1+I1972))^5)/(I1972-H1972))+((ASSUMPTIONS!$C$18*J1972*(1-ASSUMPTIONS!$C$20)+ASSUMPTIONS!$C$18*ASSUMPTIONS!$C$21-ASSUMPTIONS!$C$18*ASSUMPTIONS!$C$22)*(1+H1972)^5*(1+K1972)/(I1972-K1972)/(1+I1972)^5)-DCF!$C$12)/ASSUMPTIONS!$C$7</f>
        <v/>
      </c>
    </row>
    <row r="1973">
      <c r="H1973" s="83">
        <f>_xlfn.NORM.INV(RAND(),AVERAGE(ASSUMPTIONS!$C$38,ASSUMPTIONS!$C$39,ASSUMPTIONS!$C$40,ASSUMPTIONS!$C$41,ASSUMPTIONS!$C$42),ASSUMPTIONS!$C$68)</f>
        <v/>
      </c>
      <c r="I1973" s="83">
        <f>MAX(_xlfn.NORM.INV(RAND(),DCF!$C$11,ASSUMPTIONS!$C$69),K1973+0.005)</f>
        <v/>
      </c>
      <c r="J1973" s="83">
        <f>_xlfn.NORM.INV(RAND(),ASSUMPTIONS!$C$19,ASSUMPTIONS!$C$70)</f>
        <v/>
      </c>
      <c r="K1973" s="83">
        <f>_xlfn.NORM.INV(RAND(),ASSUMPTIONS!$C$43,ASSUMPTIONS!$C$71)</f>
        <v/>
      </c>
      <c r="L1973" s="84">
        <f>(((ASSUMPTIONS!$C$18*J1973*(1-ASSUMPTIONS!$C$20)+ASSUMPTIONS!$C$18*ASSUMPTIONS!$C$21-ASSUMPTIONS!$C$18*ASSUMPTIONS!$C$22)*(1+H1973)*(1-((1+H1973)/(1+I1973))^5)/(I1973-H1973))+((ASSUMPTIONS!$C$18*J1973*(1-ASSUMPTIONS!$C$20)+ASSUMPTIONS!$C$18*ASSUMPTIONS!$C$21-ASSUMPTIONS!$C$18*ASSUMPTIONS!$C$22)*(1+H1973)^5*(1+K1973)/(I1973-K1973)/(1+I1973)^5)-DCF!$C$12)/ASSUMPTIONS!$C$7</f>
        <v/>
      </c>
    </row>
    <row r="1974">
      <c r="H1974" s="83">
        <f>_xlfn.NORM.INV(RAND(),AVERAGE(ASSUMPTIONS!$C$38,ASSUMPTIONS!$C$39,ASSUMPTIONS!$C$40,ASSUMPTIONS!$C$41,ASSUMPTIONS!$C$42),ASSUMPTIONS!$C$68)</f>
        <v/>
      </c>
      <c r="I1974" s="83">
        <f>MAX(_xlfn.NORM.INV(RAND(),DCF!$C$11,ASSUMPTIONS!$C$69),K1974+0.005)</f>
        <v/>
      </c>
      <c r="J1974" s="83">
        <f>_xlfn.NORM.INV(RAND(),ASSUMPTIONS!$C$19,ASSUMPTIONS!$C$70)</f>
        <v/>
      </c>
      <c r="K1974" s="83">
        <f>_xlfn.NORM.INV(RAND(),ASSUMPTIONS!$C$43,ASSUMPTIONS!$C$71)</f>
        <v/>
      </c>
      <c r="L1974" s="84">
        <f>(((ASSUMPTIONS!$C$18*J1974*(1-ASSUMPTIONS!$C$20)+ASSUMPTIONS!$C$18*ASSUMPTIONS!$C$21-ASSUMPTIONS!$C$18*ASSUMPTIONS!$C$22)*(1+H1974)*(1-((1+H1974)/(1+I1974))^5)/(I1974-H1974))+((ASSUMPTIONS!$C$18*J1974*(1-ASSUMPTIONS!$C$20)+ASSUMPTIONS!$C$18*ASSUMPTIONS!$C$21-ASSUMPTIONS!$C$18*ASSUMPTIONS!$C$22)*(1+H1974)^5*(1+K1974)/(I1974-K1974)/(1+I1974)^5)-DCF!$C$12)/ASSUMPTIONS!$C$7</f>
        <v/>
      </c>
    </row>
    <row r="1975">
      <c r="H1975" s="83">
        <f>_xlfn.NORM.INV(RAND(),AVERAGE(ASSUMPTIONS!$C$38,ASSUMPTIONS!$C$39,ASSUMPTIONS!$C$40,ASSUMPTIONS!$C$41,ASSUMPTIONS!$C$42),ASSUMPTIONS!$C$68)</f>
        <v/>
      </c>
      <c r="I1975" s="83">
        <f>MAX(_xlfn.NORM.INV(RAND(),DCF!$C$11,ASSUMPTIONS!$C$69),K1975+0.005)</f>
        <v/>
      </c>
      <c r="J1975" s="83">
        <f>_xlfn.NORM.INV(RAND(),ASSUMPTIONS!$C$19,ASSUMPTIONS!$C$70)</f>
        <v/>
      </c>
      <c r="K1975" s="83">
        <f>_xlfn.NORM.INV(RAND(),ASSUMPTIONS!$C$43,ASSUMPTIONS!$C$71)</f>
        <v/>
      </c>
      <c r="L1975" s="84">
        <f>(((ASSUMPTIONS!$C$18*J1975*(1-ASSUMPTIONS!$C$20)+ASSUMPTIONS!$C$18*ASSUMPTIONS!$C$21-ASSUMPTIONS!$C$18*ASSUMPTIONS!$C$22)*(1+H1975)*(1-((1+H1975)/(1+I1975))^5)/(I1975-H1975))+((ASSUMPTIONS!$C$18*J1975*(1-ASSUMPTIONS!$C$20)+ASSUMPTIONS!$C$18*ASSUMPTIONS!$C$21-ASSUMPTIONS!$C$18*ASSUMPTIONS!$C$22)*(1+H1975)^5*(1+K1975)/(I1975-K1975)/(1+I1975)^5)-DCF!$C$12)/ASSUMPTIONS!$C$7</f>
        <v/>
      </c>
    </row>
    <row r="1976">
      <c r="H1976" s="83">
        <f>_xlfn.NORM.INV(RAND(),AVERAGE(ASSUMPTIONS!$C$38,ASSUMPTIONS!$C$39,ASSUMPTIONS!$C$40,ASSUMPTIONS!$C$41,ASSUMPTIONS!$C$42),ASSUMPTIONS!$C$68)</f>
        <v/>
      </c>
      <c r="I1976" s="83">
        <f>MAX(_xlfn.NORM.INV(RAND(),DCF!$C$11,ASSUMPTIONS!$C$69),K1976+0.005)</f>
        <v/>
      </c>
      <c r="J1976" s="83">
        <f>_xlfn.NORM.INV(RAND(),ASSUMPTIONS!$C$19,ASSUMPTIONS!$C$70)</f>
        <v/>
      </c>
      <c r="K1976" s="83">
        <f>_xlfn.NORM.INV(RAND(),ASSUMPTIONS!$C$43,ASSUMPTIONS!$C$71)</f>
        <v/>
      </c>
      <c r="L1976" s="84">
        <f>(((ASSUMPTIONS!$C$18*J1976*(1-ASSUMPTIONS!$C$20)+ASSUMPTIONS!$C$18*ASSUMPTIONS!$C$21-ASSUMPTIONS!$C$18*ASSUMPTIONS!$C$22)*(1+H1976)*(1-((1+H1976)/(1+I1976))^5)/(I1976-H1976))+((ASSUMPTIONS!$C$18*J1976*(1-ASSUMPTIONS!$C$20)+ASSUMPTIONS!$C$18*ASSUMPTIONS!$C$21-ASSUMPTIONS!$C$18*ASSUMPTIONS!$C$22)*(1+H1976)^5*(1+K1976)/(I1976-K1976)/(1+I1976)^5)-DCF!$C$12)/ASSUMPTIONS!$C$7</f>
        <v/>
      </c>
    </row>
    <row r="1977">
      <c r="H1977" s="83">
        <f>_xlfn.NORM.INV(RAND(),AVERAGE(ASSUMPTIONS!$C$38,ASSUMPTIONS!$C$39,ASSUMPTIONS!$C$40,ASSUMPTIONS!$C$41,ASSUMPTIONS!$C$42),ASSUMPTIONS!$C$68)</f>
        <v/>
      </c>
      <c r="I1977" s="83">
        <f>MAX(_xlfn.NORM.INV(RAND(),DCF!$C$11,ASSUMPTIONS!$C$69),K1977+0.005)</f>
        <v/>
      </c>
      <c r="J1977" s="83">
        <f>_xlfn.NORM.INV(RAND(),ASSUMPTIONS!$C$19,ASSUMPTIONS!$C$70)</f>
        <v/>
      </c>
      <c r="K1977" s="83">
        <f>_xlfn.NORM.INV(RAND(),ASSUMPTIONS!$C$43,ASSUMPTIONS!$C$71)</f>
        <v/>
      </c>
      <c r="L1977" s="84">
        <f>(((ASSUMPTIONS!$C$18*J1977*(1-ASSUMPTIONS!$C$20)+ASSUMPTIONS!$C$18*ASSUMPTIONS!$C$21-ASSUMPTIONS!$C$18*ASSUMPTIONS!$C$22)*(1+H1977)*(1-((1+H1977)/(1+I1977))^5)/(I1977-H1977))+((ASSUMPTIONS!$C$18*J1977*(1-ASSUMPTIONS!$C$20)+ASSUMPTIONS!$C$18*ASSUMPTIONS!$C$21-ASSUMPTIONS!$C$18*ASSUMPTIONS!$C$22)*(1+H1977)^5*(1+K1977)/(I1977-K1977)/(1+I1977)^5)-DCF!$C$12)/ASSUMPTIONS!$C$7</f>
        <v/>
      </c>
    </row>
    <row r="1978">
      <c r="H1978" s="83">
        <f>_xlfn.NORM.INV(RAND(),AVERAGE(ASSUMPTIONS!$C$38,ASSUMPTIONS!$C$39,ASSUMPTIONS!$C$40,ASSUMPTIONS!$C$41,ASSUMPTIONS!$C$42),ASSUMPTIONS!$C$68)</f>
        <v/>
      </c>
      <c r="I1978" s="83">
        <f>MAX(_xlfn.NORM.INV(RAND(),DCF!$C$11,ASSUMPTIONS!$C$69),K1978+0.005)</f>
        <v/>
      </c>
      <c r="J1978" s="83">
        <f>_xlfn.NORM.INV(RAND(),ASSUMPTIONS!$C$19,ASSUMPTIONS!$C$70)</f>
        <v/>
      </c>
      <c r="K1978" s="83">
        <f>_xlfn.NORM.INV(RAND(),ASSUMPTIONS!$C$43,ASSUMPTIONS!$C$71)</f>
        <v/>
      </c>
      <c r="L1978" s="84">
        <f>(((ASSUMPTIONS!$C$18*J1978*(1-ASSUMPTIONS!$C$20)+ASSUMPTIONS!$C$18*ASSUMPTIONS!$C$21-ASSUMPTIONS!$C$18*ASSUMPTIONS!$C$22)*(1+H1978)*(1-((1+H1978)/(1+I1978))^5)/(I1978-H1978))+((ASSUMPTIONS!$C$18*J1978*(1-ASSUMPTIONS!$C$20)+ASSUMPTIONS!$C$18*ASSUMPTIONS!$C$21-ASSUMPTIONS!$C$18*ASSUMPTIONS!$C$22)*(1+H1978)^5*(1+K1978)/(I1978-K1978)/(1+I1978)^5)-DCF!$C$12)/ASSUMPTIONS!$C$7</f>
        <v/>
      </c>
    </row>
    <row r="1979">
      <c r="H1979" s="83">
        <f>_xlfn.NORM.INV(RAND(),AVERAGE(ASSUMPTIONS!$C$38,ASSUMPTIONS!$C$39,ASSUMPTIONS!$C$40,ASSUMPTIONS!$C$41,ASSUMPTIONS!$C$42),ASSUMPTIONS!$C$68)</f>
        <v/>
      </c>
      <c r="I1979" s="83">
        <f>MAX(_xlfn.NORM.INV(RAND(),DCF!$C$11,ASSUMPTIONS!$C$69),K1979+0.005)</f>
        <v/>
      </c>
      <c r="J1979" s="83">
        <f>_xlfn.NORM.INV(RAND(),ASSUMPTIONS!$C$19,ASSUMPTIONS!$C$70)</f>
        <v/>
      </c>
      <c r="K1979" s="83">
        <f>_xlfn.NORM.INV(RAND(),ASSUMPTIONS!$C$43,ASSUMPTIONS!$C$71)</f>
        <v/>
      </c>
      <c r="L1979" s="84">
        <f>(((ASSUMPTIONS!$C$18*J1979*(1-ASSUMPTIONS!$C$20)+ASSUMPTIONS!$C$18*ASSUMPTIONS!$C$21-ASSUMPTIONS!$C$18*ASSUMPTIONS!$C$22)*(1+H1979)*(1-((1+H1979)/(1+I1979))^5)/(I1979-H1979))+((ASSUMPTIONS!$C$18*J1979*(1-ASSUMPTIONS!$C$20)+ASSUMPTIONS!$C$18*ASSUMPTIONS!$C$21-ASSUMPTIONS!$C$18*ASSUMPTIONS!$C$22)*(1+H1979)^5*(1+K1979)/(I1979-K1979)/(1+I1979)^5)-DCF!$C$12)/ASSUMPTIONS!$C$7</f>
        <v/>
      </c>
    </row>
    <row r="1980">
      <c r="H1980" s="83">
        <f>_xlfn.NORM.INV(RAND(),AVERAGE(ASSUMPTIONS!$C$38,ASSUMPTIONS!$C$39,ASSUMPTIONS!$C$40,ASSUMPTIONS!$C$41,ASSUMPTIONS!$C$42),ASSUMPTIONS!$C$68)</f>
        <v/>
      </c>
      <c r="I1980" s="83">
        <f>MAX(_xlfn.NORM.INV(RAND(),DCF!$C$11,ASSUMPTIONS!$C$69),K1980+0.005)</f>
        <v/>
      </c>
      <c r="J1980" s="83">
        <f>_xlfn.NORM.INV(RAND(),ASSUMPTIONS!$C$19,ASSUMPTIONS!$C$70)</f>
        <v/>
      </c>
      <c r="K1980" s="83">
        <f>_xlfn.NORM.INV(RAND(),ASSUMPTIONS!$C$43,ASSUMPTIONS!$C$71)</f>
        <v/>
      </c>
      <c r="L1980" s="84">
        <f>(((ASSUMPTIONS!$C$18*J1980*(1-ASSUMPTIONS!$C$20)+ASSUMPTIONS!$C$18*ASSUMPTIONS!$C$21-ASSUMPTIONS!$C$18*ASSUMPTIONS!$C$22)*(1+H1980)*(1-((1+H1980)/(1+I1980))^5)/(I1980-H1980))+((ASSUMPTIONS!$C$18*J1980*(1-ASSUMPTIONS!$C$20)+ASSUMPTIONS!$C$18*ASSUMPTIONS!$C$21-ASSUMPTIONS!$C$18*ASSUMPTIONS!$C$22)*(1+H1980)^5*(1+K1980)/(I1980-K1980)/(1+I1980)^5)-DCF!$C$12)/ASSUMPTIONS!$C$7</f>
        <v/>
      </c>
    </row>
    <row r="1981">
      <c r="H1981" s="83">
        <f>_xlfn.NORM.INV(RAND(),AVERAGE(ASSUMPTIONS!$C$38,ASSUMPTIONS!$C$39,ASSUMPTIONS!$C$40,ASSUMPTIONS!$C$41,ASSUMPTIONS!$C$42),ASSUMPTIONS!$C$68)</f>
        <v/>
      </c>
      <c r="I1981" s="83">
        <f>MAX(_xlfn.NORM.INV(RAND(),DCF!$C$11,ASSUMPTIONS!$C$69),K1981+0.005)</f>
        <v/>
      </c>
      <c r="J1981" s="83">
        <f>_xlfn.NORM.INV(RAND(),ASSUMPTIONS!$C$19,ASSUMPTIONS!$C$70)</f>
        <v/>
      </c>
      <c r="K1981" s="83">
        <f>_xlfn.NORM.INV(RAND(),ASSUMPTIONS!$C$43,ASSUMPTIONS!$C$71)</f>
        <v/>
      </c>
      <c r="L1981" s="84">
        <f>(((ASSUMPTIONS!$C$18*J1981*(1-ASSUMPTIONS!$C$20)+ASSUMPTIONS!$C$18*ASSUMPTIONS!$C$21-ASSUMPTIONS!$C$18*ASSUMPTIONS!$C$22)*(1+H1981)*(1-((1+H1981)/(1+I1981))^5)/(I1981-H1981))+((ASSUMPTIONS!$C$18*J1981*(1-ASSUMPTIONS!$C$20)+ASSUMPTIONS!$C$18*ASSUMPTIONS!$C$21-ASSUMPTIONS!$C$18*ASSUMPTIONS!$C$22)*(1+H1981)^5*(1+K1981)/(I1981-K1981)/(1+I1981)^5)-DCF!$C$12)/ASSUMPTIONS!$C$7</f>
        <v/>
      </c>
    </row>
    <row r="1982">
      <c r="H1982" s="83">
        <f>_xlfn.NORM.INV(RAND(),AVERAGE(ASSUMPTIONS!$C$38,ASSUMPTIONS!$C$39,ASSUMPTIONS!$C$40,ASSUMPTIONS!$C$41,ASSUMPTIONS!$C$42),ASSUMPTIONS!$C$68)</f>
        <v/>
      </c>
      <c r="I1982" s="83">
        <f>MAX(_xlfn.NORM.INV(RAND(),DCF!$C$11,ASSUMPTIONS!$C$69),K1982+0.005)</f>
        <v/>
      </c>
      <c r="J1982" s="83">
        <f>_xlfn.NORM.INV(RAND(),ASSUMPTIONS!$C$19,ASSUMPTIONS!$C$70)</f>
        <v/>
      </c>
      <c r="K1982" s="83">
        <f>_xlfn.NORM.INV(RAND(),ASSUMPTIONS!$C$43,ASSUMPTIONS!$C$71)</f>
        <v/>
      </c>
      <c r="L1982" s="84">
        <f>(((ASSUMPTIONS!$C$18*J1982*(1-ASSUMPTIONS!$C$20)+ASSUMPTIONS!$C$18*ASSUMPTIONS!$C$21-ASSUMPTIONS!$C$18*ASSUMPTIONS!$C$22)*(1+H1982)*(1-((1+H1982)/(1+I1982))^5)/(I1982-H1982))+((ASSUMPTIONS!$C$18*J1982*(1-ASSUMPTIONS!$C$20)+ASSUMPTIONS!$C$18*ASSUMPTIONS!$C$21-ASSUMPTIONS!$C$18*ASSUMPTIONS!$C$22)*(1+H1982)^5*(1+K1982)/(I1982-K1982)/(1+I1982)^5)-DCF!$C$12)/ASSUMPTIONS!$C$7</f>
        <v/>
      </c>
    </row>
    <row r="1983">
      <c r="H1983" s="83">
        <f>_xlfn.NORM.INV(RAND(),AVERAGE(ASSUMPTIONS!$C$38,ASSUMPTIONS!$C$39,ASSUMPTIONS!$C$40,ASSUMPTIONS!$C$41,ASSUMPTIONS!$C$42),ASSUMPTIONS!$C$68)</f>
        <v/>
      </c>
      <c r="I1983" s="83">
        <f>MAX(_xlfn.NORM.INV(RAND(),DCF!$C$11,ASSUMPTIONS!$C$69),K1983+0.005)</f>
        <v/>
      </c>
      <c r="J1983" s="83">
        <f>_xlfn.NORM.INV(RAND(),ASSUMPTIONS!$C$19,ASSUMPTIONS!$C$70)</f>
        <v/>
      </c>
      <c r="K1983" s="83">
        <f>_xlfn.NORM.INV(RAND(),ASSUMPTIONS!$C$43,ASSUMPTIONS!$C$71)</f>
        <v/>
      </c>
      <c r="L1983" s="84">
        <f>(((ASSUMPTIONS!$C$18*J1983*(1-ASSUMPTIONS!$C$20)+ASSUMPTIONS!$C$18*ASSUMPTIONS!$C$21-ASSUMPTIONS!$C$18*ASSUMPTIONS!$C$22)*(1+H1983)*(1-((1+H1983)/(1+I1983))^5)/(I1983-H1983))+((ASSUMPTIONS!$C$18*J1983*(1-ASSUMPTIONS!$C$20)+ASSUMPTIONS!$C$18*ASSUMPTIONS!$C$21-ASSUMPTIONS!$C$18*ASSUMPTIONS!$C$22)*(1+H1983)^5*(1+K1983)/(I1983-K1983)/(1+I1983)^5)-DCF!$C$12)/ASSUMPTIONS!$C$7</f>
        <v/>
      </c>
    </row>
    <row r="1984">
      <c r="H1984" s="83">
        <f>_xlfn.NORM.INV(RAND(),AVERAGE(ASSUMPTIONS!$C$38,ASSUMPTIONS!$C$39,ASSUMPTIONS!$C$40,ASSUMPTIONS!$C$41,ASSUMPTIONS!$C$42),ASSUMPTIONS!$C$68)</f>
        <v/>
      </c>
      <c r="I1984" s="83">
        <f>MAX(_xlfn.NORM.INV(RAND(),DCF!$C$11,ASSUMPTIONS!$C$69),K1984+0.005)</f>
        <v/>
      </c>
      <c r="J1984" s="83">
        <f>_xlfn.NORM.INV(RAND(),ASSUMPTIONS!$C$19,ASSUMPTIONS!$C$70)</f>
        <v/>
      </c>
      <c r="K1984" s="83">
        <f>_xlfn.NORM.INV(RAND(),ASSUMPTIONS!$C$43,ASSUMPTIONS!$C$71)</f>
        <v/>
      </c>
      <c r="L1984" s="84">
        <f>(((ASSUMPTIONS!$C$18*J1984*(1-ASSUMPTIONS!$C$20)+ASSUMPTIONS!$C$18*ASSUMPTIONS!$C$21-ASSUMPTIONS!$C$18*ASSUMPTIONS!$C$22)*(1+H1984)*(1-((1+H1984)/(1+I1984))^5)/(I1984-H1984))+((ASSUMPTIONS!$C$18*J1984*(1-ASSUMPTIONS!$C$20)+ASSUMPTIONS!$C$18*ASSUMPTIONS!$C$21-ASSUMPTIONS!$C$18*ASSUMPTIONS!$C$22)*(1+H1984)^5*(1+K1984)/(I1984-K1984)/(1+I1984)^5)-DCF!$C$12)/ASSUMPTIONS!$C$7</f>
        <v/>
      </c>
    </row>
    <row r="1985">
      <c r="H1985" s="83">
        <f>_xlfn.NORM.INV(RAND(),AVERAGE(ASSUMPTIONS!$C$38,ASSUMPTIONS!$C$39,ASSUMPTIONS!$C$40,ASSUMPTIONS!$C$41,ASSUMPTIONS!$C$42),ASSUMPTIONS!$C$68)</f>
        <v/>
      </c>
      <c r="I1985" s="83">
        <f>MAX(_xlfn.NORM.INV(RAND(),DCF!$C$11,ASSUMPTIONS!$C$69),K1985+0.005)</f>
        <v/>
      </c>
      <c r="J1985" s="83">
        <f>_xlfn.NORM.INV(RAND(),ASSUMPTIONS!$C$19,ASSUMPTIONS!$C$70)</f>
        <v/>
      </c>
      <c r="K1985" s="83">
        <f>_xlfn.NORM.INV(RAND(),ASSUMPTIONS!$C$43,ASSUMPTIONS!$C$71)</f>
        <v/>
      </c>
      <c r="L1985" s="84">
        <f>(((ASSUMPTIONS!$C$18*J1985*(1-ASSUMPTIONS!$C$20)+ASSUMPTIONS!$C$18*ASSUMPTIONS!$C$21-ASSUMPTIONS!$C$18*ASSUMPTIONS!$C$22)*(1+H1985)*(1-((1+H1985)/(1+I1985))^5)/(I1985-H1985))+((ASSUMPTIONS!$C$18*J1985*(1-ASSUMPTIONS!$C$20)+ASSUMPTIONS!$C$18*ASSUMPTIONS!$C$21-ASSUMPTIONS!$C$18*ASSUMPTIONS!$C$22)*(1+H1985)^5*(1+K1985)/(I1985-K1985)/(1+I1985)^5)-DCF!$C$12)/ASSUMPTIONS!$C$7</f>
        <v/>
      </c>
    </row>
    <row r="1986">
      <c r="H1986" s="83">
        <f>_xlfn.NORM.INV(RAND(),AVERAGE(ASSUMPTIONS!$C$38,ASSUMPTIONS!$C$39,ASSUMPTIONS!$C$40,ASSUMPTIONS!$C$41,ASSUMPTIONS!$C$42),ASSUMPTIONS!$C$68)</f>
        <v/>
      </c>
      <c r="I1986" s="83">
        <f>MAX(_xlfn.NORM.INV(RAND(),DCF!$C$11,ASSUMPTIONS!$C$69),K1986+0.005)</f>
        <v/>
      </c>
      <c r="J1986" s="83">
        <f>_xlfn.NORM.INV(RAND(),ASSUMPTIONS!$C$19,ASSUMPTIONS!$C$70)</f>
        <v/>
      </c>
      <c r="K1986" s="83">
        <f>_xlfn.NORM.INV(RAND(),ASSUMPTIONS!$C$43,ASSUMPTIONS!$C$71)</f>
        <v/>
      </c>
      <c r="L1986" s="84">
        <f>(((ASSUMPTIONS!$C$18*J1986*(1-ASSUMPTIONS!$C$20)+ASSUMPTIONS!$C$18*ASSUMPTIONS!$C$21-ASSUMPTIONS!$C$18*ASSUMPTIONS!$C$22)*(1+H1986)*(1-((1+H1986)/(1+I1986))^5)/(I1986-H1986))+((ASSUMPTIONS!$C$18*J1986*(1-ASSUMPTIONS!$C$20)+ASSUMPTIONS!$C$18*ASSUMPTIONS!$C$21-ASSUMPTIONS!$C$18*ASSUMPTIONS!$C$22)*(1+H1986)^5*(1+K1986)/(I1986-K1986)/(1+I1986)^5)-DCF!$C$12)/ASSUMPTIONS!$C$7</f>
        <v/>
      </c>
    </row>
    <row r="1987">
      <c r="H1987" s="83">
        <f>_xlfn.NORM.INV(RAND(),AVERAGE(ASSUMPTIONS!$C$38,ASSUMPTIONS!$C$39,ASSUMPTIONS!$C$40,ASSUMPTIONS!$C$41,ASSUMPTIONS!$C$42),ASSUMPTIONS!$C$68)</f>
        <v/>
      </c>
      <c r="I1987" s="83">
        <f>MAX(_xlfn.NORM.INV(RAND(),DCF!$C$11,ASSUMPTIONS!$C$69),K1987+0.005)</f>
        <v/>
      </c>
      <c r="J1987" s="83">
        <f>_xlfn.NORM.INV(RAND(),ASSUMPTIONS!$C$19,ASSUMPTIONS!$C$70)</f>
        <v/>
      </c>
      <c r="K1987" s="83">
        <f>_xlfn.NORM.INV(RAND(),ASSUMPTIONS!$C$43,ASSUMPTIONS!$C$71)</f>
        <v/>
      </c>
      <c r="L1987" s="84">
        <f>(((ASSUMPTIONS!$C$18*J1987*(1-ASSUMPTIONS!$C$20)+ASSUMPTIONS!$C$18*ASSUMPTIONS!$C$21-ASSUMPTIONS!$C$18*ASSUMPTIONS!$C$22)*(1+H1987)*(1-((1+H1987)/(1+I1987))^5)/(I1987-H1987))+((ASSUMPTIONS!$C$18*J1987*(1-ASSUMPTIONS!$C$20)+ASSUMPTIONS!$C$18*ASSUMPTIONS!$C$21-ASSUMPTIONS!$C$18*ASSUMPTIONS!$C$22)*(1+H1987)^5*(1+K1987)/(I1987-K1987)/(1+I1987)^5)-DCF!$C$12)/ASSUMPTIONS!$C$7</f>
        <v/>
      </c>
    </row>
    <row r="1988">
      <c r="H1988" s="83">
        <f>_xlfn.NORM.INV(RAND(),AVERAGE(ASSUMPTIONS!$C$38,ASSUMPTIONS!$C$39,ASSUMPTIONS!$C$40,ASSUMPTIONS!$C$41,ASSUMPTIONS!$C$42),ASSUMPTIONS!$C$68)</f>
        <v/>
      </c>
      <c r="I1988" s="83">
        <f>MAX(_xlfn.NORM.INV(RAND(),DCF!$C$11,ASSUMPTIONS!$C$69),K1988+0.005)</f>
        <v/>
      </c>
      <c r="J1988" s="83">
        <f>_xlfn.NORM.INV(RAND(),ASSUMPTIONS!$C$19,ASSUMPTIONS!$C$70)</f>
        <v/>
      </c>
      <c r="K1988" s="83">
        <f>_xlfn.NORM.INV(RAND(),ASSUMPTIONS!$C$43,ASSUMPTIONS!$C$71)</f>
        <v/>
      </c>
      <c r="L1988" s="84">
        <f>(((ASSUMPTIONS!$C$18*J1988*(1-ASSUMPTIONS!$C$20)+ASSUMPTIONS!$C$18*ASSUMPTIONS!$C$21-ASSUMPTIONS!$C$18*ASSUMPTIONS!$C$22)*(1+H1988)*(1-((1+H1988)/(1+I1988))^5)/(I1988-H1988))+((ASSUMPTIONS!$C$18*J1988*(1-ASSUMPTIONS!$C$20)+ASSUMPTIONS!$C$18*ASSUMPTIONS!$C$21-ASSUMPTIONS!$C$18*ASSUMPTIONS!$C$22)*(1+H1988)^5*(1+K1988)/(I1988-K1988)/(1+I1988)^5)-DCF!$C$12)/ASSUMPTIONS!$C$7</f>
        <v/>
      </c>
    </row>
    <row r="1989">
      <c r="H1989" s="83">
        <f>_xlfn.NORM.INV(RAND(),AVERAGE(ASSUMPTIONS!$C$38,ASSUMPTIONS!$C$39,ASSUMPTIONS!$C$40,ASSUMPTIONS!$C$41,ASSUMPTIONS!$C$42),ASSUMPTIONS!$C$68)</f>
        <v/>
      </c>
      <c r="I1989" s="83">
        <f>MAX(_xlfn.NORM.INV(RAND(),DCF!$C$11,ASSUMPTIONS!$C$69),K1989+0.005)</f>
        <v/>
      </c>
      <c r="J1989" s="83">
        <f>_xlfn.NORM.INV(RAND(),ASSUMPTIONS!$C$19,ASSUMPTIONS!$C$70)</f>
        <v/>
      </c>
      <c r="K1989" s="83">
        <f>_xlfn.NORM.INV(RAND(),ASSUMPTIONS!$C$43,ASSUMPTIONS!$C$71)</f>
        <v/>
      </c>
      <c r="L1989" s="84">
        <f>(((ASSUMPTIONS!$C$18*J1989*(1-ASSUMPTIONS!$C$20)+ASSUMPTIONS!$C$18*ASSUMPTIONS!$C$21-ASSUMPTIONS!$C$18*ASSUMPTIONS!$C$22)*(1+H1989)*(1-((1+H1989)/(1+I1989))^5)/(I1989-H1989))+((ASSUMPTIONS!$C$18*J1989*(1-ASSUMPTIONS!$C$20)+ASSUMPTIONS!$C$18*ASSUMPTIONS!$C$21-ASSUMPTIONS!$C$18*ASSUMPTIONS!$C$22)*(1+H1989)^5*(1+K1989)/(I1989-K1989)/(1+I1989)^5)-DCF!$C$12)/ASSUMPTIONS!$C$7</f>
        <v/>
      </c>
    </row>
    <row r="1990">
      <c r="H1990" s="83">
        <f>_xlfn.NORM.INV(RAND(),AVERAGE(ASSUMPTIONS!$C$38,ASSUMPTIONS!$C$39,ASSUMPTIONS!$C$40,ASSUMPTIONS!$C$41,ASSUMPTIONS!$C$42),ASSUMPTIONS!$C$68)</f>
        <v/>
      </c>
      <c r="I1990" s="83">
        <f>MAX(_xlfn.NORM.INV(RAND(),DCF!$C$11,ASSUMPTIONS!$C$69),K1990+0.005)</f>
        <v/>
      </c>
      <c r="J1990" s="83">
        <f>_xlfn.NORM.INV(RAND(),ASSUMPTIONS!$C$19,ASSUMPTIONS!$C$70)</f>
        <v/>
      </c>
      <c r="K1990" s="83">
        <f>_xlfn.NORM.INV(RAND(),ASSUMPTIONS!$C$43,ASSUMPTIONS!$C$71)</f>
        <v/>
      </c>
      <c r="L1990" s="84">
        <f>(((ASSUMPTIONS!$C$18*J1990*(1-ASSUMPTIONS!$C$20)+ASSUMPTIONS!$C$18*ASSUMPTIONS!$C$21-ASSUMPTIONS!$C$18*ASSUMPTIONS!$C$22)*(1+H1990)*(1-((1+H1990)/(1+I1990))^5)/(I1990-H1990))+((ASSUMPTIONS!$C$18*J1990*(1-ASSUMPTIONS!$C$20)+ASSUMPTIONS!$C$18*ASSUMPTIONS!$C$21-ASSUMPTIONS!$C$18*ASSUMPTIONS!$C$22)*(1+H1990)^5*(1+K1990)/(I1990-K1990)/(1+I1990)^5)-DCF!$C$12)/ASSUMPTIONS!$C$7</f>
        <v/>
      </c>
    </row>
    <row r="1991">
      <c r="H1991" s="83">
        <f>_xlfn.NORM.INV(RAND(),AVERAGE(ASSUMPTIONS!$C$38,ASSUMPTIONS!$C$39,ASSUMPTIONS!$C$40,ASSUMPTIONS!$C$41,ASSUMPTIONS!$C$42),ASSUMPTIONS!$C$68)</f>
        <v/>
      </c>
      <c r="I1991" s="83">
        <f>MAX(_xlfn.NORM.INV(RAND(),DCF!$C$11,ASSUMPTIONS!$C$69),K1991+0.005)</f>
        <v/>
      </c>
      <c r="J1991" s="83">
        <f>_xlfn.NORM.INV(RAND(),ASSUMPTIONS!$C$19,ASSUMPTIONS!$C$70)</f>
        <v/>
      </c>
      <c r="K1991" s="83">
        <f>_xlfn.NORM.INV(RAND(),ASSUMPTIONS!$C$43,ASSUMPTIONS!$C$71)</f>
        <v/>
      </c>
      <c r="L1991" s="84">
        <f>(((ASSUMPTIONS!$C$18*J1991*(1-ASSUMPTIONS!$C$20)+ASSUMPTIONS!$C$18*ASSUMPTIONS!$C$21-ASSUMPTIONS!$C$18*ASSUMPTIONS!$C$22)*(1+H1991)*(1-((1+H1991)/(1+I1991))^5)/(I1991-H1991))+((ASSUMPTIONS!$C$18*J1991*(1-ASSUMPTIONS!$C$20)+ASSUMPTIONS!$C$18*ASSUMPTIONS!$C$21-ASSUMPTIONS!$C$18*ASSUMPTIONS!$C$22)*(1+H1991)^5*(1+K1991)/(I1991-K1991)/(1+I1991)^5)-DCF!$C$12)/ASSUMPTIONS!$C$7</f>
        <v/>
      </c>
    </row>
    <row r="1992">
      <c r="H1992" s="83">
        <f>_xlfn.NORM.INV(RAND(),AVERAGE(ASSUMPTIONS!$C$38,ASSUMPTIONS!$C$39,ASSUMPTIONS!$C$40,ASSUMPTIONS!$C$41,ASSUMPTIONS!$C$42),ASSUMPTIONS!$C$68)</f>
        <v/>
      </c>
      <c r="I1992" s="83">
        <f>MAX(_xlfn.NORM.INV(RAND(),DCF!$C$11,ASSUMPTIONS!$C$69),K1992+0.005)</f>
        <v/>
      </c>
      <c r="J1992" s="83">
        <f>_xlfn.NORM.INV(RAND(),ASSUMPTIONS!$C$19,ASSUMPTIONS!$C$70)</f>
        <v/>
      </c>
      <c r="K1992" s="83">
        <f>_xlfn.NORM.INV(RAND(),ASSUMPTIONS!$C$43,ASSUMPTIONS!$C$71)</f>
        <v/>
      </c>
      <c r="L1992" s="84">
        <f>(((ASSUMPTIONS!$C$18*J1992*(1-ASSUMPTIONS!$C$20)+ASSUMPTIONS!$C$18*ASSUMPTIONS!$C$21-ASSUMPTIONS!$C$18*ASSUMPTIONS!$C$22)*(1+H1992)*(1-((1+H1992)/(1+I1992))^5)/(I1992-H1992))+((ASSUMPTIONS!$C$18*J1992*(1-ASSUMPTIONS!$C$20)+ASSUMPTIONS!$C$18*ASSUMPTIONS!$C$21-ASSUMPTIONS!$C$18*ASSUMPTIONS!$C$22)*(1+H1992)^5*(1+K1992)/(I1992-K1992)/(1+I1992)^5)-DCF!$C$12)/ASSUMPTIONS!$C$7</f>
        <v/>
      </c>
    </row>
    <row r="1993">
      <c r="H1993" s="83">
        <f>_xlfn.NORM.INV(RAND(),AVERAGE(ASSUMPTIONS!$C$38,ASSUMPTIONS!$C$39,ASSUMPTIONS!$C$40,ASSUMPTIONS!$C$41,ASSUMPTIONS!$C$42),ASSUMPTIONS!$C$68)</f>
        <v/>
      </c>
      <c r="I1993" s="83">
        <f>MAX(_xlfn.NORM.INV(RAND(),DCF!$C$11,ASSUMPTIONS!$C$69),K1993+0.005)</f>
        <v/>
      </c>
      <c r="J1993" s="83">
        <f>_xlfn.NORM.INV(RAND(),ASSUMPTIONS!$C$19,ASSUMPTIONS!$C$70)</f>
        <v/>
      </c>
      <c r="K1993" s="83">
        <f>_xlfn.NORM.INV(RAND(),ASSUMPTIONS!$C$43,ASSUMPTIONS!$C$71)</f>
        <v/>
      </c>
      <c r="L1993" s="84">
        <f>(((ASSUMPTIONS!$C$18*J1993*(1-ASSUMPTIONS!$C$20)+ASSUMPTIONS!$C$18*ASSUMPTIONS!$C$21-ASSUMPTIONS!$C$18*ASSUMPTIONS!$C$22)*(1+H1993)*(1-((1+H1993)/(1+I1993))^5)/(I1993-H1993))+((ASSUMPTIONS!$C$18*J1993*(1-ASSUMPTIONS!$C$20)+ASSUMPTIONS!$C$18*ASSUMPTIONS!$C$21-ASSUMPTIONS!$C$18*ASSUMPTIONS!$C$22)*(1+H1993)^5*(1+K1993)/(I1993-K1993)/(1+I1993)^5)-DCF!$C$12)/ASSUMPTIONS!$C$7</f>
        <v/>
      </c>
    </row>
    <row r="1994">
      <c r="H1994" s="83">
        <f>_xlfn.NORM.INV(RAND(),AVERAGE(ASSUMPTIONS!$C$38,ASSUMPTIONS!$C$39,ASSUMPTIONS!$C$40,ASSUMPTIONS!$C$41,ASSUMPTIONS!$C$42),ASSUMPTIONS!$C$68)</f>
        <v/>
      </c>
      <c r="I1994" s="83">
        <f>MAX(_xlfn.NORM.INV(RAND(),DCF!$C$11,ASSUMPTIONS!$C$69),K1994+0.005)</f>
        <v/>
      </c>
      <c r="J1994" s="83">
        <f>_xlfn.NORM.INV(RAND(),ASSUMPTIONS!$C$19,ASSUMPTIONS!$C$70)</f>
        <v/>
      </c>
      <c r="K1994" s="83">
        <f>_xlfn.NORM.INV(RAND(),ASSUMPTIONS!$C$43,ASSUMPTIONS!$C$71)</f>
        <v/>
      </c>
      <c r="L1994" s="84">
        <f>(((ASSUMPTIONS!$C$18*J1994*(1-ASSUMPTIONS!$C$20)+ASSUMPTIONS!$C$18*ASSUMPTIONS!$C$21-ASSUMPTIONS!$C$18*ASSUMPTIONS!$C$22)*(1+H1994)*(1-((1+H1994)/(1+I1994))^5)/(I1994-H1994))+((ASSUMPTIONS!$C$18*J1994*(1-ASSUMPTIONS!$C$20)+ASSUMPTIONS!$C$18*ASSUMPTIONS!$C$21-ASSUMPTIONS!$C$18*ASSUMPTIONS!$C$22)*(1+H1994)^5*(1+K1994)/(I1994-K1994)/(1+I1994)^5)-DCF!$C$12)/ASSUMPTIONS!$C$7</f>
        <v/>
      </c>
    </row>
    <row r="1995">
      <c r="H1995" s="83">
        <f>_xlfn.NORM.INV(RAND(),AVERAGE(ASSUMPTIONS!$C$38,ASSUMPTIONS!$C$39,ASSUMPTIONS!$C$40,ASSUMPTIONS!$C$41,ASSUMPTIONS!$C$42),ASSUMPTIONS!$C$68)</f>
        <v/>
      </c>
      <c r="I1995" s="83">
        <f>MAX(_xlfn.NORM.INV(RAND(),DCF!$C$11,ASSUMPTIONS!$C$69),K1995+0.005)</f>
        <v/>
      </c>
      <c r="J1995" s="83">
        <f>_xlfn.NORM.INV(RAND(),ASSUMPTIONS!$C$19,ASSUMPTIONS!$C$70)</f>
        <v/>
      </c>
      <c r="K1995" s="83">
        <f>_xlfn.NORM.INV(RAND(),ASSUMPTIONS!$C$43,ASSUMPTIONS!$C$71)</f>
        <v/>
      </c>
      <c r="L1995" s="84">
        <f>(((ASSUMPTIONS!$C$18*J1995*(1-ASSUMPTIONS!$C$20)+ASSUMPTIONS!$C$18*ASSUMPTIONS!$C$21-ASSUMPTIONS!$C$18*ASSUMPTIONS!$C$22)*(1+H1995)*(1-((1+H1995)/(1+I1995))^5)/(I1995-H1995))+((ASSUMPTIONS!$C$18*J1995*(1-ASSUMPTIONS!$C$20)+ASSUMPTIONS!$C$18*ASSUMPTIONS!$C$21-ASSUMPTIONS!$C$18*ASSUMPTIONS!$C$22)*(1+H1995)^5*(1+K1995)/(I1995-K1995)/(1+I1995)^5)-DCF!$C$12)/ASSUMPTIONS!$C$7</f>
        <v/>
      </c>
    </row>
    <row r="1996">
      <c r="H1996" s="83">
        <f>_xlfn.NORM.INV(RAND(),AVERAGE(ASSUMPTIONS!$C$38,ASSUMPTIONS!$C$39,ASSUMPTIONS!$C$40,ASSUMPTIONS!$C$41,ASSUMPTIONS!$C$42),ASSUMPTIONS!$C$68)</f>
        <v/>
      </c>
      <c r="I1996" s="83">
        <f>MAX(_xlfn.NORM.INV(RAND(),DCF!$C$11,ASSUMPTIONS!$C$69),K1996+0.005)</f>
        <v/>
      </c>
      <c r="J1996" s="83">
        <f>_xlfn.NORM.INV(RAND(),ASSUMPTIONS!$C$19,ASSUMPTIONS!$C$70)</f>
        <v/>
      </c>
      <c r="K1996" s="83">
        <f>_xlfn.NORM.INV(RAND(),ASSUMPTIONS!$C$43,ASSUMPTIONS!$C$71)</f>
        <v/>
      </c>
      <c r="L1996" s="84">
        <f>(((ASSUMPTIONS!$C$18*J1996*(1-ASSUMPTIONS!$C$20)+ASSUMPTIONS!$C$18*ASSUMPTIONS!$C$21-ASSUMPTIONS!$C$18*ASSUMPTIONS!$C$22)*(1+H1996)*(1-((1+H1996)/(1+I1996))^5)/(I1996-H1996))+((ASSUMPTIONS!$C$18*J1996*(1-ASSUMPTIONS!$C$20)+ASSUMPTIONS!$C$18*ASSUMPTIONS!$C$21-ASSUMPTIONS!$C$18*ASSUMPTIONS!$C$22)*(1+H1996)^5*(1+K1996)/(I1996-K1996)/(1+I1996)^5)-DCF!$C$12)/ASSUMPTIONS!$C$7</f>
        <v/>
      </c>
    </row>
    <row r="1997">
      <c r="H1997" s="83">
        <f>_xlfn.NORM.INV(RAND(),AVERAGE(ASSUMPTIONS!$C$38,ASSUMPTIONS!$C$39,ASSUMPTIONS!$C$40,ASSUMPTIONS!$C$41,ASSUMPTIONS!$C$42),ASSUMPTIONS!$C$68)</f>
        <v/>
      </c>
      <c r="I1997" s="83">
        <f>MAX(_xlfn.NORM.INV(RAND(),DCF!$C$11,ASSUMPTIONS!$C$69),K1997+0.005)</f>
        <v/>
      </c>
      <c r="J1997" s="83">
        <f>_xlfn.NORM.INV(RAND(),ASSUMPTIONS!$C$19,ASSUMPTIONS!$C$70)</f>
        <v/>
      </c>
      <c r="K1997" s="83">
        <f>_xlfn.NORM.INV(RAND(),ASSUMPTIONS!$C$43,ASSUMPTIONS!$C$71)</f>
        <v/>
      </c>
      <c r="L1997" s="84">
        <f>(((ASSUMPTIONS!$C$18*J1997*(1-ASSUMPTIONS!$C$20)+ASSUMPTIONS!$C$18*ASSUMPTIONS!$C$21-ASSUMPTIONS!$C$18*ASSUMPTIONS!$C$22)*(1+H1997)*(1-((1+H1997)/(1+I1997))^5)/(I1997-H1997))+((ASSUMPTIONS!$C$18*J1997*(1-ASSUMPTIONS!$C$20)+ASSUMPTIONS!$C$18*ASSUMPTIONS!$C$21-ASSUMPTIONS!$C$18*ASSUMPTIONS!$C$22)*(1+H1997)^5*(1+K1997)/(I1997-K1997)/(1+I1997)^5)-DCF!$C$12)/ASSUMPTIONS!$C$7</f>
        <v/>
      </c>
    </row>
    <row r="1998">
      <c r="H1998" s="83">
        <f>_xlfn.NORM.INV(RAND(),AVERAGE(ASSUMPTIONS!$C$38,ASSUMPTIONS!$C$39,ASSUMPTIONS!$C$40,ASSUMPTIONS!$C$41,ASSUMPTIONS!$C$42),ASSUMPTIONS!$C$68)</f>
        <v/>
      </c>
      <c r="I1998" s="83">
        <f>MAX(_xlfn.NORM.INV(RAND(),DCF!$C$11,ASSUMPTIONS!$C$69),K1998+0.005)</f>
        <v/>
      </c>
      <c r="J1998" s="83">
        <f>_xlfn.NORM.INV(RAND(),ASSUMPTIONS!$C$19,ASSUMPTIONS!$C$70)</f>
        <v/>
      </c>
      <c r="K1998" s="83">
        <f>_xlfn.NORM.INV(RAND(),ASSUMPTIONS!$C$43,ASSUMPTIONS!$C$71)</f>
        <v/>
      </c>
      <c r="L1998" s="84">
        <f>(((ASSUMPTIONS!$C$18*J1998*(1-ASSUMPTIONS!$C$20)+ASSUMPTIONS!$C$18*ASSUMPTIONS!$C$21-ASSUMPTIONS!$C$18*ASSUMPTIONS!$C$22)*(1+H1998)*(1-((1+H1998)/(1+I1998))^5)/(I1998-H1998))+((ASSUMPTIONS!$C$18*J1998*(1-ASSUMPTIONS!$C$20)+ASSUMPTIONS!$C$18*ASSUMPTIONS!$C$21-ASSUMPTIONS!$C$18*ASSUMPTIONS!$C$22)*(1+H1998)^5*(1+K1998)/(I1998-K1998)/(1+I1998)^5)-DCF!$C$12)/ASSUMPTIONS!$C$7</f>
        <v/>
      </c>
    </row>
    <row r="1999">
      <c r="H1999" s="83">
        <f>_xlfn.NORM.INV(RAND(),AVERAGE(ASSUMPTIONS!$C$38,ASSUMPTIONS!$C$39,ASSUMPTIONS!$C$40,ASSUMPTIONS!$C$41,ASSUMPTIONS!$C$42),ASSUMPTIONS!$C$68)</f>
        <v/>
      </c>
      <c r="I1999" s="83">
        <f>MAX(_xlfn.NORM.INV(RAND(),DCF!$C$11,ASSUMPTIONS!$C$69),K1999+0.005)</f>
        <v/>
      </c>
      <c r="J1999" s="83">
        <f>_xlfn.NORM.INV(RAND(),ASSUMPTIONS!$C$19,ASSUMPTIONS!$C$70)</f>
        <v/>
      </c>
      <c r="K1999" s="83">
        <f>_xlfn.NORM.INV(RAND(),ASSUMPTIONS!$C$43,ASSUMPTIONS!$C$71)</f>
        <v/>
      </c>
      <c r="L1999" s="84">
        <f>(((ASSUMPTIONS!$C$18*J1999*(1-ASSUMPTIONS!$C$20)+ASSUMPTIONS!$C$18*ASSUMPTIONS!$C$21-ASSUMPTIONS!$C$18*ASSUMPTIONS!$C$22)*(1+H1999)*(1-((1+H1999)/(1+I1999))^5)/(I1999-H1999))+((ASSUMPTIONS!$C$18*J1999*(1-ASSUMPTIONS!$C$20)+ASSUMPTIONS!$C$18*ASSUMPTIONS!$C$21-ASSUMPTIONS!$C$18*ASSUMPTIONS!$C$22)*(1+H1999)^5*(1+K1999)/(I1999-K1999)/(1+I1999)^5)-DCF!$C$12)/ASSUMPTIONS!$C$7</f>
        <v/>
      </c>
    </row>
    <row r="2000">
      <c r="H2000" s="83">
        <f>_xlfn.NORM.INV(RAND(),AVERAGE(ASSUMPTIONS!$C$38,ASSUMPTIONS!$C$39,ASSUMPTIONS!$C$40,ASSUMPTIONS!$C$41,ASSUMPTIONS!$C$42),ASSUMPTIONS!$C$68)</f>
        <v/>
      </c>
      <c r="I2000" s="83">
        <f>MAX(_xlfn.NORM.INV(RAND(),DCF!$C$11,ASSUMPTIONS!$C$69),K2000+0.005)</f>
        <v/>
      </c>
      <c r="J2000" s="83">
        <f>_xlfn.NORM.INV(RAND(),ASSUMPTIONS!$C$19,ASSUMPTIONS!$C$70)</f>
        <v/>
      </c>
      <c r="K2000" s="83">
        <f>_xlfn.NORM.INV(RAND(),ASSUMPTIONS!$C$43,ASSUMPTIONS!$C$71)</f>
        <v/>
      </c>
      <c r="L2000" s="84">
        <f>(((ASSUMPTIONS!$C$18*J2000*(1-ASSUMPTIONS!$C$20)+ASSUMPTIONS!$C$18*ASSUMPTIONS!$C$21-ASSUMPTIONS!$C$18*ASSUMPTIONS!$C$22)*(1+H2000)*(1-((1+H2000)/(1+I2000))^5)/(I2000-H2000))+((ASSUMPTIONS!$C$18*J2000*(1-ASSUMPTIONS!$C$20)+ASSUMPTIONS!$C$18*ASSUMPTIONS!$C$21-ASSUMPTIONS!$C$18*ASSUMPTIONS!$C$22)*(1+H2000)^5*(1+K2000)/(I2000-K2000)/(1+I2000)^5)-DCF!$C$12)/ASSUMPTIONS!$C$7</f>
        <v/>
      </c>
    </row>
    <row r="2001">
      <c r="H2001" s="83">
        <f>_xlfn.NORM.INV(RAND(),AVERAGE(ASSUMPTIONS!$C$38,ASSUMPTIONS!$C$39,ASSUMPTIONS!$C$40,ASSUMPTIONS!$C$41,ASSUMPTIONS!$C$42),ASSUMPTIONS!$C$68)</f>
        <v/>
      </c>
      <c r="I2001" s="83">
        <f>MAX(_xlfn.NORM.INV(RAND(),DCF!$C$11,ASSUMPTIONS!$C$69),K2001+0.005)</f>
        <v/>
      </c>
      <c r="J2001" s="83">
        <f>_xlfn.NORM.INV(RAND(),ASSUMPTIONS!$C$19,ASSUMPTIONS!$C$70)</f>
        <v/>
      </c>
      <c r="K2001" s="83">
        <f>_xlfn.NORM.INV(RAND(),ASSUMPTIONS!$C$43,ASSUMPTIONS!$C$71)</f>
        <v/>
      </c>
      <c r="L2001" s="84">
        <f>(((ASSUMPTIONS!$C$18*J2001*(1-ASSUMPTIONS!$C$20)+ASSUMPTIONS!$C$18*ASSUMPTIONS!$C$21-ASSUMPTIONS!$C$18*ASSUMPTIONS!$C$22)*(1+H2001)*(1-((1+H2001)/(1+I2001))^5)/(I2001-H2001))+((ASSUMPTIONS!$C$18*J2001*(1-ASSUMPTIONS!$C$20)+ASSUMPTIONS!$C$18*ASSUMPTIONS!$C$21-ASSUMPTIONS!$C$18*ASSUMPTIONS!$C$22)*(1+H2001)^5*(1+K2001)/(I2001-K2001)/(1+I2001)^5)-DCF!$C$12)/ASSUMPTIONS!$C$7</f>
        <v/>
      </c>
    </row>
    <row r="2002">
      <c r="H2002" s="83">
        <f>_xlfn.NORM.INV(RAND(),AVERAGE(ASSUMPTIONS!$C$38,ASSUMPTIONS!$C$39,ASSUMPTIONS!$C$40,ASSUMPTIONS!$C$41,ASSUMPTIONS!$C$42),ASSUMPTIONS!$C$68)</f>
        <v/>
      </c>
      <c r="I2002" s="83">
        <f>MAX(_xlfn.NORM.INV(RAND(),DCF!$C$11,ASSUMPTIONS!$C$69),K2002+0.005)</f>
        <v/>
      </c>
      <c r="J2002" s="83">
        <f>_xlfn.NORM.INV(RAND(),ASSUMPTIONS!$C$19,ASSUMPTIONS!$C$70)</f>
        <v/>
      </c>
      <c r="K2002" s="83">
        <f>_xlfn.NORM.INV(RAND(),ASSUMPTIONS!$C$43,ASSUMPTIONS!$C$71)</f>
        <v/>
      </c>
      <c r="L2002" s="84">
        <f>(((ASSUMPTIONS!$C$18*J2002*(1-ASSUMPTIONS!$C$20)+ASSUMPTIONS!$C$18*ASSUMPTIONS!$C$21-ASSUMPTIONS!$C$18*ASSUMPTIONS!$C$22)*(1+H2002)*(1-((1+H2002)/(1+I2002))^5)/(I2002-H2002))+((ASSUMPTIONS!$C$18*J2002*(1-ASSUMPTIONS!$C$20)+ASSUMPTIONS!$C$18*ASSUMPTIONS!$C$21-ASSUMPTIONS!$C$18*ASSUMPTIONS!$C$22)*(1+H2002)^5*(1+K2002)/(I2002-K2002)/(1+I2002)^5)-DCF!$C$12)/ASSUMPTIONS!$C$7</f>
        <v/>
      </c>
    </row>
    <row r="2003">
      <c r="H2003" s="83">
        <f>_xlfn.NORM.INV(RAND(),AVERAGE(ASSUMPTIONS!$C$38,ASSUMPTIONS!$C$39,ASSUMPTIONS!$C$40,ASSUMPTIONS!$C$41,ASSUMPTIONS!$C$42),ASSUMPTIONS!$C$68)</f>
        <v/>
      </c>
      <c r="I2003" s="83">
        <f>MAX(_xlfn.NORM.INV(RAND(),DCF!$C$11,ASSUMPTIONS!$C$69),K2003+0.005)</f>
        <v/>
      </c>
      <c r="J2003" s="83">
        <f>_xlfn.NORM.INV(RAND(),ASSUMPTIONS!$C$19,ASSUMPTIONS!$C$70)</f>
        <v/>
      </c>
      <c r="K2003" s="83">
        <f>_xlfn.NORM.INV(RAND(),ASSUMPTIONS!$C$43,ASSUMPTIONS!$C$71)</f>
        <v/>
      </c>
      <c r="L2003" s="84">
        <f>(((ASSUMPTIONS!$C$18*J2003*(1-ASSUMPTIONS!$C$20)+ASSUMPTIONS!$C$18*ASSUMPTIONS!$C$21-ASSUMPTIONS!$C$18*ASSUMPTIONS!$C$22)*(1+H2003)*(1-((1+H2003)/(1+I2003))^5)/(I2003-H2003))+((ASSUMPTIONS!$C$18*J2003*(1-ASSUMPTIONS!$C$20)+ASSUMPTIONS!$C$18*ASSUMPTIONS!$C$21-ASSUMPTIONS!$C$18*ASSUMPTIONS!$C$22)*(1+H2003)^5*(1+K2003)/(I2003-K2003)/(1+I2003)^5)-DCF!$C$12)/ASSUMPTIONS!$C$7</f>
        <v/>
      </c>
    </row>
    <row r="2004">
      <c r="H2004" s="83">
        <f>_xlfn.NORM.INV(RAND(),AVERAGE(ASSUMPTIONS!$C$38,ASSUMPTIONS!$C$39,ASSUMPTIONS!$C$40,ASSUMPTIONS!$C$41,ASSUMPTIONS!$C$42),ASSUMPTIONS!$C$68)</f>
        <v/>
      </c>
      <c r="I2004" s="83">
        <f>MAX(_xlfn.NORM.INV(RAND(),DCF!$C$11,ASSUMPTIONS!$C$69),K2004+0.005)</f>
        <v/>
      </c>
      <c r="J2004" s="83">
        <f>_xlfn.NORM.INV(RAND(),ASSUMPTIONS!$C$19,ASSUMPTIONS!$C$70)</f>
        <v/>
      </c>
      <c r="K2004" s="83">
        <f>_xlfn.NORM.INV(RAND(),ASSUMPTIONS!$C$43,ASSUMPTIONS!$C$71)</f>
        <v/>
      </c>
      <c r="L2004" s="84">
        <f>(((ASSUMPTIONS!$C$18*J2004*(1-ASSUMPTIONS!$C$20)+ASSUMPTIONS!$C$18*ASSUMPTIONS!$C$21-ASSUMPTIONS!$C$18*ASSUMPTIONS!$C$22)*(1+H2004)*(1-((1+H2004)/(1+I2004))^5)/(I2004-H2004))+((ASSUMPTIONS!$C$18*J2004*(1-ASSUMPTIONS!$C$20)+ASSUMPTIONS!$C$18*ASSUMPTIONS!$C$21-ASSUMPTIONS!$C$18*ASSUMPTIONS!$C$22)*(1+H2004)^5*(1+K2004)/(I2004-K2004)/(1+I2004)^5)-DCF!$C$12)/ASSUMPTIONS!$C$7</f>
        <v/>
      </c>
    </row>
    <row r="2005">
      <c r="H2005" s="83">
        <f>_xlfn.NORM.INV(RAND(),AVERAGE(ASSUMPTIONS!$C$38,ASSUMPTIONS!$C$39,ASSUMPTIONS!$C$40,ASSUMPTIONS!$C$41,ASSUMPTIONS!$C$42),ASSUMPTIONS!$C$68)</f>
        <v/>
      </c>
      <c r="I2005" s="83">
        <f>MAX(_xlfn.NORM.INV(RAND(),DCF!$C$11,ASSUMPTIONS!$C$69),K2005+0.005)</f>
        <v/>
      </c>
      <c r="J2005" s="83">
        <f>_xlfn.NORM.INV(RAND(),ASSUMPTIONS!$C$19,ASSUMPTIONS!$C$70)</f>
        <v/>
      </c>
      <c r="K2005" s="83">
        <f>_xlfn.NORM.INV(RAND(),ASSUMPTIONS!$C$43,ASSUMPTIONS!$C$71)</f>
        <v/>
      </c>
      <c r="L2005" s="84">
        <f>(((ASSUMPTIONS!$C$18*J2005*(1-ASSUMPTIONS!$C$20)+ASSUMPTIONS!$C$18*ASSUMPTIONS!$C$21-ASSUMPTIONS!$C$18*ASSUMPTIONS!$C$22)*(1+H2005)*(1-((1+H2005)/(1+I2005))^5)/(I2005-H2005))+((ASSUMPTIONS!$C$18*J2005*(1-ASSUMPTIONS!$C$20)+ASSUMPTIONS!$C$18*ASSUMPTIONS!$C$21-ASSUMPTIONS!$C$18*ASSUMPTIONS!$C$22)*(1+H2005)^5*(1+K2005)/(I2005-K2005)/(1+I2005)^5)-DCF!$C$12)/ASSUMPTIONS!$C$7</f>
        <v/>
      </c>
    </row>
    <row r="2006">
      <c r="H2006" s="83">
        <f>_xlfn.NORM.INV(RAND(),AVERAGE(ASSUMPTIONS!$C$38,ASSUMPTIONS!$C$39,ASSUMPTIONS!$C$40,ASSUMPTIONS!$C$41,ASSUMPTIONS!$C$42),ASSUMPTIONS!$C$68)</f>
        <v/>
      </c>
      <c r="I2006" s="83">
        <f>MAX(_xlfn.NORM.INV(RAND(),DCF!$C$11,ASSUMPTIONS!$C$69),K2006+0.005)</f>
        <v/>
      </c>
      <c r="J2006" s="83">
        <f>_xlfn.NORM.INV(RAND(),ASSUMPTIONS!$C$19,ASSUMPTIONS!$C$70)</f>
        <v/>
      </c>
      <c r="K2006" s="83">
        <f>_xlfn.NORM.INV(RAND(),ASSUMPTIONS!$C$43,ASSUMPTIONS!$C$71)</f>
        <v/>
      </c>
      <c r="L2006" s="84">
        <f>(((ASSUMPTIONS!$C$18*J2006*(1-ASSUMPTIONS!$C$20)+ASSUMPTIONS!$C$18*ASSUMPTIONS!$C$21-ASSUMPTIONS!$C$18*ASSUMPTIONS!$C$22)*(1+H2006)*(1-((1+H2006)/(1+I2006))^5)/(I2006-H2006))+((ASSUMPTIONS!$C$18*J2006*(1-ASSUMPTIONS!$C$20)+ASSUMPTIONS!$C$18*ASSUMPTIONS!$C$21-ASSUMPTIONS!$C$18*ASSUMPTIONS!$C$22)*(1+H2006)^5*(1+K2006)/(I2006-K2006)/(1+I2006)^5)-DCF!$C$12)/ASSUMPTIONS!$C$7</f>
        <v/>
      </c>
    </row>
  </sheetData>
  <mergeCells count="3">
    <mergeCell ref="A1:S1"/>
    <mergeCell ref="A2:S2"/>
    <mergeCell ref="A3:S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31A2B"/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3" customWidth="1" min="4" max="4"/>
    <col width="50" customWidth="1" min="5" max="5"/>
    <col width="3" customWidth="1" min="6" max="6"/>
  </cols>
  <sheetData>
    <row r="1" ht="26" customHeight="1">
      <c r="A1" s="1" t="inlineStr">
        <is>
          <t>CONTEXT &amp; REGIME</t>
        </is>
      </c>
    </row>
    <row r="2" ht="16" customHeight="1">
      <c r="A2" s="2" t="inlineStr">
        <is>
          <t>Valuation vs own history, quality-tiered margin of safety, and market regime.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5" t="inlineStr">
        <is>
          <t>V  A  L  U  A  T  I  O  N     V  S     O  W  N     H  I  S  T  O  R  Y     (  ~  1  0  Y  )</t>
        </is>
      </c>
      <c r="C5" s="6" t="n"/>
      <c r="D5" s="6" t="n"/>
      <c r="E5" s="6" t="n"/>
      <c r="F5" s="4" t="n"/>
    </row>
    <row r="6">
      <c r="A6" s="4" t="n"/>
      <c r="B6" s="10" t="inlineStr">
        <is>
          <t>Current P/E</t>
        </is>
      </c>
      <c r="C6" s="55">
        <f>RELATIVE!$C$7</f>
        <v/>
      </c>
      <c r="D6" s="4" t="n"/>
      <c r="E6" s="4" t="n"/>
      <c r="F6" s="4" t="n"/>
    </row>
    <row r="7">
      <c r="A7" s="4" t="n"/>
      <c r="B7" s="10" t="inlineStr">
        <is>
          <t xml:space="preserve">  P/E position in 10y range</t>
        </is>
      </c>
      <c r="C7" s="22">
        <f>MIN(1,MAX(0,(C6-ASSUMPTIONS!$C$96)/MAX(0.01,ASSUMPTIONS!$C$98-ASSUMPTIONS!$C$96)))</f>
        <v/>
      </c>
      <c r="D7" s="4" t="n"/>
      <c r="E7" s="4" t="n"/>
      <c r="F7" s="4" t="n"/>
    </row>
    <row r="8">
      <c r="A8" s="4" t="n"/>
      <c r="B8" s="10" t="inlineStr">
        <is>
          <t>Current EV/EBITDA</t>
        </is>
      </c>
      <c r="C8" s="55">
        <f>RELATIVE!$C$9</f>
        <v/>
      </c>
      <c r="D8" s="4" t="n"/>
      <c r="E8" s="4" t="n"/>
      <c r="F8" s="4" t="n"/>
    </row>
    <row r="9">
      <c r="A9" s="4" t="n"/>
      <c r="B9" s="10" t="inlineStr">
        <is>
          <t xml:space="preserve">  EV/EBITDA position in 10y range</t>
        </is>
      </c>
      <c r="C9" s="22">
        <f>MIN(1,MAX(0,(C8-ASSUMPTIONS!$C$99)/MAX(0.01,ASSUMPTIONS!$C$101-ASSUMPTIONS!$C$99)))</f>
        <v/>
      </c>
      <c r="D9" s="4" t="n"/>
      <c r="E9" s="4" t="n"/>
      <c r="F9" s="4" t="n"/>
    </row>
    <row r="10">
      <c r="A10" s="4" t="n"/>
      <c r="B10" s="7" t="inlineStr">
        <is>
          <t>Avg position (0=cheap, 1=rich)</t>
        </is>
      </c>
      <c r="C10" s="26">
        <f>AVERAGE(C7,C9)</f>
        <v/>
      </c>
      <c r="D10" s="4" t="n"/>
      <c r="E10" s="4" t="n"/>
      <c r="F10" s="4" t="n"/>
    </row>
    <row r="11">
      <c r="A11" s="4" t="n"/>
      <c r="B11" s="10" t="inlineStr">
        <is>
          <t>Avg discount to own median (P/E &amp; EV/EBITDA)</t>
        </is>
      </c>
      <c r="C11" s="57">
        <f>((C6/ASSUMPTIONS!$C$97-1)+(C8/ASSUMPTIONS!$C$100-1))/2</f>
        <v/>
      </c>
      <c r="D11" s="4" t="n"/>
      <c r="E11" s="4" t="n"/>
      <c r="F11" s="4" t="n"/>
    </row>
    <row r="12">
      <c r="A12" s="4" t="n"/>
      <c r="B12" s="7" t="inlineStr">
        <is>
          <t>Valuation vs own history</t>
        </is>
      </c>
      <c r="C12" s="85">
        <f>IF(C10&lt;0.25,"CHEAP",IF(C10&lt;0.6,"FAIR",IF(C10&lt;0.85,"RICH","EXTREME")))</f>
        <v/>
      </c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5" t="inlineStr">
        <is>
          <t>Q  U  A  L  I  T  Y     T  I  E  R     -  &gt;     R  E  Q  U  I  R  E  D     M  A  R  G  I  N     O  F     S  A  F  E  T  Y</t>
        </is>
      </c>
      <c r="C14" s="6" t="n"/>
      <c r="D14" s="6" t="n"/>
      <c r="E14" s="6" t="n"/>
      <c r="F14" s="4" t="n"/>
    </row>
    <row r="15">
      <c r="A15" s="4" t="n"/>
      <c r="B15" s="10" t="inlineStr">
        <is>
          <t>Moat rating (0-2)</t>
        </is>
      </c>
      <c r="C15" s="62">
        <f>ASSUMPTIONS!$C$104</f>
        <v/>
      </c>
      <c r="D15" s="4" t="n"/>
      <c r="E15" s="4" t="n"/>
      <c r="F15" s="4" t="n"/>
    </row>
    <row r="16">
      <c r="A16" s="4" t="n"/>
      <c r="B16" s="10" t="inlineStr">
        <is>
          <t>ROIC - WACC spread</t>
        </is>
      </c>
      <c r="C16" s="86">
        <f>QUALITY!$C$8-DCF!$C$11</f>
        <v/>
      </c>
      <c r="D16" s="4" t="n"/>
      <c r="E16" s="4" t="n"/>
      <c r="F16" s="4" t="n"/>
    </row>
    <row r="17">
      <c r="A17" s="4" t="n"/>
      <c r="B17" s="10" t="inlineStr">
        <is>
          <t>Piotroski F-Score</t>
        </is>
      </c>
      <c r="C17" s="62">
        <f>QUALITY!$C$24</f>
        <v/>
      </c>
      <c r="D17" s="4" t="n"/>
      <c r="E17" s="4" t="n"/>
      <c r="F17" s="4" t="n"/>
    </row>
    <row r="18">
      <c r="A18" s="4" t="n"/>
      <c r="B18" s="7" t="inlineStr">
        <is>
          <t>Quality tier</t>
        </is>
      </c>
      <c r="C18" s="85">
        <f>IF(AND(ASSUMPTIONS!$C$104&gt;=2,C16&gt;=0.05,C17&gt;=6),"WIDE-MOAT",IF(AND(ASSUMPTIONS!$C$104&gt;=1,C16&gt;0,C17&gt;=5),"SOLID",IF(OR(C16&gt;0,C17&gt;=4),"AVERAGE","LOW")))</f>
        <v/>
      </c>
      <c r="D18" s="4" t="n"/>
      <c r="E18" s="4" t="n"/>
      <c r="F18" s="4" t="n"/>
    </row>
    <row r="19">
      <c r="A19" s="4" t="n"/>
      <c r="B19" s="7" t="inlineStr">
        <is>
          <t>Required margin of safety (base)</t>
        </is>
      </c>
      <c r="C19" s="26">
        <f>IF(C18="WIDE-MOAT",ASSUMPTIONS!$C$105,IF(C18="SOLID",ASSUMPTIONS!$C$106,IF(C18="AVERAGE",ASSUMPTIONS!$C$107,ASSUMPTIONS!$C$108)))</f>
        <v/>
      </c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5" t="inlineStr">
        <is>
          <t>M  A  R  K  E  T     R  E  G  I  M  E     (  C  O  N  T  E  X  T  )</t>
        </is>
      </c>
      <c r="C21" s="6" t="n"/>
      <c r="D21" s="6" t="n"/>
      <c r="E21" s="6" t="n"/>
      <c r="F21" s="4" t="n"/>
    </row>
    <row r="22">
      <c r="A22" s="4" t="n"/>
      <c r="B22" s="10" t="inlineStr">
        <is>
          <t>Shiller CAPE (S&amp;P 500)</t>
        </is>
      </c>
      <c r="C22" s="55">
        <f>ASSUMPTIONS!$C$111</f>
        <v/>
      </c>
      <c r="D22" s="4" t="n"/>
      <c r="E22" s="4" t="n"/>
      <c r="F22" s="4" t="n"/>
    </row>
    <row r="23">
      <c r="A23" s="4" t="n"/>
      <c r="B23" s="10" t="inlineStr">
        <is>
          <t>CAPE vs long-run avg</t>
        </is>
      </c>
      <c r="C23" s="57">
        <f>C22/ASSUMPTIONS!$C$112-1</f>
        <v/>
      </c>
      <c r="D23" s="4" t="n"/>
      <c r="E23" s="4" t="n"/>
      <c r="F23" s="4" t="n"/>
    </row>
    <row r="24">
      <c r="A24" s="4" t="n"/>
      <c r="B24" s="10" t="inlineStr">
        <is>
          <t>CAPE-implied 10y real return</t>
        </is>
      </c>
      <c r="C24" s="22">
        <f>1/C22</f>
        <v/>
      </c>
      <c r="D24" s="4" t="n"/>
      <c r="E24" s="4" t="n"/>
      <c r="F24" s="4" t="n"/>
    </row>
    <row r="25">
      <c r="A25" s="4" t="n"/>
      <c r="B25" s="10" t="inlineStr">
        <is>
          <t>Fed-model ERP (E/P - 10y, rough)</t>
        </is>
      </c>
      <c r="C25" s="22">
        <f>ASSUMPTIONS!$C$113-ASSUMPTIONS!$C$115</f>
        <v/>
      </c>
      <c r="D25" s="4" t="n"/>
      <c r="E25" s="4" t="n"/>
      <c r="F25" s="4" t="n"/>
    </row>
    <row r="26">
      <c r="A26" s="4" t="n"/>
      <c r="B26" s="10" t="inlineStr">
        <is>
          <t>Implied ERP (E/P + g - 10y)</t>
        </is>
      </c>
      <c r="C26" s="57">
        <f>ASSUMPTIONS!$C$113+ASSUMPTIONS!$C$114-ASSUMPTIONS!$C$115</f>
        <v/>
      </c>
      <c r="D26" s="4" t="n"/>
      <c r="E26" s="4" t="n"/>
      <c r="F26" s="4" t="n"/>
    </row>
    <row r="27">
      <c r="A27" s="4" t="n"/>
      <c r="B27" s="10" t="inlineStr">
        <is>
          <t>% S&amp;P above 200d MA</t>
        </is>
      </c>
      <c r="C27" s="57">
        <f>ASSUMPTIONS!$C$116</f>
        <v/>
      </c>
      <c r="D27" s="4" t="n"/>
      <c r="E27" s="4" t="n"/>
      <c r="F27" s="4" t="n"/>
    </row>
    <row r="28">
      <c r="A28" s="4" t="n"/>
      <c r="B28" s="7" t="inlineStr">
        <is>
          <t>Market regime</t>
        </is>
      </c>
      <c r="C28" s="85">
        <f>IF(OR(C22&gt;=ASSUMPTIONS!$C$112*1.6,C26&lt;=0.02),"EXPENSIVE - raise bar",IF(AND(C22&lt;=ASSUMPTIONS!$C$112*1.1,C26&gt;=0.05),"CHEAP - be greedy","NEUTRAL"))</f>
        <v/>
      </c>
      <c r="D28" s="4" t="n"/>
      <c r="E28" s="4" t="n"/>
      <c r="F28" s="4" t="n"/>
    </row>
    <row r="29">
      <c r="A29" s="4" t="n"/>
      <c r="B29" s="10" t="inlineStr">
        <is>
          <t>Regime MoS adjustment</t>
        </is>
      </c>
      <c r="C29" s="22">
        <f>IF(OR(C22&gt;=ASSUMPTIONS!$C$112*1.6,C26&lt;=0.02),0.05,IF(AND(C22&lt;=ASSUMPTIONS!$C$112*1.1,C26&gt;=0.05),-0.05,0))</f>
        <v/>
      </c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5" t="inlineStr">
        <is>
          <t>R  I  S  K     C  A  L  I  B  R  A  T  I  O  N     (  D  A  M  O  D  A  R  A  N  )</t>
        </is>
      </c>
      <c r="C31" s="6" t="n"/>
      <c r="D31" s="6" t="n"/>
      <c r="E31" s="6" t="n"/>
      <c r="F31" s="4" t="n"/>
    </row>
    <row r="32">
      <c r="A32" s="4" t="n"/>
      <c r="B32" s="10" t="inlineStr">
        <is>
          <t>Estimate uncertainty (1 low - 3 high)</t>
        </is>
      </c>
      <c r="C32" s="62">
        <f>ASSUMPTIONS!$C$119</f>
        <v/>
      </c>
      <c r="D32" s="4" t="n"/>
      <c r="E32" s="4" t="n"/>
      <c r="F32" s="4" t="n"/>
    </row>
    <row r="33">
      <c r="A33" s="4" t="n"/>
      <c r="B33" s="10" t="inlineStr">
        <is>
          <t>Uncertainty MoS add (+7.5%/level)</t>
        </is>
      </c>
      <c r="C33" s="22">
        <f>(MAX(1,MIN(3,ASSUMPTIONS!$C$119))-1)*0.075</f>
        <v/>
      </c>
      <c r="D33" s="4" t="n"/>
      <c r="E33" s="4" t="n"/>
      <c r="F33" s="4" t="n"/>
    </row>
    <row r="34">
      <c r="A34" s="4" t="n"/>
      <c r="B34" s="10" t="inlineStr">
        <is>
          <t>Portfolio holdings (count)</t>
        </is>
      </c>
      <c r="C34" s="62">
        <f>ASSUMPTIONS!$C$120</f>
        <v/>
      </c>
      <c r="D34" s="4" t="n"/>
      <c r="E34" s="4" t="n"/>
      <c r="F34" s="4" t="n"/>
    </row>
    <row r="35">
      <c r="A35" s="4" t="n"/>
      <c r="B35" s="10" t="inlineStr">
        <is>
          <t>Concentration MoS add</t>
        </is>
      </c>
      <c r="C35" s="22">
        <f>IF(ASSUMPTIONS!$C$120&lt;=6,0.05,IF(ASSUMPTIONS!$C$120&lt;=12,0.025,0))</f>
        <v/>
      </c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5" t="inlineStr">
        <is>
          <t>Q  U  A  L  I  T  Y  -  A  D  J  U  S  T  E  D     E  N  T  R  Y     B  A  R</t>
        </is>
      </c>
      <c r="C37" s="6" t="n"/>
      <c r="D37" s="6" t="n"/>
      <c r="E37" s="6" t="n"/>
      <c r="F37" s="4" t="n"/>
    </row>
    <row r="38">
      <c r="A38" s="4" t="n"/>
      <c r="B38" s="10" t="inlineStr">
        <is>
          <t>Required MoS (quality tier)</t>
        </is>
      </c>
      <c r="C38" s="57">
        <f>C19</f>
        <v/>
      </c>
      <c r="D38" s="4" t="n"/>
      <c r="E38" s="4" t="n"/>
      <c r="F38" s="4" t="n"/>
    </row>
    <row r="39">
      <c r="A39" s="4" t="n"/>
      <c r="B39" s="10" t="inlineStr">
        <is>
          <t>+ regime / uncertainty / concentration</t>
        </is>
      </c>
      <c r="C39" s="22">
        <f>C29+C33+C35</f>
        <v/>
      </c>
      <c r="D39" s="4" t="n"/>
      <c r="E39" s="4" t="n"/>
      <c r="F39" s="4" t="n"/>
    </row>
    <row r="40">
      <c r="A40" s="4" t="n"/>
      <c r="B40" s="7" t="inlineStr">
        <is>
          <t>Required MoS (effective)</t>
        </is>
      </c>
      <c r="C40" s="87">
        <f>MAX(0,C19+C29+C33+C35)</f>
        <v/>
      </c>
      <c r="D40" s="4" t="n"/>
      <c r="E40" s="4" t="n"/>
      <c r="F40" s="4" t="n"/>
    </row>
    <row r="41">
      <c r="A41" s="4" t="n"/>
      <c r="B41" s="10" t="inlineStr">
        <is>
          <t>Your margin of safety</t>
        </is>
      </c>
      <c r="C41" s="57">
        <f>DASHBOARD!$C$10</f>
        <v/>
      </c>
      <c r="D41" s="4" t="n"/>
      <c r="E41" s="4" t="n"/>
      <c r="F41" s="4" t="n"/>
    </row>
    <row r="42">
      <c r="A42" s="4" t="n"/>
      <c r="B42" s="7" t="inlineStr">
        <is>
          <t>Meets bar to buy?</t>
        </is>
      </c>
      <c r="C42" s="30">
        <f>IF(C41&gt;=C40,"YES - entry OK","NO - wait")</f>
        <v/>
      </c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</sheetData>
  <mergeCells count="3">
    <mergeCell ref="A1:F1"/>
    <mergeCell ref="A2:F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2026-06-20T16:28:11Z</dcterms:created>
  <dcterms:modified xmlns:dcterms="http://purl.org/dc/terms/" xmlns:xsi="http://www.w3.org/2001/XMLSchema-instance" xsi:type="dcterms:W3CDTF">2026-06-20T16:28:11Z</dcterms:modified>
</cp:coreProperties>
</file>